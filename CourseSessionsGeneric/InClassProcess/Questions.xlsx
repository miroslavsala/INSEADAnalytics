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9001"/>
  <workbookPr defaultThemeVersion="166925"/>
  <mc:AlternateContent xmlns:mc="http://schemas.openxmlformats.org/markup-compatibility/2006">
    <mc:Choice Requires="x15">
      <x15ac:absPath xmlns:x15ac="http://schemas.microsoft.com/office/spreadsheetml/2010/11/ac" url="C:\Users\miros\Documents\INSEADAnalytics\CourseSessions\InClassProcess\"/>
    </mc:Choice>
  </mc:AlternateContent>
  <bookViews>
    <workbookView xWindow="984" yWindow="0" windowWidth="15528" windowHeight="5412" firstSheet="20" activeTab="22" xr2:uid="{00000000-000D-0000-FFFF-FFFF00000000}"/>
  </bookViews>
  <sheets>
    <sheet name="Eigenvalue varimax" sheetId="2" r:id="rId1"/>
    <sheet name="Eigenvalue quatimax" sheetId="3" r:id="rId2"/>
    <sheet name="Eigenvalue proxmax" sheetId="4" r:id="rId3"/>
    <sheet name="Eigenvalue oblimin" sheetId="5" r:id="rId4"/>
    <sheet name="Eigenvalue simplimax" sheetId="6" r:id="rId5"/>
    <sheet name="Eigenvalue cluster" sheetId="7" r:id="rId6"/>
    <sheet name="Eigenvalue none" sheetId="8" r:id="rId7"/>
    <sheet name="Sheet2" sheetId="10" r:id="rId8"/>
    <sheet name="Variance - 70%" sheetId="9" r:id="rId9"/>
    <sheet name="List" sheetId="1" r:id="rId10"/>
    <sheet name="Manual - 7 factors" sheetId="11" r:id="rId11"/>
    <sheet name="ClusterProfileRatios_6_seg" sheetId="14" r:id="rId12"/>
    <sheet name="ClusterProfileRatios_5_seg" sheetId="15" r:id="rId13"/>
    <sheet name="Sheet1" sheetId="30" r:id="rId14"/>
    <sheet name="ClusterProfileRatios_5_seg (2)" sheetId="16" r:id="rId15"/>
    <sheet name="ClusterProfileRatios_5_seg (3)" sheetId="17" r:id="rId16"/>
    <sheet name="ClusterProfileRatios_5_seg (4)" sheetId="19" r:id="rId17"/>
    <sheet name="ClusterProfileRatios_5_seg (5)" sheetId="20" r:id="rId18"/>
    <sheet name="ClusterProfileRatios_5_seg (6)" sheetId="22" r:id="rId19"/>
    <sheet name="ClusterProfileRatios_5_seg (7)" sheetId="25" r:id="rId20"/>
    <sheet name="ClusterProfileRatios_4" sheetId="23" r:id="rId21"/>
    <sheet name="ClusterProfileRatios_4 (2)" sheetId="26" r:id="rId22"/>
    <sheet name="ClusterProfileRatios_6_seg (2)" sheetId="27" r:id="rId23"/>
    <sheet name="ClusterProfileRatios_6_seg (3)" sheetId="28" r:id="rId24"/>
    <sheet name="ClusterProfileRatios_6_seg (4)" sheetId="29" r:id="rId25"/>
    <sheet name="Manual - 10 factors" sheetId="12" state="hidden" r:id="rId26"/>
    <sheet name="Manual - 9 factors" sheetId="13" state="hidden" r:id="rId27"/>
  </sheets>
  <calcPr calcId="171027"/>
  <pivotCaches>
    <pivotCache cacheId="0" r:id="rId2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30" l="1"/>
  <c r="D2" i="30"/>
  <c r="E2" i="30" s="1"/>
  <c r="F2" i="30" s="1"/>
  <c r="C2" i="30"/>
  <c r="B2" i="30"/>
  <c r="D3" i="30" l="1"/>
  <c r="E3" i="30" s="1"/>
  <c r="F3" i="30" s="1"/>
  <c r="I2" i="30"/>
  <c r="O83" i="29"/>
  <c r="N83" i="29"/>
  <c r="M83" i="29"/>
  <c r="L83" i="29"/>
  <c r="K83" i="29"/>
  <c r="J83" i="29"/>
  <c r="I83" i="29"/>
  <c r="O82" i="29"/>
  <c r="N82" i="29"/>
  <c r="M82" i="29"/>
  <c r="L82" i="29"/>
  <c r="K82" i="29"/>
  <c r="J82" i="29"/>
  <c r="I82" i="29"/>
  <c r="O81" i="29"/>
  <c r="N81" i="29"/>
  <c r="M81" i="29"/>
  <c r="L81" i="29"/>
  <c r="K81" i="29"/>
  <c r="J81" i="29"/>
  <c r="I81" i="29"/>
  <c r="O80" i="29"/>
  <c r="N80" i="29"/>
  <c r="M80" i="29"/>
  <c r="L80" i="29"/>
  <c r="K80" i="29"/>
  <c r="J80" i="29"/>
  <c r="I80" i="29"/>
  <c r="O79" i="29"/>
  <c r="N79" i="29"/>
  <c r="M79" i="29"/>
  <c r="L79" i="29"/>
  <c r="K79" i="29"/>
  <c r="J79" i="29"/>
  <c r="I79" i="29"/>
  <c r="O78" i="29"/>
  <c r="N78" i="29"/>
  <c r="M78" i="29"/>
  <c r="L78" i="29"/>
  <c r="K78" i="29"/>
  <c r="J78" i="29"/>
  <c r="I78" i="29"/>
  <c r="O77" i="29"/>
  <c r="N77" i="29"/>
  <c r="M77" i="29"/>
  <c r="L77" i="29"/>
  <c r="K77" i="29"/>
  <c r="J77" i="29"/>
  <c r="I77" i="29"/>
  <c r="O76" i="29"/>
  <c r="N76" i="29"/>
  <c r="M76" i="29"/>
  <c r="L76" i="29"/>
  <c r="K76" i="29"/>
  <c r="J76" i="29"/>
  <c r="I76" i="29"/>
  <c r="O75" i="29"/>
  <c r="N75" i="29"/>
  <c r="M75" i="29"/>
  <c r="L75" i="29"/>
  <c r="K75" i="29"/>
  <c r="J75" i="29"/>
  <c r="I75" i="29"/>
  <c r="O74" i="29"/>
  <c r="N74" i="29"/>
  <c r="M74" i="29"/>
  <c r="L74" i="29"/>
  <c r="K74" i="29"/>
  <c r="J74" i="29"/>
  <c r="I74" i="29"/>
  <c r="O73" i="29"/>
  <c r="N73" i="29"/>
  <c r="M73" i="29"/>
  <c r="L73" i="29"/>
  <c r="K73" i="29"/>
  <c r="J73" i="29"/>
  <c r="I73" i="29"/>
  <c r="O72" i="29"/>
  <c r="N72" i="29"/>
  <c r="M72" i="29"/>
  <c r="L72" i="29"/>
  <c r="K72" i="29"/>
  <c r="J72" i="29"/>
  <c r="I72" i="29"/>
  <c r="O71" i="29"/>
  <c r="N71" i="29"/>
  <c r="M71" i="29"/>
  <c r="L71" i="29"/>
  <c r="K71" i="29"/>
  <c r="J71" i="29"/>
  <c r="I71" i="29"/>
  <c r="O70" i="29"/>
  <c r="N70" i="29"/>
  <c r="M70" i="29"/>
  <c r="L70" i="29"/>
  <c r="K70" i="29"/>
  <c r="J70" i="29"/>
  <c r="I70" i="29"/>
  <c r="O69" i="29"/>
  <c r="N69" i="29"/>
  <c r="M69" i="29"/>
  <c r="L69" i="29"/>
  <c r="K69" i="29"/>
  <c r="J69" i="29"/>
  <c r="I69" i="29"/>
  <c r="O68" i="29"/>
  <c r="N68" i="29"/>
  <c r="M68" i="29"/>
  <c r="L68" i="29"/>
  <c r="K68" i="29"/>
  <c r="J68" i="29"/>
  <c r="I68" i="29"/>
  <c r="O67" i="29"/>
  <c r="N67" i="29"/>
  <c r="M67" i="29"/>
  <c r="L67" i="29"/>
  <c r="K67" i="29"/>
  <c r="J67" i="29"/>
  <c r="I67" i="29"/>
  <c r="O66" i="29"/>
  <c r="N66" i="29"/>
  <c r="M66" i="29"/>
  <c r="L66" i="29"/>
  <c r="K66" i="29"/>
  <c r="J66" i="29"/>
  <c r="I66" i="29"/>
  <c r="O65" i="29"/>
  <c r="N65" i="29"/>
  <c r="M65" i="29"/>
  <c r="L65" i="29"/>
  <c r="K65" i="29"/>
  <c r="J65" i="29"/>
  <c r="I65" i="29"/>
  <c r="O64" i="29"/>
  <c r="N64" i="29"/>
  <c r="M64" i="29"/>
  <c r="L64" i="29"/>
  <c r="K64" i="29"/>
  <c r="J64" i="29"/>
  <c r="I64" i="29"/>
  <c r="O63" i="29"/>
  <c r="N63" i="29"/>
  <c r="M63" i="29"/>
  <c r="L63" i="29"/>
  <c r="K63" i="29"/>
  <c r="J63" i="29"/>
  <c r="I63" i="29"/>
  <c r="O62" i="29"/>
  <c r="N62" i="29"/>
  <c r="M62" i="29"/>
  <c r="L62" i="29"/>
  <c r="K62" i="29"/>
  <c r="J62" i="29"/>
  <c r="I62" i="29"/>
  <c r="O61" i="29"/>
  <c r="N61" i="29"/>
  <c r="M61" i="29"/>
  <c r="L61" i="29"/>
  <c r="K61" i="29"/>
  <c r="J61" i="29"/>
  <c r="I61" i="29"/>
  <c r="O60" i="29"/>
  <c r="N60" i="29"/>
  <c r="M60" i="29"/>
  <c r="L60" i="29"/>
  <c r="K60" i="29"/>
  <c r="J60" i="29"/>
  <c r="I60" i="29"/>
  <c r="O59" i="29"/>
  <c r="N59" i="29"/>
  <c r="M59" i="29"/>
  <c r="L59" i="29"/>
  <c r="K59" i="29"/>
  <c r="J59" i="29"/>
  <c r="I59" i="29"/>
  <c r="O58" i="29"/>
  <c r="N58" i="29"/>
  <c r="M58" i="29"/>
  <c r="L58" i="29"/>
  <c r="K58" i="29"/>
  <c r="J58" i="29"/>
  <c r="I58" i="29"/>
  <c r="O57" i="29"/>
  <c r="N57" i="29"/>
  <c r="M57" i="29"/>
  <c r="L57" i="29"/>
  <c r="K57" i="29"/>
  <c r="J57" i="29"/>
  <c r="I57" i="29"/>
  <c r="O56" i="29"/>
  <c r="N56" i="29"/>
  <c r="M56" i="29"/>
  <c r="L56" i="29"/>
  <c r="K56" i="29"/>
  <c r="J56" i="29"/>
  <c r="I56" i="29"/>
  <c r="O55" i="29"/>
  <c r="N55" i="29"/>
  <c r="M55" i="29"/>
  <c r="L55" i="29"/>
  <c r="K55" i="29"/>
  <c r="J55" i="29"/>
  <c r="I55" i="29"/>
  <c r="O54" i="29"/>
  <c r="N54" i="29"/>
  <c r="M54" i="29"/>
  <c r="L54" i="29"/>
  <c r="K54" i="29"/>
  <c r="J54" i="29"/>
  <c r="I54" i="29"/>
  <c r="O53" i="29"/>
  <c r="N53" i="29"/>
  <c r="M53" i="29"/>
  <c r="L53" i="29"/>
  <c r="K53" i="29"/>
  <c r="J53" i="29"/>
  <c r="I53" i="29"/>
  <c r="O52" i="29"/>
  <c r="N52" i="29"/>
  <c r="M52" i="29"/>
  <c r="L52" i="29"/>
  <c r="K52" i="29"/>
  <c r="J52" i="29"/>
  <c r="I52" i="29"/>
  <c r="O51" i="29"/>
  <c r="N51" i="29"/>
  <c r="M51" i="29"/>
  <c r="L51" i="29"/>
  <c r="K51" i="29"/>
  <c r="J51" i="29"/>
  <c r="I51" i="29"/>
  <c r="O50" i="29"/>
  <c r="N50" i="29"/>
  <c r="M50" i="29"/>
  <c r="L50" i="29"/>
  <c r="K50" i="29"/>
  <c r="J50" i="29"/>
  <c r="I50" i="29"/>
  <c r="O49" i="29"/>
  <c r="N49" i="29"/>
  <c r="M49" i="29"/>
  <c r="L49" i="29"/>
  <c r="K49" i="29"/>
  <c r="J49" i="29"/>
  <c r="I49" i="29"/>
  <c r="O48" i="29"/>
  <c r="N48" i="29"/>
  <c r="M48" i="29"/>
  <c r="L48" i="29"/>
  <c r="K48" i="29"/>
  <c r="J48" i="29"/>
  <c r="I48" i="29"/>
  <c r="O47" i="29"/>
  <c r="N47" i="29"/>
  <c r="M47" i="29"/>
  <c r="L47" i="29"/>
  <c r="K47" i="29"/>
  <c r="J47" i="29"/>
  <c r="I47" i="29"/>
  <c r="O46" i="29"/>
  <c r="N46" i="29"/>
  <c r="M46" i="29"/>
  <c r="L46" i="29"/>
  <c r="K46" i="29"/>
  <c r="J46" i="29"/>
  <c r="I46" i="29"/>
  <c r="O45" i="29"/>
  <c r="N45" i="29"/>
  <c r="M45" i="29"/>
  <c r="L45" i="29"/>
  <c r="K45" i="29"/>
  <c r="J45" i="29"/>
  <c r="I45" i="29"/>
  <c r="O44" i="29"/>
  <c r="N44" i="29"/>
  <c r="M44" i="29"/>
  <c r="L44" i="29"/>
  <c r="K44" i="29"/>
  <c r="J44" i="29"/>
  <c r="I44" i="29"/>
  <c r="O43" i="29"/>
  <c r="N43" i="29"/>
  <c r="M43" i="29"/>
  <c r="L43" i="29"/>
  <c r="K43" i="29"/>
  <c r="J43" i="29"/>
  <c r="I43" i="29"/>
  <c r="O42" i="29"/>
  <c r="N42" i="29"/>
  <c r="M42" i="29"/>
  <c r="L42" i="29"/>
  <c r="K42" i="29"/>
  <c r="J42" i="29"/>
  <c r="I42" i="29"/>
  <c r="O41" i="29"/>
  <c r="N41" i="29"/>
  <c r="M41" i="29"/>
  <c r="L41" i="29"/>
  <c r="K41" i="29"/>
  <c r="J41" i="29"/>
  <c r="I41" i="29"/>
  <c r="O40" i="29"/>
  <c r="N40" i="29"/>
  <c r="M40" i="29"/>
  <c r="L40" i="29"/>
  <c r="K40" i="29"/>
  <c r="J40" i="29"/>
  <c r="I40" i="29"/>
  <c r="O39" i="29"/>
  <c r="N39" i="29"/>
  <c r="M39" i="29"/>
  <c r="L39" i="29"/>
  <c r="K39" i="29"/>
  <c r="J39" i="29"/>
  <c r="I39" i="29"/>
  <c r="O38" i="29"/>
  <c r="N38" i="29"/>
  <c r="M38" i="29"/>
  <c r="L38" i="29"/>
  <c r="K38" i="29"/>
  <c r="J38" i="29"/>
  <c r="I38" i="29"/>
  <c r="O37" i="29"/>
  <c r="N37" i="29"/>
  <c r="M37" i="29"/>
  <c r="L37" i="29"/>
  <c r="K37" i="29"/>
  <c r="J37" i="29"/>
  <c r="I37" i="29"/>
  <c r="O36" i="29"/>
  <c r="N36" i="29"/>
  <c r="M36" i="29"/>
  <c r="L36" i="29"/>
  <c r="K36" i="29"/>
  <c r="J36" i="29"/>
  <c r="I36" i="29"/>
  <c r="O35" i="29"/>
  <c r="N35" i="29"/>
  <c r="M35" i="29"/>
  <c r="L35" i="29"/>
  <c r="K35" i="29"/>
  <c r="J35" i="29"/>
  <c r="I35" i="29"/>
  <c r="O34" i="29"/>
  <c r="N34" i="29"/>
  <c r="M34" i="29"/>
  <c r="L34" i="29"/>
  <c r="K34" i="29"/>
  <c r="J34" i="29"/>
  <c r="I34" i="29"/>
  <c r="O33" i="29"/>
  <c r="N33" i="29"/>
  <c r="M33" i="29"/>
  <c r="L33" i="29"/>
  <c r="K33" i="29"/>
  <c r="J33" i="29"/>
  <c r="I33" i="29"/>
  <c r="O32" i="29"/>
  <c r="N32" i="29"/>
  <c r="M32" i="29"/>
  <c r="L32" i="29"/>
  <c r="K32" i="29"/>
  <c r="J32" i="29"/>
  <c r="I32" i="29"/>
  <c r="O31" i="29"/>
  <c r="N31" i="29"/>
  <c r="M31" i="29"/>
  <c r="L31" i="29"/>
  <c r="K31" i="29"/>
  <c r="J31" i="29"/>
  <c r="I31" i="29"/>
  <c r="O30" i="29"/>
  <c r="N30" i="29"/>
  <c r="M30" i="29"/>
  <c r="L30" i="29"/>
  <c r="K30" i="29"/>
  <c r="J30" i="29"/>
  <c r="I30" i="29"/>
  <c r="O29" i="29"/>
  <c r="N29" i="29"/>
  <c r="M29" i="29"/>
  <c r="L29" i="29"/>
  <c r="K29" i="29"/>
  <c r="J29" i="29"/>
  <c r="I29" i="29"/>
  <c r="O28" i="29"/>
  <c r="N28" i="29"/>
  <c r="M28" i="29"/>
  <c r="L28" i="29"/>
  <c r="K28" i="29"/>
  <c r="J28" i="29"/>
  <c r="I28" i="29"/>
  <c r="O27" i="29"/>
  <c r="N27" i="29"/>
  <c r="M27" i="29"/>
  <c r="L27" i="29"/>
  <c r="K27" i="29"/>
  <c r="J27" i="29"/>
  <c r="I27" i="29"/>
  <c r="O26" i="29"/>
  <c r="N26" i="29"/>
  <c r="M26" i="29"/>
  <c r="L26" i="29"/>
  <c r="K26" i="29"/>
  <c r="J26" i="29"/>
  <c r="I26" i="29"/>
  <c r="O25" i="29"/>
  <c r="N25" i="29"/>
  <c r="M25" i="29"/>
  <c r="L25" i="29"/>
  <c r="K25" i="29"/>
  <c r="J25" i="29"/>
  <c r="I25" i="29"/>
  <c r="O24" i="29"/>
  <c r="N24" i="29"/>
  <c r="M24" i="29"/>
  <c r="L24" i="29"/>
  <c r="K24" i="29"/>
  <c r="J24" i="29"/>
  <c r="I24" i="29"/>
  <c r="O23" i="29"/>
  <c r="N23" i="29"/>
  <c r="M23" i="29"/>
  <c r="L23" i="29"/>
  <c r="K23" i="29"/>
  <c r="J23" i="29"/>
  <c r="I23" i="29"/>
  <c r="O22" i="29"/>
  <c r="N22" i="29"/>
  <c r="M22" i="29"/>
  <c r="L22" i="29"/>
  <c r="K22" i="29"/>
  <c r="J22" i="29"/>
  <c r="I22" i="29"/>
  <c r="O21" i="29"/>
  <c r="N21" i="29"/>
  <c r="M21" i="29"/>
  <c r="L21" i="29"/>
  <c r="K21" i="29"/>
  <c r="J21" i="29"/>
  <c r="I21" i="29"/>
  <c r="O20" i="29"/>
  <c r="N20" i="29"/>
  <c r="M20" i="29"/>
  <c r="L20" i="29"/>
  <c r="K20" i="29"/>
  <c r="J20" i="29"/>
  <c r="I20" i="29"/>
  <c r="O19" i="29"/>
  <c r="N19" i="29"/>
  <c r="M19" i="29"/>
  <c r="L19" i="29"/>
  <c r="K19" i="29"/>
  <c r="J19" i="29"/>
  <c r="I19" i="29"/>
  <c r="O18" i="29"/>
  <c r="N18" i="29"/>
  <c r="M18" i="29"/>
  <c r="L18" i="29"/>
  <c r="K18" i="29"/>
  <c r="J18" i="29"/>
  <c r="I18" i="29"/>
  <c r="O17" i="29"/>
  <c r="N17" i="29"/>
  <c r="M17" i="29"/>
  <c r="L17" i="29"/>
  <c r="K17" i="29"/>
  <c r="J17" i="29"/>
  <c r="I17" i="29"/>
  <c r="O16" i="29"/>
  <c r="N16" i="29"/>
  <c r="M16" i="29"/>
  <c r="L16" i="29"/>
  <c r="K16" i="29"/>
  <c r="J16" i="29"/>
  <c r="I16" i="29"/>
  <c r="O15" i="29"/>
  <c r="N15" i="29"/>
  <c r="M15" i="29"/>
  <c r="L15" i="29"/>
  <c r="K15" i="29"/>
  <c r="J15" i="29"/>
  <c r="I15" i="29"/>
  <c r="O14" i="29"/>
  <c r="N14" i="29"/>
  <c r="M14" i="29"/>
  <c r="L14" i="29"/>
  <c r="K14" i="29"/>
  <c r="J14" i="29"/>
  <c r="I14" i="29"/>
  <c r="O13" i="29"/>
  <c r="N13" i="29"/>
  <c r="M13" i="29"/>
  <c r="L13" i="29"/>
  <c r="K13" i="29"/>
  <c r="J13" i="29"/>
  <c r="I13" i="29"/>
  <c r="O12" i="29"/>
  <c r="N12" i="29"/>
  <c r="M12" i="29"/>
  <c r="L12" i="29"/>
  <c r="K12" i="29"/>
  <c r="J12" i="29"/>
  <c r="I12" i="29"/>
  <c r="O11" i="29"/>
  <c r="N11" i="29"/>
  <c r="M11" i="29"/>
  <c r="L11" i="29"/>
  <c r="K11" i="29"/>
  <c r="J11" i="29"/>
  <c r="I11" i="29"/>
  <c r="O10" i="29"/>
  <c r="N10" i="29"/>
  <c r="M10" i="29"/>
  <c r="L10" i="29"/>
  <c r="K10" i="29"/>
  <c r="J10" i="29"/>
  <c r="I10" i="29"/>
  <c r="O9" i="29"/>
  <c r="N9" i="29"/>
  <c r="M9" i="29"/>
  <c r="L9" i="29"/>
  <c r="K9" i="29"/>
  <c r="J9" i="29"/>
  <c r="I9" i="29"/>
  <c r="O8" i="29"/>
  <c r="N8" i="29"/>
  <c r="M8" i="29"/>
  <c r="L8" i="29"/>
  <c r="K8" i="29"/>
  <c r="J8" i="29"/>
  <c r="I8" i="29"/>
  <c r="O7" i="29"/>
  <c r="N7" i="29"/>
  <c r="M7" i="29"/>
  <c r="L7" i="29"/>
  <c r="K7" i="29"/>
  <c r="J7" i="29"/>
  <c r="I7" i="29"/>
  <c r="O6" i="29"/>
  <c r="N6" i="29"/>
  <c r="M6" i="29"/>
  <c r="L6" i="29"/>
  <c r="K6" i="29"/>
  <c r="J6" i="29"/>
  <c r="I6" i="29"/>
  <c r="O5" i="29"/>
  <c r="N5" i="29"/>
  <c r="M5" i="29"/>
  <c r="L5" i="29"/>
  <c r="K5" i="29"/>
  <c r="J5" i="29"/>
  <c r="I5" i="29"/>
  <c r="O4" i="29"/>
  <c r="N4" i="29"/>
  <c r="M4" i="29"/>
  <c r="L4" i="29"/>
  <c r="K4" i="29"/>
  <c r="J4" i="29"/>
  <c r="I4" i="29"/>
  <c r="O3" i="29"/>
  <c r="N3" i="29"/>
  <c r="M3" i="29"/>
  <c r="L3" i="29"/>
  <c r="K3" i="29"/>
  <c r="J3" i="29"/>
  <c r="I3" i="29"/>
  <c r="U2" i="29"/>
  <c r="T2" i="29"/>
  <c r="S2" i="29"/>
  <c r="R2" i="29"/>
  <c r="Q2" i="29"/>
  <c r="P2" i="29"/>
  <c r="J3" i="28"/>
  <c r="J4" i="28"/>
  <c r="J5" i="28"/>
  <c r="J6" i="28"/>
  <c r="J7" i="28"/>
  <c r="J8" i="28"/>
  <c r="J9" i="28"/>
  <c r="J10" i="28"/>
  <c r="J11" i="28"/>
  <c r="J12" i="28"/>
  <c r="J13" i="28"/>
  <c r="J14" i="28"/>
  <c r="J15" i="28"/>
  <c r="J16" i="28"/>
  <c r="J17" i="28"/>
  <c r="J18" i="28"/>
  <c r="J19" i="28"/>
  <c r="J20" i="28"/>
  <c r="J21" i="28"/>
  <c r="J22" i="28"/>
  <c r="J23" i="28"/>
  <c r="J24" i="28"/>
  <c r="J25" i="28"/>
  <c r="J26" i="28"/>
  <c r="J27" i="28"/>
  <c r="J28" i="28"/>
  <c r="J29" i="28"/>
  <c r="J30" i="28"/>
  <c r="J31" i="28"/>
  <c r="J32" i="28"/>
  <c r="J33" i="28"/>
  <c r="J34" i="28"/>
  <c r="J35" i="28"/>
  <c r="J36" i="28"/>
  <c r="J37" i="28"/>
  <c r="J38" i="28"/>
  <c r="J39" i="28"/>
  <c r="J40" i="28"/>
  <c r="J41" i="28"/>
  <c r="J42" i="28"/>
  <c r="J43" i="28"/>
  <c r="J44" i="28"/>
  <c r="J45" i="28"/>
  <c r="J46" i="28"/>
  <c r="J47" i="28"/>
  <c r="J48" i="28"/>
  <c r="J49" i="28"/>
  <c r="J50" i="28"/>
  <c r="J51" i="28"/>
  <c r="J52" i="28"/>
  <c r="J53" i="28"/>
  <c r="J54" i="28"/>
  <c r="J55" i="28"/>
  <c r="J56" i="28"/>
  <c r="J57" i="28"/>
  <c r="J58" i="28"/>
  <c r="J59" i="28"/>
  <c r="J60" i="28"/>
  <c r="J61" i="28"/>
  <c r="J62" i="28"/>
  <c r="J63" i="28"/>
  <c r="J64" i="28"/>
  <c r="J65" i="28"/>
  <c r="J66" i="28"/>
  <c r="J67" i="28"/>
  <c r="J68" i="28"/>
  <c r="J69" i="28"/>
  <c r="J70" i="28"/>
  <c r="J71" i="28"/>
  <c r="J72" i="28"/>
  <c r="J73" i="28"/>
  <c r="J74" i="28"/>
  <c r="J75" i="28"/>
  <c r="J76" i="28"/>
  <c r="J77" i="28"/>
  <c r="J78" i="28"/>
  <c r="J79" i="28"/>
  <c r="J80" i="28"/>
  <c r="J81" i="28"/>
  <c r="J82" i="28"/>
  <c r="J83" i="28"/>
  <c r="O83" i="28"/>
  <c r="N83" i="28"/>
  <c r="M83" i="28"/>
  <c r="L83" i="28"/>
  <c r="K83" i="28"/>
  <c r="I83" i="28"/>
  <c r="O82" i="28"/>
  <c r="N82" i="28"/>
  <c r="M82" i="28"/>
  <c r="L82" i="28"/>
  <c r="K82" i="28"/>
  <c r="I82" i="28"/>
  <c r="O81" i="28"/>
  <c r="N81" i="28"/>
  <c r="M81" i="28"/>
  <c r="L81" i="28"/>
  <c r="K81" i="28"/>
  <c r="I81" i="28"/>
  <c r="O80" i="28"/>
  <c r="N80" i="28"/>
  <c r="M80" i="28"/>
  <c r="L80" i="28"/>
  <c r="K80" i="28"/>
  <c r="I80" i="28"/>
  <c r="O79" i="28"/>
  <c r="N79" i="28"/>
  <c r="M79" i="28"/>
  <c r="L79" i="28"/>
  <c r="K79" i="28"/>
  <c r="I79" i="28"/>
  <c r="O78" i="28"/>
  <c r="N78" i="28"/>
  <c r="M78" i="28"/>
  <c r="L78" i="28"/>
  <c r="K78" i="28"/>
  <c r="I78" i="28"/>
  <c r="O77" i="28"/>
  <c r="N77" i="28"/>
  <c r="M77" i="28"/>
  <c r="L77" i="28"/>
  <c r="K77" i="28"/>
  <c r="I77" i="28"/>
  <c r="O76" i="28"/>
  <c r="N76" i="28"/>
  <c r="M76" i="28"/>
  <c r="L76" i="28"/>
  <c r="K76" i="28"/>
  <c r="I76" i="28"/>
  <c r="O75" i="28"/>
  <c r="N75" i="28"/>
  <c r="M75" i="28"/>
  <c r="L75" i="28"/>
  <c r="K75" i="28"/>
  <c r="I75" i="28"/>
  <c r="O74" i="28"/>
  <c r="N74" i="28"/>
  <c r="M74" i="28"/>
  <c r="L74" i="28"/>
  <c r="K74" i="28"/>
  <c r="I74" i="28"/>
  <c r="O73" i="28"/>
  <c r="N73" i="28"/>
  <c r="M73" i="28"/>
  <c r="L73" i="28"/>
  <c r="K73" i="28"/>
  <c r="I73" i="28"/>
  <c r="O72" i="28"/>
  <c r="N72" i="28"/>
  <c r="M72" i="28"/>
  <c r="L72" i="28"/>
  <c r="K72" i="28"/>
  <c r="I72" i="28"/>
  <c r="O71" i="28"/>
  <c r="N71" i="28"/>
  <c r="M71" i="28"/>
  <c r="L71" i="28"/>
  <c r="K71" i="28"/>
  <c r="I71" i="28"/>
  <c r="O70" i="28"/>
  <c r="N70" i="28"/>
  <c r="M70" i="28"/>
  <c r="L70" i="28"/>
  <c r="K70" i="28"/>
  <c r="I70" i="28"/>
  <c r="O69" i="28"/>
  <c r="N69" i="28"/>
  <c r="M69" i="28"/>
  <c r="L69" i="28"/>
  <c r="K69" i="28"/>
  <c r="I69" i="28"/>
  <c r="O68" i="28"/>
  <c r="N68" i="28"/>
  <c r="M68" i="28"/>
  <c r="L68" i="28"/>
  <c r="K68" i="28"/>
  <c r="I68" i="28"/>
  <c r="O67" i="28"/>
  <c r="N67" i="28"/>
  <c r="M67" i="28"/>
  <c r="L67" i="28"/>
  <c r="K67" i="28"/>
  <c r="I67" i="28"/>
  <c r="O66" i="28"/>
  <c r="N66" i="28"/>
  <c r="M66" i="28"/>
  <c r="L66" i="28"/>
  <c r="K66" i="28"/>
  <c r="I66" i="28"/>
  <c r="O65" i="28"/>
  <c r="N65" i="28"/>
  <c r="M65" i="28"/>
  <c r="L65" i="28"/>
  <c r="K65" i="28"/>
  <c r="I65" i="28"/>
  <c r="O64" i="28"/>
  <c r="N64" i="28"/>
  <c r="M64" i="28"/>
  <c r="L64" i="28"/>
  <c r="K64" i="28"/>
  <c r="I64" i="28"/>
  <c r="O63" i="28"/>
  <c r="N63" i="28"/>
  <c r="M63" i="28"/>
  <c r="L63" i="28"/>
  <c r="K63" i="28"/>
  <c r="I63" i="28"/>
  <c r="O62" i="28"/>
  <c r="N62" i="28"/>
  <c r="M62" i="28"/>
  <c r="L62" i="28"/>
  <c r="K62" i="28"/>
  <c r="I62" i="28"/>
  <c r="O61" i="28"/>
  <c r="N61" i="28"/>
  <c r="M61" i="28"/>
  <c r="L61" i="28"/>
  <c r="K61" i="28"/>
  <c r="I61" i="28"/>
  <c r="O60" i="28"/>
  <c r="N60" i="28"/>
  <c r="M60" i="28"/>
  <c r="L60" i="28"/>
  <c r="K60" i="28"/>
  <c r="I60" i="28"/>
  <c r="O59" i="28"/>
  <c r="N59" i="28"/>
  <c r="M59" i="28"/>
  <c r="L59" i="28"/>
  <c r="K59" i="28"/>
  <c r="I59" i="28"/>
  <c r="O58" i="28"/>
  <c r="N58" i="28"/>
  <c r="M58" i="28"/>
  <c r="L58" i="28"/>
  <c r="K58" i="28"/>
  <c r="I58" i="28"/>
  <c r="O57" i="28"/>
  <c r="N57" i="28"/>
  <c r="M57" i="28"/>
  <c r="L57" i="28"/>
  <c r="K57" i="28"/>
  <c r="I57" i="28"/>
  <c r="O56" i="28"/>
  <c r="N56" i="28"/>
  <c r="M56" i="28"/>
  <c r="L56" i="28"/>
  <c r="K56" i="28"/>
  <c r="I56" i="28"/>
  <c r="O55" i="28"/>
  <c r="N55" i="28"/>
  <c r="M55" i="28"/>
  <c r="L55" i="28"/>
  <c r="K55" i="28"/>
  <c r="I55" i="28"/>
  <c r="O54" i="28"/>
  <c r="N54" i="28"/>
  <c r="M54" i="28"/>
  <c r="L54" i="28"/>
  <c r="K54" i="28"/>
  <c r="I54" i="28"/>
  <c r="O53" i="28"/>
  <c r="N53" i="28"/>
  <c r="M53" i="28"/>
  <c r="L53" i="28"/>
  <c r="K53" i="28"/>
  <c r="I53" i="28"/>
  <c r="O52" i="28"/>
  <c r="N52" i="28"/>
  <c r="M52" i="28"/>
  <c r="L52" i="28"/>
  <c r="K52" i="28"/>
  <c r="I52" i="28"/>
  <c r="O51" i="28"/>
  <c r="N51" i="28"/>
  <c r="M51" i="28"/>
  <c r="L51" i="28"/>
  <c r="K51" i="28"/>
  <c r="I51" i="28"/>
  <c r="O50" i="28"/>
  <c r="N50" i="28"/>
  <c r="M50" i="28"/>
  <c r="L50" i="28"/>
  <c r="K50" i="28"/>
  <c r="I50" i="28"/>
  <c r="O49" i="28"/>
  <c r="N49" i="28"/>
  <c r="M49" i="28"/>
  <c r="L49" i="28"/>
  <c r="K49" i="28"/>
  <c r="I49" i="28"/>
  <c r="O48" i="28"/>
  <c r="N48" i="28"/>
  <c r="M48" i="28"/>
  <c r="L48" i="28"/>
  <c r="K48" i="28"/>
  <c r="I48" i="28"/>
  <c r="O47" i="28"/>
  <c r="N47" i="28"/>
  <c r="M47" i="28"/>
  <c r="L47" i="28"/>
  <c r="K47" i="28"/>
  <c r="I47" i="28"/>
  <c r="O46" i="28"/>
  <c r="N46" i="28"/>
  <c r="M46" i="28"/>
  <c r="L46" i="28"/>
  <c r="K46" i="28"/>
  <c r="I46" i="28"/>
  <c r="O45" i="28"/>
  <c r="N45" i="28"/>
  <c r="M45" i="28"/>
  <c r="L45" i="28"/>
  <c r="K45" i="28"/>
  <c r="I45" i="28"/>
  <c r="O44" i="28"/>
  <c r="N44" i="28"/>
  <c r="M44" i="28"/>
  <c r="L44" i="28"/>
  <c r="K44" i="28"/>
  <c r="I44" i="28"/>
  <c r="O43" i="28"/>
  <c r="N43" i="28"/>
  <c r="M43" i="28"/>
  <c r="L43" i="28"/>
  <c r="K43" i="28"/>
  <c r="I43" i="28"/>
  <c r="O42" i="28"/>
  <c r="N42" i="28"/>
  <c r="M42" i="28"/>
  <c r="L42" i="28"/>
  <c r="K42" i="28"/>
  <c r="I42" i="28"/>
  <c r="O41" i="28"/>
  <c r="N41" i="28"/>
  <c r="M41" i="28"/>
  <c r="L41" i="28"/>
  <c r="K41" i="28"/>
  <c r="I41" i="28"/>
  <c r="O40" i="28"/>
  <c r="N40" i="28"/>
  <c r="M40" i="28"/>
  <c r="L40" i="28"/>
  <c r="K40" i="28"/>
  <c r="I40" i="28"/>
  <c r="O39" i="28"/>
  <c r="N39" i="28"/>
  <c r="M39" i="28"/>
  <c r="L39" i="28"/>
  <c r="K39" i="28"/>
  <c r="I39" i="28"/>
  <c r="O38" i="28"/>
  <c r="N38" i="28"/>
  <c r="M38" i="28"/>
  <c r="L38" i="28"/>
  <c r="K38" i="28"/>
  <c r="I38" i="28"/>
  <c r="O37" i="28"/>
  <c r="N37" i="28"/>
  <c r="M37" i="28"/>
  <c r="L37" i="28"/>
  <c r="K37" i="28"/>
  <c r="I37" i="28"/>
  <c r="O36" i="28"/>
  <c r="N36" i="28"/>
  <c r="M36" i="28"/>
  <c r="L36" i="28"/>
  <c r="K36" i="28"/>
  <c r="I36" i="28"/>
  <c r="O35" i="28"/>
  <c r="N35" i="28"/>
  <c r="M35" i="28"/>
  <c r="L35" i="28"/>
  <c r="K35" i="28"/>
  <c r="I35" i="28"/>
  <c r="O34" i="28"/>
  <c r="N34" i="28"/>
  <c r="M34" i="28"/>
  <c r="L34" i="28"/>
  <c r="K34" i="28"/>
  <c r="I34" i="28"/>
  <c r="O33" i="28"/>
  <c r="N33" i="28"/>
  <c r="M33" i="28"/>
  <c r="L33" i="28"/>
  <c r="K33" i="28"/>
  <c r="I33" i="28"/>
  <c r="O32" i="28"/>
  <c r="N32" i="28"/>
  <c r="M32" i="28"/>
  <c r="L32" i="28"/>
  <c r="K32" i="28"/>
  <c r="I32" i="28"/>
  <c r="O31" i="28"/>
  <c r="N31" i="28"/>
  <c r="M31" i="28"/>
  <c r="L31" i="28"/>
  <c r="K31" i="28"/>
  <c r="I31" i="28"/>
  <c r="O30" i="28"/>
  <c r="N30" i="28"/>
  <c r="M30" i="28"/>
  <c r="L30" i="28"/>
  <c r="K30" i="28"/>
  <c r="I30" i="28"/>
  <c r="O29" i="28"/>
  <c r="N29" i="28"/>
  <c r="M29" i="28"/>
  <c r="L29" i="28"/>
  <c r="K29" i="28"/>
  <c r="I29" i="28"/>
  <c r="O28" i="28"/>
  <c r="N28" i="28"/>
  <c r="M28" i="28"/>
  <c r="L28" i="28"/>
  <c r="K28" i="28"/>
  <c r="I28" i="28"/>
  <c r="O27" i="28"/>
  <c r="N27" i="28"/>
  <c r="M27" i="28"/>
  <c r="L27" i="28"/>
  <c r="K27" i="28"/>
  <c r="I27" i="28"/>
  <c r="O26" i="28"/>
  <c r="N26" i="28"/>
  <c r="M26" i="28"/>
  <c r="L26" i="28"/>
  <c r="K26" i="28"/>
  <c r="I26" i="28"/>
  <c r="O25" i="28"/>
  <c r="N25" i="28"/>
  <c r="M25" i="28"/>
  <c r="L25" i="28"/>
  <c r="K25" i="28"/>
  <c r="I25" i="28"/>
  <c r="O24" i="28"/>
  <c r="N24" i="28"/>
  <c r="M24" i="28"/>
  <c r="L24" i="28"/>
  <c r="K24" i="28"/>
  <c r="I24" i="28"/>
  <c r="O23" i="28"/>
  <c r="N23" i="28"/>
  <c r="M23" i="28"/>
  <c r="L23" i="28"/>
  <c r="K23" i="28"/>
  <c r="I23" i="28"/>
  <c r="O22" i="28"/>
  <c r="N22" i="28"/>
  <c r="M22" i="28"/>
  <c r="L22" i="28"/>
  <c r="K22" i="28"/>
  <c r="I22" i="28"/>
  <c r="O21" i="28"/>
  <c r="N21" i="28"/>
  <c r="M21" i="28"/>
  <c r="L21" i="28"/>
  <c r="K21" i="28"/>
  <c r="I21" i="28"/>
  <c r="O20" i="28"/>
  <c r="N20" i="28"/>
  <c r="M20" i="28"/>
  <c r="L20" i="28"/>
  <c r="K20" i="28"/>
  <c r="I20" i="28"/>
  <c r="O19" i="28"/>
  <c r="N19" i="28"/>
  <c r="M19" i="28"/>
  <c r="L19" i="28"/>
  <c r="K19" i="28"/>
  <c r="I19" i="28"/>
  <c r="O18" i="28"/>
  <c r="N18" i="28"/>
  <c r="M18" i="28"/>
  <c r="L18" i="28"/>
  <c r="K18" i="28"/>
  <c r="I18" i="28"/>
  <c r="O17" i="28"/>
  <c r="N17" i="28"/>
  <c r="M17" i="28"/>
  <c r="L17" i="28"/>
  <c r="K17" i="28"/>
  <c r="I17" i="28"/>
  <c r="O16" i="28"/>
  <c r="N16" i="28"/>
  <c r="M16" i="28"/>
  <c r="L16" i="28"/>
  <c r="K16" i="28"/>
  <c r="I16" i="28"/>
  <c r="O15" i="28"/>
  <c r="N15" i="28"/>
  <c r="M15" i="28"/>
  <c r="L15" i="28"/>
  <c r="K15" i="28"/>
  <c r="I15" i="28"/>
  <c r="O14" i="28"/>
  <c r="N14" i="28"/>
  <c r="M14" i="28"/>
  <c r="L14" i="28"/>
  <c r="K14" i="28"/>
  <c r="I14" i="28"/>
  <c r="O13" i="28"/>
  <c r="N13" i="28"/>
  <c r="M13" i="28"/>
  <c r="L13" i="28"/>
  <c r="K13" i="28"/>
  <c r="I13" i="28"/>
  <c r="O12" i="28"/>
  <c r="N12" i="28"/>
  <c r="M12" i="28"/>
  <c r="L12" i="28"/>
  <c r="K12" i="28"/>
  <c r="I12" i="28"/>
  <c r="O11" i="28"/>
  <c r="N11" i="28"/>
  <c r="M11" i="28"/>
  <c r="L11" i="28"/>
  <c r="K11" i="28"/>
  <c r="I11" i="28"/>
  <c r="O10" i="28"/>
  <c r="N10" i="28"/>
  <c r="M10" i="28"/>
  <c r="L10" i="28"/>
  <c r="K10" i="28"/>
  <c r="I10" i="28"/>
  <c r="O9" i="28"/>
  <c r="N9" i="28"/>
  <c r="M9" i="28"/>
  <c r="L9" i="28"/>
  <c r="K9" i="28"/>
  <c r="I9" i="28"/>
  <c r="O8" i="28"/>
  <c r="N8" i="28"/>
  <c r="M8" i="28"/>
  <c r="L8" i="28"/>
  <c r="K8" i="28"/>
  <c r="I8" i="28"/>
  <c r="O7" i="28"/>
  <c r="N7" i="28"/>
  <c r="M7" i="28"/>
  <c r="L7" i="28"/>
  <c r="K7" i="28"/>
  <c r="I7" i="28"/>
  <c r="O6" i="28"/>
  <c r="N6" i="28"/>
  <c r="M6" i="28"/>
  <c r="L6" i="28"/>
  <c r="K6" i="28"/>
  <c r="I6" i="28"/>
  <c r="O5" i="28"/>
  <c r="N5" i="28"/>
  <c r="M5" i="28"/>
  <c r="L5" i="28"/>
  <c r="K5" i="28"/>
  <c r="I5" i="28"/>
  <c r="O4" i="28"/>
  <c r="N4" i="28"/>
  <c r="M4" i="28"/>
  <c r="L4" i="28"/>
  <c r="K4" i="28"/>
  <c r="I4" i="28"/>
  <c r="O3" i="28"/>
  <c r="N3" i="28"/>
  <c r="M3" i="28"/>
  <c r="L3" i="28"/>
  <c r="K3" i="28"/>
  <c r="I3" i="28"/>
  <c r="U2" i="28"/>
  <c r="T2" i="28"/>
  <c r="S2" i="28"/>
  <c r="R2" i="28"/>
  <c r="Q2" i="28"/>
  <c r="P2" i="28"/>
  <c r="O83" i="27"/>
  <c r="N83" i="27"/>
  <c r="M83" i="27"/>
  <c r="L83" i="27"/>
  <c r="K83" i="27"/>
  <c r="J83" i="27"/>
  <c r="I83" i="27"/>
  <c r="O82" i="27"/>
  <c r="N82" i="27"/>
  <c r="M82" i="27"/>
  <c r="L82" i="27"/>
  <c r="K82" i="27"/>
  <c r="J82" i="27"/>
  <c r="I82" i="27"/>
  <c r="O81" i="27"/>
  <c r="N81" i="27"/>
  <c r="M81" i="27"/>
  <c r="L81" i="27"/>
  <c r="K81" i="27"/>
  <c r="J81" i="27"/>
  <c r="I81" i="27"/>
  <c r="O80" i="27"/>
  <c r="N80" i="27"/>
  <c r="M80" i="27"/>
  <c r="L80" i="27"/>
  <c r="K80" i="27"/>
  <c r="J80" i="27"/>
  <c r="I80" i="27"/>
  <c r="O79" i="27"/>
  <c r="N79" i="27"/>
  <c r="M79" i="27"/>
  <c r="L79" i="27"/>
  <c r="K79" i="27"/>
  <c r="J79" i="27"/>
  <c r="I79" i="27"/>
  <c r="O78" i="27"/>
  <c r="N78" i="27"/>
  <c r="M78" i="27"/>
  <c r="L78" i="27"/>
  <c r="K78" i="27"/>
  <c r="J78" i="27"/>
  <c r="I78" i="27"/>
  <c r="O77" i="27"/>
  <c r="N77" i="27"/>
  <c r="M77" i="27"/>
  <c r="L77" i="27"/>
  <c r="K77" i="27"/>
  <c r="J77" i="27"/>
  <c r="I77" i="27"/>
  <c r="O76" i="27"/>
  <c r="N76" i="27"/>
  <c r="M76" i="27"/>
  <c r="L76" i="27"/>
  <c r="K76" i="27"/>
  <c r="J76" i="27"/>
  <c r="I76" i="27"/>
  <c r="O75" i="27"/>
  <c r="N75" i="27"/>
  <c r="M75" i="27"/>
  <c r="L75" i="27"/>
  <c r="K75" i="27"/>
  <c r="J75" i="27"/>
  <c r="I75" i="27"/>
  <c r="O74" i="27"/>
  <c r="N74" i="27"/>
  <c r="M74" i="27"/>
  <c r="L74" i="27"/>
  <c r="K74" i="27"/>
  <c r="J74" i="27"/>
  <c r="I74" i="27"/>
  <c r="O73" i="27"/>
  <c r="N73" i="27"/>
  <c r="M73" i="27"/>
  <c r="L73" i="27"/>
  <c r="K73" i="27"/>
  <c r="J73" i="27"/>
  <c r="I73" i="27"/>
  <c r="O72" i="27"/>
  <c r="N72" i="27"/>
  <c r="M72" i="27"/>
  <c r="L72" i="27"/>
  <c r="K72" i="27"/>
  <c r="J72" i="27"/>
  <c r="I72" i="27"/>
  <c r="O71" i="27"/>
  <c r="N71" i="27"/>
  <c r="M71" i="27"/>
  <c r="L71" i="27"/>
  <c r="K71" i="27"/>
  <c r="J71" i="27"/>
  <c r="I71" i="27"/>
  <c r="O70" i="27"/>
  <c r="N70" i="27"/>
  <c r="M70" i="27"/>
  <c r="L70" i="27"/>
  <c r="K70" i="27"/>
  <c r="J70" i="27"/>
  <c r="I70" i="27"/>
  <c r="O69" i="27"/>
  <c r="N69" i="27"/>
  <c r="M69" i="27"/>
  <c r="L69" i="27"/>
  <c r="K69" i="27"/>
  <c r="J69" i="27"/>
  <c r="I69" i="27"/>
  <c r="O68" i="27"/>
  <c r="N68" i="27"/>
  <c r="M68" i="27"/>
  <c r="L68" i="27"/>
  <c r="K68" i="27"/>
  <c r="J68" i="27"/>
  <c r="I68" i="27"/>
  <c r="O67" i="27"/>
  <c r="N67" i="27"/>
  <c r="M67" i="27"/>
  <c r="L67" i="27"/>
  <c r="K67" i="27"/>
  <c r="J67" i="27"/>
  <c r="I67" i="27"/>
  <c r="O66" i="27"/>
  <c r="N66" i="27"/>
  <c r="M66" i="27"/>
  <c r="L66" i="27"/>
  <c r="K66" i="27"/>
  <c r="J66" i="27"/>
  <c r="I66" i="27"/>
  <c r="O65" i="27"/>
  <c r="N65" i="27"/>
  <c r="M65" i="27"/>
  <c r="L65" i="27"/>
  <c r="K65" i="27"/>
  <c r="J65" i="27"/>
  <c r="I65" i="27"/>
  <c r="O64" i="27"/>
  <c r="N64" i="27"/>
  <c r="M64" i="27"/>
  <c r="L64" i="27"/>
  <c r="K64" i="27"/>
  <c r="J64" i="27"/>
  <c r="I64" i="27"/>
  <c r="O63" i="27"/>
  <c r="N63" i="27"/>
  <c r="M63" i="27"/>
  <c r="L63" i="27"/>
  <c r="K63" i="27"/>
  <c r="J63" i="27"/>
  <c r="I63" i="27"/>
  <c r="O62" i="27"/>
  <c r="N62" i="27"/>
  <c r="M62" i="27"/>
  <c r="L62" i="27"/>
  <c r="K62" i="27"/>
  <c r="J62" i="27"/>
  <c r="I62" i="27"/>
  <c r="O61" i="27"/>
  <c r="N61" i="27"/>
  <c r="M61" i="27"/>
  <c r="L61" i="27"/>
  <c r="K61" i="27"/>
  <c r="J61" i="27"/>
  <c r="I61" i="27"/>
  <c r="O60" i="27"/>
  <c r="N60" i="27"/>
  <c r="M60" i="27"/>
  <c r="L60" i="27"/>
  <c r="K60" i="27"/>
  <c r="J60" i="27"/>
  <c r="I60" i="27"/>
  <c r="O59" i="27"/>
  <c r="N59" i="27"/>
  <c r="M59" i="27"/>
  <c r="L59" i="27"/>
  <c r="K59" i="27"/>
  <c r="J59" i="27"/>
  <c r="I59" i="27"/>
  <c r="O58" i="27"/>
  <c r="N58" i="27"/>
  <c r="M58" i="27"/>
  <c r="L58" i="27"/>
  <c r="K58" i="27"/>
  <c r="J58" i="27"/>
  <c r="I58" i="27"/>
  <c r="O57" i="27"/>
  <c r="N57" i="27"/>
  <c r="M57" i="27"/>
  <c r="L57" i="27"/>
  <c r="K57" i="27"/>
  <c r="J57" i="27"/>
  <c r="I57" i="27"/>
  <c r="O56" i="27"/>
  <c r="N56" i="27"/>
  <c r="M56" i="27"/>
  <c r="L56" i="27"/>
  <c r="K56" i="27"/>
  <c r="J56" i="27"/>
  <c r="I56" i="27"/>
  <c r="O55" i="27"/>
  <c r="N55" i="27"/>
  <c r="M55" i="27"/>
  <c r="L55" i="27"/>
  <c r="K55" i="27"/>
  <c r="J55" i="27"/>
  <c r="I55" i="27"/>
  <c r="O54" i="27"/>
  <c r="N54" i="27"/>
  <c r="M54" i="27"/>
  <c r="L54" i="27"/>
  <c r="K54" i="27"/>
  <c r="J54" i="27"/>
  <c r="I54" i="27"/>
  <c r="O53" i="27"/>
  <c r="N53" i="27"/>
  <c r="M53" i="27"/>
  <c r="L53" i="27"/>
  <c r="K53" i="27"/>
  <c r="J53" i="27"/>
  <c r="I53" i="27"/>
  <c r="O52" i="27"/>
  <c r="N52" i="27"/>
  <c r="M52" i="27"/>
  <c r="L52" i="27"/>
  <c r="K52" i="27"/>
  <c r="J52" i="27"/>
  <c r="I52" i="27"/>
  <c r="O51" i="27"/>
  <c r="N51" i="27"/>
  <c r="M51" i="27"/>
  <c r="L51" i="27"/>
  <c r="K51" i="27"/>
  <c r="J51" i="27"/>
  <c r="I51" i="27"/>
  <c r="O50" i="27"/>
  <c r="N50" i="27"/>
  <c r="M50" i="27"/>
  <c r="L50" i="27"/>
  <c r="K50" i="27"/>
  <c r="J50" i="27"/>
  <c r="I50" i="27"/>
  <c r="O49" i="27"/>
  <c r="N49" i="27"/>
  <c r="M49" i="27"/>
  <c r="L49" i="27"/>
  <c r="K49" i="27"/>
  <c r="J49" i="27"/>
  <c r="I49" i="27"/>
  <c r="O48" i="27"/>
  <c r="N48" i="27"/>
  <c r="M48" i="27"/>
  <c r="L48" i="27"/>
  <c r="K48" i="27"/>
  <c r="J48" i="27"/>
  <c r="I48" i="27"/>
  <c r="O47" i="27"/>
  <c r="N47" i="27"/>
  <c r="M47" i="27"/>
  <c r="L47" i="27"/>
  <c r="K47" i="27"/>
  <c r="J47" i="27"/>
  <c r="I47" i="27"/>
  <c r="O46" i="27"/>
  <c r="N46" i="27"/>
  <c r="M46" i="27"/>
  <c r="L46" i="27"/>
  <c r="K46" i="27"/>
  <c r="J46" i="27"/>
  <c r="I46" i="27"/>
  <c r="O45" i="27"/>
  <c r="N45" i="27"/>
  <c r="M45" i="27"/>
  <c r="L45" i="27"/>
  <c r="K45" i="27"/>
  <c r="J45" i="27"/>
  <c r="I45" i="27"/>
  <c r="O44" i="27"/>
  <c r="N44" i="27"/>
  <c r="M44" i="27"/>
  <c r="L44" i="27"/>
  <c r="K44" i="27"/>
  <c r="J44" i="27"/>
  <c r="I44" i="27"/>
  <c r="O43" i="27"/>
  <c r="N43" i="27"/>
  <c r="M43" i="27"/>
  <c r="L43" i="27"/>
  <c r="K43" i="27"/>
  <c r="J43" i="27"/>
  <c r="I43" i="27"/>
  <c r="O42" i="27"/>
  <c r="N42" i="27"/>
  <c r="M42" i="27"/>
  <c r="L42" i="27"/>
  <c r="K42" i="27"/>
  <c r="J42" i="27"/>
  <c r="I42" i="27"/>
  <c r="O41" i="27"/>
  <c r="N41" i="27"/>
  <c r="M41" i="27"/>
  <c r="L41" i="27"/>
  <c r="K41" i="27"/>
  <c r="J41" i="27"/>
  <c r="I41" i="27"/>
  <c r="O40" i="27"/>
  <c r="N40" i="27"/>
  <c r="M40" i="27"/>
  <c r="L40" i="27"/>
  <c r="K40" i="27"/>
  <c r="J40" i="27"/>
  <c r="I40" i="27"/>
  <c r="O39" i="27"/>
  <c r="N39" i="27"/>
  <c r="M39" i="27"/>
  <c r="L39" i="27"/>
  <c r="K39" i="27"/>
  <c r="J39" i="27"/>
  <c r="I39" i="27"/>
  <c r="O38" i="27"/>
  <c r="N38" i="27"/>
  <c r="M38" i="27"/>
  <c r="L38" i="27"/>
  <c r="K38" i="27"/>
  <c r="J38" i="27"/>
  <c r="I38" i="27"/>
  <c r="O37" i="27"/>
  <c r="N37" i="27"/>
  <c r="M37" i="27"/>
  <c r="L37" i="27"/>
  <c r="K37" i="27"/>
  <c r="J37" i="27"/>
  <c r="I37" i="27"/>
  <c r="O36" i="27"/>
  <c r="N36" i="27"/>
  <c r="M36" i="27"/>
  <c r="L36" i="27"/>
  <c r="K36" i="27"/>
  <c r="J36" i="27"/>
  <c r="I36" i="27"/>
  <c r="O35" i="27"/>
  <c r="N35" i="27"/>
  <c r="M35" i="27"/>
  <c r="L35" i="27"/>
  <c r="K35" i="27"/>
  <c r="J35" i="27"/>
  <c r="I35" i="27"/>
  <c r="O34" i="27"/>
  <c r="N34" i="27"/>
  <c r="M34" i="27"/>
  <c r="L34" i="27"/>
  <c r="K34" i="27"/>
  <c r="J34" i="27"/>
  <c r="I34" i="27"/>
  <c r="O33" i="27"/>
  <c r="N33" i="27"/>
  <c r="M33" i="27"/>
  <c r="L33" i="27"/>
  <c r="K33" i="27"/>
  <c r="J33" i="27"/>
  <c r="I33" i="27"/>
  <c r="O32" i="27"/>
  <c r="N32" i="27"/>
  <c r="M32" i="27"/>
  <c r="L32" i="27"/>
  <c r="K32" i="27"/>
  <c r="J32" i="27"/>
  <c r="I32" i="27"/>
  <c r="O31" i="27"/>
  <c r="N31" i="27"/>
  <c r="M31" i="27"/>
  <c r="L31" i="27"/>
  <c r="K31" i="27"/>
  <c r="J31" i="27"/>
  <c r="I31" i="27"/>
  <c r="O30" i="27"/>
  <c r="N30" i="27"/>
  <c r="M30" i="27"/>
  <c r="L30" i="27"/>
  <c r="K30" i="27"/>
  <c r="J30" i="27"/>
  <c r="I30" i="27"/>
  <c r="O29" i="27"/>
  <c r="N29" i="27"/>
  <c r="M29" i="27"/>
  <c r="L29" i="27"/>
  <c r="K29" i="27"/>
  <c r="J29" i="27"/>
  <c r="I29" i="27"/>
  <c r="O28" i="27"/>
  <c r="N28" i="27"/>
  <c r="M28" i="27"/>
  <c r="L28" i="27"/>
  <c r="K28" i="27"/>
  <c r="J28" i="27"/>
  <c r="I28" i="27"/>
  <c r="O27" i="27"/>
  <c r="N27" i="27"/>
  <c r="M27" i="27"/>
  <c r="L27" i="27"/>
  <c r="K27" i="27"/>
  <c r="J27" i="27"/>
  <c r="I27" i="27"/>
  <c r="O26" i="27"/>
  <c r="N26" i="27"/>
  <c r="M26" i="27"/>
  <c r="L26" i="27"/>
  <c r="K26" i="27"/>
  <c r="J26" i="27"/>
  <c r="I26" i="27"/>
  <c r="O25" i="27"/>
  <c r="N25" i="27"/>
  <c r="M25" i="27"/>
  <c r="L25" i="27"/>
  <c r="K25" i="27"/>
  <c r="J25" i="27"/>
  <c r="I25" i="27"/>
  <c r="O24" i="27"/>
  <c r="N24" i="27"/>
  <c r="M24" i="27"/>
  <c r="L24" i="27"/>
  <c r="K24" i="27"/>
  <c r="J24" i="27"/>
  <c r="I24" i="27"/>
  <c r="O23" i="27"/>
  <c r="N23" i="27"/>
  <c r="M23" i="27"/>
  <c r="L23" i="27"/>
  <c r="K23" i="27"/>
  <c r="J23" i="27"/>
  <c r="I23" i="27"/>
  <c r="O22" i="27"/>
  <c r="N22" i="27"/>
  <c r="M22" i="27"/>
  <c r="L22" i="27"/>
  <c r="K22" i="27"/>
  <c r="J22" i="27"/>
  <c r="I22" i="27"/>
  <c r="O21" i="27"/>
  <c r="N21" i="27"/>
  <c r="M21" i="27"/>
  <c r="L21" i="27"/>
  <c r="K21" i="27"/>
  <c r="J21" i="27"/>
  <c r="I21" i="27"/>
  <c r="O20" i="27"/>
  <c r="N20" i="27"/>
  <c r="M20" i="27"/>
  <c r="L20" i="27"/>
  <c r="K20" i="27"/>
  <c r="J20" i="27"/>
  <c r="I20" i="27"/>
  <c r="O19" i="27"/>
  <c r="N19" i="27"/>
  <c r="M19" i="27"/>
  <c r="L19" i="27"/>
  <c r="K19" i="27"/>
  <c r="J19" i="27"/>
  <c r="I19" i="27"/>
  <c r="O18" i="27"/>
  <c r="N18" i="27"/>
  <c r="M18" i="27"/>
  <c r="L18" i="27"/>
  <c r="K18" i="27"/>
  <c r="J18" i="27"/>
  <c r="I18" i="27"/>
  <c r="O17" i="27"/>
  <c r="N17" i="27"/>
  <c r="M17" i="27"/>
  <c r="L17" i="27"/>
  <c r="K17" i="27"/>
  <c r="J17" i="27"/>
  <c r="I17" i="27"/>
  <c r="O16" i="27"/>
  <c r="N16" i="27"/>
  <c r="M16" i="27"/>
  <c r="L16" i="27"/>
  <c r="K16" i="27"/>
  <c r="J16" i="27"/>
  <c r="I16" i="27"/>
  <c r="O15" i="27"/>
  <c r="N15" i="27"/>
  <c r="M15" i="27"/>
  <c r="L15" i="27"/>
  <c r="K15" i="27"/>
  <c r="J15" i="27"/>
  <c r="I15" i="27"/>
  <c r="O14" i="27"/>
  <c r="N14" i="27"/>
  <c r="M14" i="27"/>
  <c r="L14" i="27"/>
  <c r="K14" i="27"/>
  <c r="J14" i="27"/>
  <c r="I14" i="27"/>
  <c r="O13" i="27"/>
  <c r="N13" i="27"/>
  <c r="M13" i="27"/>
  <c r="L13" i="27"/>
  <c r="K13" i="27"/>
  <c r="J13" i="27"/>
  <c r="I13" i="27"/>
  <c r="O12" i="27"/>
  <c r="N12" i="27"/>
  <c r="M12" i="27"/>
  <c r="L12" i="27"/>
  <c r="K12" i="27"/>
  <c r="J12" i="27"/>
  <c r="I12" i="27"/>
  <c r="O11" i="27"/>
  <c r="N11" i="27"/>
  <c r="M11" i="27"/>
  <c r="L11" i="27"/>
  <c r="K11" i="27"/>
  <c r="J11" i="27"/>
  <c r="I11" i="27"/>
  <c r="O10" i="27"/>
  <c r="N10" i="27"/>
  <c r="M10" i="27"/>
  <c r="L10" i="27"/>
  <c r="K10" i="27"/>
  <c r="J10" i="27"/>
  <c r="I10" i="27"/>
  <c r="O9" i="27"/>
  <c r="N9" i="27"/>
  <c r="M9" i="27"/>
  <c r="L9" i="27"/>
  <c r="K9" i="27"/>
  <c r="J9" i="27"/>
  <c r="I9" i="27"/>
  <c r="O8" i="27"/>
  <c r="N8" i="27"/>
  <c r="M8" i="27"/>
  <c r="L8" i="27"/>
  <c r="K8" i="27"/>
  <c r="J8" i="27"/>
  <c r="I8" i="27"/>
  <c r="O7" i="27"/>
  <c r="N7" i="27"/>
  <c r="M7" i="27"/>
  <c r="L7" i="27"/>
  <c r="K7" i="27"/>
  <c r="J7" i="27"/>
  <c r="I7" i="27"/>
  <c r="O6" i="27"/>
  <c r="N6" i="27"/>
  <c r="M6" i="27"/>
  <c r="L6" i="27"/>
  <c r="K6" i="27"/>
  <c r="J6" i="27"/>
  <c r="I6" i="27"/>
  <c r="O5" i="27"/>
  <c r="N5" i="27"/>
  <c r="M5" i="27"/>
  <c r="L5" i="27"/>
  <c r="K5" i="27"/>
  <c r="J5" i="27"/>
  <c r="I5" i="27"/>
  <c r="O4" i="27"/>
  <c r="N4" i="27"/>
  <c r="M4" i="27"/>
  <c r="L4" i="27"/>
  <c r="K4" i="27"/>
  <c r="J4" i="27"/>
  <c r="I4" i="27"/>
  <c r="O3" i="27"/>
  <c r="N3" i="27"/>
  <c r="M3" i="27"/>
  <c r="L3" i="27"/>
  <c r="K3" i="27"/>
  <c r="J3" i="27"/>
  <c r="I3" i="27"/>
  <c r="T2" i="27"/>
  <c r="S2" i="27"/>
  <c r="R2" i="27"/>
  <c r="U2" i="27"/>
  <c r="Q2" i="27"/>
  <c r="P2" i="27"/>
  <c r="I3" i="30" l="1"/>
  <c r="K83" i="26"/>
  <c r="J83" i="26"/>
  <c r="I83" i="26"/>
  <c r="H83" i="26"/>
  <c r="G83" i="26"/>
  <c r="K82" i="26"/>
  <c r="J82" i="26"/>
  <c r="I82" i="26"/>
  <c r="H82" i="26"/>
  <c r="G82" i="26"/>
  <c r="K81" i="26"/>
  <c r="J81" i="26"/>
  <c r="I81" i="26"/>
  <c r="H81" i="26"/>
  <c r="G81" i="26"/>
  <c r="K80" i="26"/>
  <c r="J80" i="26"/>
  <c r="I80" i="26"/>
  <c r="H80" i="26"/>
  <c r="G80" i="26"/>
  <c r="K79" i="26"/>
  <c r="J79" i="26"/>
  <c r="I79" i="26"/>
  <c r="H79" i="26"/>
  <c r="G79" i="26"/>
  <c r="K78" i="26"/>
  <c r="J78" i="26"/>
  <c r="I78" i="26"/>
  <c r="H78" i="26"/>
  <c r="G78" i="26"/>
  <c r="K77" i="26"/>
  <c r="J77" i="26"/>
  <c r="I77" i="26"/>
  <c r="H77" i="26"/>
  <c r="G77" i="26"/>
  <c r="K76" i="26"/>
  <c r="J76" i="26"/>
  <c r="I76" i="26"/>
  <c r="H76" i="26"/>
  <c r="G76" i="26"/>
  <c r="K75" i="26"/>
  <c r="J75" i="26"/>
  <c r="I75" i="26"/>
  <c r="H75" i="26"/>
  <c r="G75" i="26"/>
  <c r="K74" i="26"/>
  <c r="J74" i="26"/>
  <c r="I74" i="26"/>
  <c r="H74" i="26"/>
  <c r="G74" i="26"/>
  <c r="K73" i="26"/>
  <c r="J73" i="26"/>
  <c r="I73" i="26"/>
  <c r="H73" i="26"/>
  <c r="G73" i="26"/>
  <c r="K72" i="26"/>
  <c r="J72" i="26"/>
  <c r="I72" i="26"/>
  <c r="H72" i="26"/>
  <c r="G72" i="26"/>
  <c r="K71" i="26"/>
  <c r="J71" i="26"/>
  <c r="I71" i="26"/>
  <c r="H71" i="26"/>
  <c r="G71" i="26"/>
  <c r="K70" i="26"/>
  <c r="J70" i="26"/>
  <c r="I70" i="26"/>
  <c r="H70" i="26"/>
  <c r="G70" i="26"/>
  <c r="K69" i="26"/>
  <c r="J69" i="26"/>
  <c r="I69" i="26"/>
  <c r="H69" i="26"/>
  <c r="G69" i="26"/>
  <c r="K68" i="26"/>
  <c r="J68" i="26"/>
  <c r="I68" i="26"/>
  <c r="H68" i="26"/>
  <c r="G68" i="26"/>
  <c r="K67" i="26"/>
  <c r="J67" i="26"/>
  <c r="I67" i="26"/>
  <c r="H67" i="26"/>
  <c r="G67" i="26"/>
  <c r="K66" i="26"/>
  <c r="J66" i="26"/>
  <c r="I66" i="26"/>
  <c r="H66" i="26"/>
  <c r="G66" i="26"/>
  <c r="K65" i="26"/>
  <c r="J65" i="26"/>
  <c r="I65" i="26"/>
  <c r="H65" i="26"/>
  <c r="G65" i="26"/>
  <c r="K64" i="26"/>
  <c r="J64" i="26"/>
  <c r="I64" i="26"/>
  <c r="H64" i="26"/>
  <c r="G64" i="26"/>
  <c r="K63" i="26"/>
  <c r="J63" i="26"/>
  <c r="I63" i="26"/>
  <c r="H63" i="26"/>
  <c r="G63" i="26"/>
  <c r="K62" i="26"/>
  <c r="J62" i="26"/>
  <c r="I62" i="26"/>
  <c r="H62" i="26"/>
  <c r="G62" i="26"/>
  <c r="K61" i="26"/>
  <c r="J61" i="26"/>
  <c r="I61" i="26"/>
  <c r="H61" i="26"/>
  <c r="G61" i="26"/>
  <c r="K60" i="26"/>
  <c r="J60" i="26"/>
  <c r="I60" i="26"/>
  <c r="H60" i="26"/>
  <c r="G60" i="26"/>
  <c r="K59" i="26"/>
  <c r="J59" i="26"/>
  <c r="I59" i="26"/>
  <c r="H59" i="26"/>
  <c r="G59" i="26"/>
  <c r="K58" i="26"/>
  <c r="J58" i="26"/>
  <c r="I58" i="26"/>
  <c r="H58" i="26"/>
  <c r="G58" i="26"/>
  <c r="K57" i="26"/>
  <c r="J57" i="26"/>
  <c r="I57" i="26"/>
  <c r="H57" i="26"/>
  <c r="G57" i="26"/>
  <c r="K56" i="26"/>
  <c r="J56" i="26"/>
  <c r="I56" i="26"/>
  <c r="H56" i="26"/>
  <c r="G56" i="26"/>
  <c r="K55" i="26"/>
  <c r="J55" i="26"/>
  <c r="I55" i="26"/>
  <c r="H55" i="26"/>
  <c r="G55" i="26"/>
  <c r="K54" i="26"/>
  <c r="J54" i="26"/>
  <c r="I54" i="26"/>
  <c r="H54" i="26"/>
  <c r="G54" i="26"/>
  <c r="K53" i="26"/>
  <c r="J53" i="26"/>
  <c r="I53" i="26"/>
  <c r="H53" i="26"/>
  <c r="G53" i="26"/>
  <c r="K52" i="26"/>
  <c r="J52" i="26"/>
  <c r="I52" i="26"/>
  <c r="H52" i="26"/>
  <c r="G52" i="26"/>
  <c r="K51" i="26"/>
  <c r="J51" i="26"/>
  <c r="I51" i="26"/>
  <c r="H51" i="26"/>
  <c r="G51" i="26"/>
  <c r="K50" i="26"/>
  <c r="J50" i="26"/>
  <c r="I50" i="26"/>
  <c r="H50" i="26"/>
  <c r="G50" i="26"/>
  <c r="K49" i="26"/>
  <c r="J49" i="26"/>
  <c r="I49" i="26"/>
  <c r="H49" i="26"/>
  <c r="G49" i="26"/>
  <c r="K48" i="26"/>
  <c r="J48" i="26"/>
  <c r="I48" i="26"/>
  <c r="H48" i="26"/>
  <c r="G48" i="26"/>
  <c r="K47" i="26"/>
  <c r="J47" i="26"/>
  <c r="I47" i="26"/>
  <c r="H47" i="26"/>
  <c r="G47" i="26"/>
  <c r="K46" i="26"/>
  <c r="J46" i="26"/>
  <c r="I46" i="26"/>
  <c r="H46" i="26"/>
  <c r="G46" i="26"/>
  <c r="K45" i="26"/>
  <c r="J45" i="26"/>
  <c r="I45" i="26"/>
  <c r="H45" i="26"/>
  <c r="G45" i="26"/>
  <c r="K44" i="26"/>
  <c r="J44" i="26"/>
  <c r="I44" i="26"/>
  <c r="H44" i="26"/>
  <c r="G44" i="26"/>
  <c r="K43" i="26"/>
  <c r="J43" i="26"/>
  <c r="I43" i="26"/>
  <c r="H43" i="26"/>
  <c r="G43" i="26"/>
  <c r="K42" i="26"/>
  <c r="J42" i="26"/>
  <c r="I42" i="26"/>
  <c r="H42" i="26"/>
  <c r="G42" i="26"/>
  <c r="K41" i="26"/>
  <c r="J41" i="26"/>
  <c r="I41" i="26"/>
  <c r="H41" i="26"/>
  <c r="G41" i="26"/>
  <c r="K40" i="26"/>
  <c r="J40" i="26"/>
  <c r="I40" i="26"/>
  <c r="H40" i="26"/>
  <c r="G40" i="26"/>
  <c r="K39" i="26"/>
  <c r="J39" i="26"/>
  <c r="I39" i="26"/>
  <c r="H39" i="26"/>
  <c r="G39" i="26"/>
  <c r="K38" i="26"/>
  <c r="J38" i="26"/>
  <c r="I38" i="26"/>
  <c r="H38" i="26"/>
  <c r="G38" i="26"/>
  <c r="K37" i="26"/>
  <c r="J37" i="26"/>
  <c r="I37" i="26"/>
  <c r="H37" i="26"/>
  <c r="G37" i="26"/>
  <c r="K36" i="26"/>
  <c r="J36" i="26"/>
  <c r="I36" i="26"/>
  <c r="H36" i="26"/>
  <c r="G36" i="26"/>
  <c r="K35" i="26"/>
  <c r="J35" i="26"/>
  <c r="I35" i="26"/>
  <c r="H35" i="26"/>
  <c r="G35" i="26"/>
  <c r="K34" i="26"/>
  <c r="J34" i="26"/>
  <c r="I34" i="26"/>
  <c r="H34" i="26"/>
  <c r="G34" i="26"/>
  <c r="K33" i="26"/>
  <c r="J33" i="26"/>
  <c r="I33" i="26"/>
  <c r="H33" i="26"/>
  <c r="G33" i="26"/>
  <c r="K32" i="26"/>
  <c r="J32" i="26"/>
  <c r="I32" i="26"/>
  <c r="H32" i="26"/>
  <c r="G32" i="26"/>
  <c r="K31" i="26"/>
  <c r="J31" i="26"/>
  <c r="I31" i="26"/>
  <c r="H31" i="26"/>
  <c r="G31" i="26"/>
  <c r="K30" i="26"/>
  <c r="J30" i="26"/>
  <c r="I30" i="26"/>
  <c r="H30" i="26"/>
  <c r="G30" i="26"/>
  <c r="K29" i="26"/>
  <c r="J29" i="26"/>
  <c r="I29" i="26"/>
  <c r="H29" i="26"/>
  <c r="G29" i="26"/>
  <c r="K28" i="26"/>
  <c r="J28" i="26"/>
  <c r="I28" i="26"/>
  <c r="H28" i="26"/>
  <c r="G28" i="26"/>
  <c r="K27" i="26"/>
  <c r="J27" i="26"/>
  <c r="I27" i="26"/>
  <c r="H27" i="26"/>
  <c r="G27" i="26"/>
  <c r="K26" i="26"/>
  <c r="J26" i="26"/>
  <c r="I26" i="26"/>
  <c r="H26" i="26"/>
  <c r="G26" i="26"/>
  <c r="K25" i="26"/>
  <c r="J25" i="26"/>
  <c r="I25" i="26"/>
  <c r="H25" i="26"/>
  <c r="G25" i="26"/>
  <c r="K24" i="26"/>
  <c r="J24" i="26"/>
  <c r="I24" i="26"/>
  <c r="H24" i="26"/>
  <c r="G24" i="26"/>
  <c r="K23" i="26"/>
  <c r="J23" i="26"/>
  <c r="I23" i="26"/>
  <c r="H23" i="26"/>
  <c r="G23" i="26"/>
  <c r="K22" i="26"/>
  <c r="J22" i="26"/>
  <c r="I22" i="26"/>
  <c r="H22" i="26"/>
  <c r="G22" i="26"/>
  <c r="K21" i="26"/>
  <c r="J21" i="26"/>
  <c r="I21" i="26"/>
  <c r="H21" i="26"/>
  <c r="G21" i="26"/>
  <c r="K20" i="26"/>
  <c r="J20" i="26"/>
  <c r="I20" i="26"/>
  <c r="H20" i="26"/>
  <c r="G20" i="26"/>
  <c r="K19" i="26"/>
  <c r="J19" i="26"/>
  <c r="I19" i="26"/>
  <c r="H19" i="26"/>
  <c r="G19" i="26"/>
  <c r="K18" i="26"/>
  <c r="J18" i="26"/>
  <c r="I18" i="26"/>
  <c r="H18" i="26"/>
  <c r="G18" i="26"/>
  <c r="K17" i="26"/>
  <c r="J17" i="26"/>
  <c r="I17" i="26"/>
  <c r="H17" i="26"/>
  <c r="G17" i="26"/>
  <c r="K16" i="26"/>
  <c r="J16" i="26"/>
  <c r="I16" i="26"/>
  <c r="H16" i="26"/>
  <c r="G16" i="26"/>
  <c r="K15" i="26"/>
  <c r="J15" i="26"/>
  <c r="I15" i="26"/>
  <c r="H15" i="26"/>
  <c r="G15" i="26"/>
  <c r="K14" i="26"/>
  <c r="J14" i="26"/>
  <c r="I14" i="26"/>
  <c r="H14" i="26"/>
  <c r="G14" i="26"/>
  <c r="K13" i="26"/>
  <c r="J13" i="26"/>
  <c r="I13" i="26"/>
  <c r="H13" i="26"/>
  <c r="G13" i="26"/>
  <c r="K12" i="26"/>
  <c r="J12" i="26"/>
  <c r="I12" i="26"/>
  <c r="H12" i="26"/>
  <c r="G12" i="26"/>
  <c r="K11" i="26"/>
  <c r="J11" i="26"/>
  <c r="I11" i="26"/>
  <c r="H11" i="26"/>
  <c r="G11" i="26"/>
  <c r="K10" i="26"/>
  <c r="J10" i="26"/>
  <c r="I10" i="26"/>
  <c r="H10" i="26"/>
  <c r="G10" i="26"/>
  <c r="K9" i="26"/>
  <c r="J9" i="26"/>
  <c r="I9" i="26"/>
  <c r="H9" i="26"/>
  <c r="G9" i="26"/>
  <c r="K8" i="26"/>
  <c r="J8" i="26"/>
  <c r="I8" i="26"/>
  <c r="H8" i="26"/>
  <c r="G8" i="26"/>
  <c r="K7" i="26"/>
  <c r="J7" i="26"/>
  <c r="I7" i="26"/>
  <c r="H7" i="26"/>
  <c r="G7" i="26"/>
  <c r="K6" i="26"/>
  <c r="J6" i="26"/>
  <c r="I6" i="26"/>
  <c r="H6" i="26"/>
  <c r="G6" i="26"/>
  <c r="K5" i="26"/>
  <c r="J5" i="26"/>
  <c r="I5" i="26"/>
  <c r="H5" i="26"/>
  <c r="G5" i="26"/>
  <c r="K4" i="26"/>
  <c r="J4" i="26"/>
  <c r="I4" i="26"/>
  <c r="H4" i="26"/>
  <c r="G4" i="26"/>
  <c r="K3" i="26"/>
  <c r="J3" i="26"/>
  <c r="I3" i="26"/>
  <c r="H3" i="26"/>
  <c r="G3" i="26"/>
  <c r="Q2" i="26"/>
  <c r="P2" i="26"/>
  <c r="O2" i="26"/>
  <c r="N2" i="26"/>
  <c r="M2" i="26"/>
  <c r="L2" i="26"/>
  <c r="M83" i="25"/>
  <c r="L83" i="25"/>
  <c r="K83" i="25"/>
  <c r="J83" i="25"/>
  <c r="I83" i="25"/>
  <c r="H83" i="25"/>
  <c r="M82" i="25"/>
  <c r="L82" i="25"/>
  <c r="K82" i="25"/>
  <c r="J82" i="25"/>
  <c r="I82" i="25"/>
  <c r="H82" i="25"/>
  <c r="M81" i="25"/>
  <c r="L81" i="25"/>
  <c r="K81" i="25"/>
  <c r="J81" i="25"/>
  <c r="I81" i="25"/>
  <c r="H81" i="25"/>
  <c r="M80" i="25"/>
  <c r="L80" i="25"/>
  <c r="K80" i="25"/>
  <c r="J80" i="25"/>
  <c r="I80" i="25"/>
  <c r="H80" i="25"/>
  <c r="M79" i="25"/>
  <c r="L79" i="25"/>
  <c r="K79" i="25"/>
  <c r="J79" i="25"/>
  <c r="I79" i="25"/>
  <c r="H79" i="25"/>
  <c r="M78" i="25"/>
  <c r="L78" i="25"/>
  <c r="K78" i="25"/>
  <c r="J78" i="25"/>
  <c r="I78" i="25"/>
  <c r="H78" i="25"/>
  <c r="M77" i="25"/>
  <c r="L77" i="25"/>
  <c r="K77" i="25"/>
  <c r="J77" i="25"/>
  <c r="I77" i="25"/>
  <c r="H77" i="25"/>
  <c r="M76" i="25"/>
  <c r="L76" i="25"/>
  <c r="K76" i="25"/>
  <c r="J76" i="25"/>
  <c r="I76" i="25"/>
  <c r="H76" i="25"/>
  <c r="M75" i="25"/>
  <c r="L75" i="25"/>
  <c r="K75" i="25"/>
  <c r="J75" i="25"/>
  <c r="I75" i="25"/>
  <c r="H75" i="25"/>
  <c r="M74" i="25"/>
  <c r="L74" i="25"/>
  <c r="K74" i="25"/>
  <c r="J74" i="25"/>
  <c r="I74" i="25"/>
  <c r="H74" i="25"/>
  <c r="M73" i="25"/>
  <c r="L73" i="25"/>
  <c r="K73" i="25"/>
  <c r="J73" i="25"/>
  <c r="I73" i="25"/>
  <c r="H73" i="25"/>
  <c r="M72" i="25"/>
  <c r="L72" i="25"/>
  <c r="K72" i="25"/>
  <c r="J72" i="25"/>
  <c r="I72" i="25"/>
  <c r="H72" i="25"/>
  <c r="M71" i="25"/>
  <c r="L71" i="25"/>
  <c r="K71" i="25"/>
  <c r="J71" i="25"/>
  <c r="I71" i="25"/>
  <c r="H71" i="25"/>
  <c r="M70" i="25"/>
  <c r="L70" i="25"/>
  <c r="K70" i="25"/>
  <c r="J70" i="25"/>
  <c r="I70" i="25"/>
  <c r="H70" i="25"/>
  <c r="M69" i="25"/>
  <c r="L69" i="25"/>
  <c r="K69" i="25"/>
  <c r="J69" i="25"/>
  <c r="I69" i="25"/>
  <c r="H69" i="25"/>
  <c r="M68" i="25"/>
  <c r="L68" i="25"/>
  <c r="K68" i="25"/>
  <c r="J68" i="25"/>
  <c r="I68" i="25"/>
  <c r="H68" i="25"/>
  <c r="M67" i="25"/>
  <c r="L67" i="25"/>
  <c r="K67" i="25"/>
  <c r="J67" i="25"/>
  <c r="I67" i="25"/>
  <c r="H67" i="25"/>
  <c r="M66" i="25"/>
  <c r="L66" i="25"/>
  <c r="K66" i="25"/>
  <c r="J66" i="25"/>
  <c r="I66" i="25"/>
  <c r="H66" i="25"/>
  <c r="M65" i="25"/>
  <c r="L65" i="25"/>
  <c r="K65" i="25"/>
  <c r="J65" i="25"/>
  <c r="I65" i="25"/>
  <c r="H65" i="25"/>
  <c r="M64" i="25"/>
  <c r="L64" i="25"/>
  <c r="K64" i="25"/>
  <c r="J64" i="25"/>
  <c r="I64" i="25"/>
  <c r="H64" i="25"/>
  <c r="M63" i="25"/>
  <c r="L63" i="25"/>
  <c r="K63" i="25"/>
  <c r="J63" i="25"/>
  <c r="I63" i="25"/>
  <c r="H63" i="25"/>
  <c r="M62" i="25"/>
  <c r="L62" i="25"/>
  <c r="K62" i="25"/>
  <c r="J62" i="25"/>
  <c r="I62" i="25"/>
  <c r="H62" i="25"/>
  <c r="M61" i="25"/>
  <c r="L61" i="25"/>
  <c r="K61" i="25"/>
  <c r="J61" i="25"/>
  <c r="I61" i="25"/>
  <c r="H61" i="25"/>
  <c r="M60" i="25"/>
  <c r="L60" i="25"/>
  <c r="K60" i="25"/>
  <c r="J60" i="25"/>
  <c r="I60" i="25"/>
  <c r="H60" i="25"/>
  <c r="M59" i="25"/>
  <c r="L59" i="25"/>
  <c r="K59" i="25"/>
  <c r="J59" i="25"/>
  <c r="I59" i="25"/>
  <c r="H59" i="25"/>
  <c r="M58" i="25"/>
  <c r="L58" i="25"/>
  <c r="K58" i="25"/>
  <c r="J58" i="25"/>
  <c r="I58" i="25"/>
  <c r="H58" i="25"/>
  <c r="M57" i="25"/>
  <c r="L57" i="25"/>
  <c r="K57" i="25"/>
  <c r="J57" i="25"/>
  <c r="I57" i="25"/>
  <c r="H57" i="25"/>
  <c r="M56" i="25"/>
  <c r="L56" i="25"/>
  <c r="K56" i="25"/>
  <c r="J56" i="25"/>
  <c r="I56" i="25"/>
  <c r="H56" i="25"/>
  <c r="M55" i="25"/>
  <c r="L55" i="25"/>
  <c r="K55" i="25"/>
  <c r="J55" i="25"/>
  <c r="I55" i="25"/>
  <c r="H55" i="25"/>
  <c r="M54" i="25"/>
  <c r="L54" i="25"/>
  <c r="K54" i="25"/>
  <c r="J54" i="25"/>
  <c r="I54" i="25"/>
  <c r="H54" i="25"/>
  <c r="M53" i="25"/>
  <c r="L53" i="25"/>
  <c r="K53" i="25"/>
  <c r="J53" i="25"/>
  <c r="I53" i="25"/>
  <c r="H53" i="25"/>
  <c r="M52" i="25"/>
  <c r="L52" i="25"/>
  <c r="K52" i="25"/>
  <c r="J52" i="25"/>
  <c r="I52" i="25"/>
  <c r="H52" i="25"/>
  <c r="M51" i="25"/>
  <c r="L51" i="25"/>
  <c r="K51" i="25"/>
  <c r="J51" i="25"/>
  <c r="I51" i="25"/>
  <c r="H51" i="25"/>
  <c r="M50" i="25"/>
  <c r="L50" i="25"/>
  <c r="K50" i="25"/>
  <c r="J50" i="25"/>
  <c r="I50" i="25"/>
  <c r="H50" i="25"/>
  <c r="M49" i="25"/>
  <c r="L49" i="25"/>
  <c r="K49" i="25"/>
  <c r="J49" i="25"/>
  <c r="I49" i="25"/>
  <c r="H49" i="25"/>
  <c r="M48" i="25"/>
  <c r="L48" i="25"/>
  <c r="K48" i="25"/>
  <c r="J48" i="25"/>
  <c r="I48" i="25"/>
  <c r="H48" i="25"/>
  <c r="M47" i="25"/>
  <c r="L47" i="25"/>
  <c r="K47" i="25"/>
  <c r="J47" i="25"/>
  <c r="I47" i="25"/>
  <c r="H47" i="25"/>
  <c r="M46" i="25"/>
  <c r="L46" i="25"/>
  <c r="K46" i="25"/>
  <c r="J46" i="25"/>
  <c r="I46" i="25"/>
  <c r="H46" i="25"/>
  <c r="M45" i="25"/>
  <c r="L45" i="25"/>
  <c r="K45" i="25"/>
  <c r="J45" i="25"/>
  <c r="I45" i="25"/>
  <c r="H45" i="25"/>
  <c r="M44" i="25"/>
  <c r="L44" i="25"/>
  <c r="K44" i="25"/>
  <c r="J44" i="25"/>
  <c r="I44" i="25"/>
  <c r="H44" i="25"/>
  <c r="M43" i="25"/>
  <c r="L43" i="25"/>
  <c r="K43" i="25"/>
  <c r="J43" i="25"/>
  <c r="I43" i="25"/>
  <c r="H43" i="25"/>
  <c r="M42" i="25"/>
  <c r="L42" i="25"/>
  <c r="K42" i="25"/>
  <c r="J42" i="25"/>
  <c r="I42" i="25"/>
  <c r="H42" i="25"/>
  <c r="M41" i="25"/>
  <c r="L41" i="25"/>
  <c r="K41" i="25"/>
  <c r="J41" i="25"/>
  <c r="I41" i="25"/>
  <c r="H41" i="25"/>
  <c r="M40" i="25"/>
  <c r="L40" i="25"/>
  <c r="K40" i="25"/>
  <c r="J40" i="25"/>
  <c r="I40" i="25"/>
  <c r="H40" i="25"/>
  <c r="M39" i="25"/>
  <c r="L39" i="25"/>
  <c r="K39" i="25"/>
  <c r="J39" i="25"/>
  <c r="I39" i="25"/>
  <c r="H39" i="25"/>
  <c r="M38" i="25"/>
  <c r="L38" i="25"/>
  <c r="K38" i="25"/>
  <c r="J38" i="25"/>
  <c r="I38" i="25"/>
  <c r="H38" i="25"/>
  <c r="M37" i="25"/>
  <c r="L37" i="25"/>
  <c r="K37" i="25"/>
  <c r="J37" i="25"/>
  <c r="I37" i="25"/>
  <c r="H37" i="25"/>
  <c r="M36" i="25"/>
  <c r="L36" i="25"/>
  <c r="K36" i="25"/>
  <c r="J36" i="25"/>
  <c r="I36" i="25"/>
  <c r="H36" i="25"/>
  <c r="M35" i="25"/>
  <c r="L35" i="25"/>
  <c r="K35" i="25"/>
  <c r="J35" i="25"/>
  <c r="I35" i="25"/>
  <c r="H35" i="25"/>
  <c r="M34" i="25"/>
  <c r="L34" i="25"/>
  <c r="K34" i="25"/>
  <c r="J34" i="25"/>
  <c r="I34" i="25"/>
  <c r="H34" i="25"/>
  <c r="M33" i="25"/>
  <c r="L33" i="25"/>
  <c r="K33" i="25"/>
  <c r="J33" i="25"/>
  <c r="I33" i="25"/>
  <c r="H33" i="25"/>
  <c r="M32" i="25"/>
  <c r="L32" i="25"/>
  <c r="K32" i="25"/>
  <c r="J32" i="25"/>
  <c r="I32" i="25"/>
  <c r="H32" i="25"/>
  <c r="M31" i="25"/>
  <c r="L31" i="25"/>
  <c r="K31" i="25"/>
  <c r="J31" i="25"/>
  <c r="I31" i="25"/>
  <c r="H31" i="25"/>
  <c r="M30" i="25"/>
  <c r="L30" i="25"/>
  <c r="K30" i="25"/>
  <c r="J30" i="25"/>
  <c r="I30" i="25"/>
  <c r="H30" i="25"/>
  <c r="M29" i="25"/>
  <c r="L29" i="25"/>
  <c r="K29" i="25"/>
  <c r="J29" i="25"/>
  <c r="I29" i="25"/>
  <c r="H29" i="25"/>
  <c r="M28" i="25"/>
  <c r="L28" i="25"/>
  <c r="K28" i="25"/>
  <c r="J28" i="25"/>
  <c r="I28" i="25"/>
  <c r="H28" i="25"/>
  <c r="M27" i="25"/>
  <c r="L27" i="25"/>
  <c r="K27" i="25"/>
  <c r="J27" i="25"/>
  <c r="I27" i="25"/>
  <c r="H27" i="25"/>
  <c r="M26" i="25"/>
  <c r="L26" i="25"/>
  <c r="K26" i="25"/>
  <c r="J26" i="25"/>
  <c r="I26" i="25"/>
  <c r="H26" i="25"/>
  <c r="M25" i="25"/>
  <c r="L25" i="25"/>
  <c r="K25" i="25"/>
  <c r="J25" i="25"/>
  <c r="I25" i="25"/>
  <c r="H25" i="25"/>
  <c r="M24" i="25"/>
  <c r="L24" i="25"/>
  <c r="K24" i="25"/>
  <c r="J24" i="25"/>
  <c r="I24" i="25"/>
  <c r="H24" i="25"/>
  <c r="M23" i="25"/>
  <c r="L23" i="25"/>
  <c r="K23" i="25"/>
  <c r="J23" i="25"/>
  <c r="I23" i="25"/>
  <c r="H23" i="25"/>
  <c r="M22" i="25"/>
  <c r="L22" i="25"/>
  <c r="K22" i="25"/>
  <c r="J22" i="25"/>
  <c r="I22" i="25"/>
  <c r="H22" i="25"/>
  <c r="M21" i="25"/>
  <c r="L21" i="25"/>
  <c r="K21" i="25"/>
  <c r="J21" i="25"/>
  <c r="I21" i="25"/>
  <c r="H21" i="25"/>
  <c r="M20" i="25"/>
  <c r="L20" i="25"/>
  <c r="K20" i="25"/>
  <c r="J20" i="25"/>
  <c r="I20" i="25"/>
  <c r="H20" i="25"/>
  <c r="M19" i="25"/>
  <c r="L19" i="25"/>
  <c r="K19" i="25"/>
  <c r="J19" i="25"/>
  <c r="I19" i="25"/>
  <c r="H19" i="25"/>
  <c r="M18" i="25"/>
  <c r="L18" i="25"/>
  <c r="K18" i="25"/>
  <c r="J18" i="25"/>
  <c r="I18" i="25"/>
  <c r="H18" i="25"/>
  <c r="M17" i="25"/>
  <c r="L17" i="25"/>
  <c r="K17" i="25"/>
  <c r="J17" i="25"/>
  <c r="I17" i="25"/>
  <c r="H17" i="25"/>
  <c r="M16" i="25"/>
  <c r="L16" i="25"/>
  <c r="K16" i="25"/>
  <c r="J16" i="25"/>
  <c r="I16" i="25"/>
  <c r="H16" i="25"/>
  <c r="M15" i="25"/>
  <c r="L15" i="25"/>
  <c r="K15" i="25"/>
  <c r="J15" i="25"/>
  <c r="I15" i="25"/>
  <c r="H15" i="25"/>
  <c r="M14" i="25"/>
  <c r="L14" i="25"/>
  <c r="K14" i="25"/>
  <c r="J14" i="25"/>
  <c r="I14" i="25"/>
  <c r="H14" i="25"/>
  <c r="M13" i="25"/>
  <c r="L13" i="25"/>
  <c r="K13" i="25"/>
  <c r="J13" i="25"/>
  <c r="I13" i="25"/>
  <c r="H13" i="25"/>
  <c r="M12" i="25"/>
  <c r="L12" i="25"/>
  <c r="K12" i="25"/>
  <c r="J12" i="25"/>
  <c r="I12" i="25"/>
  <c r="H12" i="25"/>
  <c r="M11" i="25"/>
  <c r="L11" i="25"/>
  <c r="K11" i="25"/>
  <c r="J11" i="25"/>
  <c r="I11" i="25"/>
  <c r="H11" i="25"/>
  <c r="M10" i="25"/>
  <c r="L10" i="25"/>
  <c r="K10" i="25"/>
  <c r="J10" i="25"/>
  <c r="I10" i="25"/>
  <c r="H10" i="25"/>
  <c r="M9" i="25"/>
  <c r="L9" i="25"/>
  <c r="K9" i="25"/>
  <c r="J9" i="25"/>
  <c r="I9" i="25"/>
  <c r="H9" i="25"/>
  <c r="M8" i="25"/>
  <c r="L8" i="25"/>
  <c r="K8" i="25"/>
  <c r="J8" i="25"/>
  <c r="I8" i="25"/>
  <c r="H8" i="25"/>
  <c r="M7" i="25"/>
  <c r="L7" i="25"/>
  <c r="K7" i="25"/>
  <c r="J7" i="25"/>
  <c r="I7" i="25"/>
  <c r="H7" i="25"/>
  <c r="M6" i="25"/>
  <c r="L6" i="25"/>
  <c r="K6" i="25"/>
  <c r="J6" i="25"/>
  <c r="I6" i="25"/>
  <c r="H6" i="25"/>
  <c r="M5" i="25"/>
  <c r="L5" i="25"/>
  <c r="K5" i="25"/>
  <c r="J5" i="25"/>
  <c r="I5" i="25"/>
  <c r="H5" i="25"/>
  <c r="M4" i="25"/>
  <c r="L4" i="25"/>
  <c r="K4" i="25"/>
  <c r="J4" i="25"/>
  <c r="I4" i="25"/>
  <c r="H4" i="25"/>
  <c r="M3" i="25"/>
  <c r="L3" i="25"/>
  <c r="K3" i="25"/>
  <c r="J3" i="25"/>
  <c r="I3" i="25"/>
  <c r="H3" i="25"/>
  <c r="S2" i="25"/>
  <c r="R2" i="25"/>
  <c r="Q2" i="25"/>
  <c r="P2" i="25"/>
  <c r="O2" i="25"/>
  <c r="N2" i="25"/>
  <c r="K83" i="23"/>
  <c r="J83" i="23"/>
  <c r="I83" i="23"/>
  <c r="H83" i="23"/>
  <c r="G83" i="23"/>
  <c r="K82" i="23"/>
  <c r="J82" i="23"/>
  <c r="I82" i="23"/>
  <c r="H82" i="23"/>
  <c r="G82" i="23"/>
  <c r="K81" i="23"/>
  <c r="J81" i="23"/>
  <c r="I81" i="23"/>
  <c r="H81" i="23"/>
  <c r="G81" i="23"/>
  <c r="K80" i="23"/>
  <c r="J80" i="23"/>
  <c r="I80" i="23"/>
  <c r="H80" i="23"/>
  <c r="G80" i="23"/>
  <c r="K79" i="23"/>
  <c r="J79" i="23"/>
  <c r="I79" i="23"/>
  <c r="H79" i="23"/>
  <c r="G79" i="23"/>
  <c r="K78" i="23"/>
  <c r="J78" i="23"/>
  <c r="I78" i="23"/>
  <c r="H78" i="23"/>
  <c r="G78" i="23"/>
  <c r="K77" i="23"/>
  <c r="J77" i="23"/>
  <c r="I77" i="23"/>
  <c r="H77" i="23"/>
  <c r="G77" i="23"/>
  <c r="K76" i="23"/>
  <c r="J76" i="23"/>
  <c r="I76" i="23"/>
  <c r="H76" i="23"/>
  <c r="G76" i="23"/>
  <c r="K75" i="23"/>
  <c r="J75" i="23"/>
  <c r="I75" i="23"/>
  <c r="H75" i="23"/>
  <c r="G75" i="23"/>
  <c r="K74" i="23"/>
  <c r="J74" i="23"/>
  <c r="I74" i="23"/>
  <c r="H74" i="23"/>
  <c r="G74" i="23"/>
  <c r="K73" i="23"/>
  <c r="J73" i="23"/>
  <c r="I73" i="23"/>
  <c r="H73" i="23"/>
  <c r="G73" i="23"/>
  <c r="K72" i="23"/>
  <c r="J72" i="23"/>
  <c r="I72" i="23"/>
  <c r="H72" i="23"/>
  <c r="G72" i="23"/>
  <c r="K71" i="23"/>
  <c r="J71" i="23"/>
  <c r="I71" i="23"/>
  <c r="H71" i="23"/>
  <c r="G71" i="23"/>
  <c r="K70" i="23"/>
  <c r="J70" i="23"/>
  <c r="I70" i="23"/>
  <c r="H70" i="23"/>
  <c r="G70" i="23"/>
  <c r="K69" i="23"/>
  <c r="J69" i="23"/>
  <c r="I69" i="23"/>
  <c r="H69" i="23"/>
  <c r="G69" i="23"/>
  <c r="K68" i="23"/>
  <c r="J68" i="23"/>
  <c r="I68" i="23"/>
  <c r="H68" i="23"/>
  <c r="G68" i="23"/>
  <c r="K67" i="23"/>
  <c r="J67" i="23"/>
  <c r="I67" i="23"/>
  <c r="H67" i="23"/>
  <c r="G67" i="23"/>
  <c r="K66" i="23"/>
  <c r="J66" i="23"/>
  <c r="I66" i="23"/>
  <c r="H66" i="23"/>
  <c r="G66" i="23"/>
  <c r="K65" i="23"/>
  <c r="J65" i="23"/>
  <c r="I65" i="23"/>
  <c r="H65" i="23"/>
  <c r="G65" i="23"/>
  <c r="K64" i="23"/>
  <c r="J64" i="23"/>
  <c r="I64" i="23"/>
  <c r="H64" i="23"/>
  <c r="G64" i="23"/>
  <c r="K63" i="23"/>
  <c r="J63" i="23"/>
  <c r="I63" i="23"/>
  <c r="H63" i="23"/>
  <c r="G63" i="23"/>
  <c r="K62" i="23"/>
  <c r="J62" i="23"/>
  <c r="I62" i="23"/>
  <c r="H62" i="23"/>
  <c r="G62" i="23"/>
  <c r="K61" i="23"/>
  <c r="J61" i="23"/>
  <c r="I61" i="23"/>
  <c r="H61" i="23"/>
  <c r="G61" i="23"/>
  <c r="K60" i="23"/>
  <c r="J60" i="23"/>
  <c r="I60" i="23"/>
  <c r="H60" i="23"/>
  <c r="G60" i="23"/>
  <c r="K59" i="23"/>
  <c r="J59" i="23"/>
  <c r="I59" i="23"/>
  <c r="H59" i="23"/>
  <c r="G59" i="23"/>
  <c r="K58" i="23"/>
  <c r="J58" i="23"/>
  <c r="I58" i="23"/>
  <c r="H58" i="23"/>
  <c r="G58" i="23"/>
  <c r="K57" i="23"/>
  <c r="J57" i="23"/>
  <c r="I57" i="23"/>
  <c r="H57" i="23"/>
  <c r="G57" i="23"/>
  <c r="K56" i="23"/>
  <c r="J56" i="23"/>
  <c r="I56" i="23"/>
  <c r="H56" i="23"/>
  <c r="G56" i="23"/>
  <c r="K55" i="23"/>
  <c r="J55" i="23"/>
  <c r="I55" i="23"/>
  <c r="H55" i="23"/>
  <c r="G55" i="23"/>
  <c r="K54" i="23"/>
  <c r="J54" i="23"/>
  <c r="I54" i="23"/>
  <c r="H54" i="23"/>
  <c r="G54" i="23"/>
  <c r="K53" i="23"/>
  <c r="J53" i="23"/>
  <c r="I53" i="23"/>
  <c r="H53" i="23"/>
  <c r="G53" i="23"/>
  <c r="K52" i="23"/>
  <c r="J52" i="23"/>
  <c r="I52" i="23"/>
  <c r="H52" i="23"/>
  <c r="G52" i="23"/>
  <c r="K51" i="23"/>
  <c r="J51" i="23"/>
  <c r="I51" i="23"/>
  <c r="H51" i="23"/>
  <c r="G51" i="23"/>
  <c r="K50" i="23"/>
  <c r="J50" i="23"/>
  <c r="I50" i="23"/>
  <c r="H50" i="23"/>
  <c r="G50" i="23"/>
  <c r="K49" i="23"/>
  <c r="J49" i="23"/>
  <c r="I49" i="23"/>
  <c r="H49" i="23"/>
  <c r="G49" i="23"/>
  <c r="K48" i="23"/>
  <c r="J48" i="23"/>
  <c r="I48" i="23"/>
  <c r="H48" i="23"/>
  <c r="G48" i="23"/>
  <c r="K47" i="23"/>
  <c r="J47" i="23"/>
  <c r="I47" i="23"/>
  <c r="H47" i="23"/>
  <c r="G47" i="23"/>
  <c r="K46" i="23"/>
  <c r="J46" i="23"/>
  <c r="I46" i="23"/>
  <c r="H46" i="23"/>
  <c r="G46" i="23"/>
  <c r="K45" i="23"/>
  <c r="J45" i="23"/>
  <c r="I45" i="23"/>
  <c r="H45" i="23"/>
  <c r="G45" i="23"/>
  <c r="K44" i="23"/>
  <c r="J44" i="23"/>
  <c r="I44" i="23"/>
  <c r="H44" i="23"/>
  <c r="G44" i="23"/>
  <c r="K43" i="23"/>
  <c r="J43" i="23"/>
  <c r="I43" i="23"/>
  <c r="H43" i="23"/>
  <c r="G43" i="23"/>
  <c r="K42" i="23"/>
  <c r="J42" i="23"/>
  <c r="I42" i="23"/>
  <c r="H42" i="23"/>
  <c r="G42" i="23"/>
  <c r="K41" i="23"/>
  <c r="J41" i="23"/>
  <c r="I41" i="23"/>
  <c r="H41" i="23"/>
  <c r="G41" i="23"/>
  <c r="K40" i="23"/>
  <c r="J40" i="23"/>
  <c r="I40" i="23"/>
  <c r="H40" i="23"/>
  <c r="G40" i="23"/>
  <c r="K39" i="23"/>
  <c r="J39" i="23"/>
  <c r="I39" i="23"/>
  <c r="H39" i="23"/>
  <c r="G39" i="23"/>
  <c r="K38" i="23"/>
  <c r="J38" i="23"/>
  <c r="I38" i="23"/>
  <c r="H38" i="23"/>
  <c r="G38" i="23"/>
  <c r="K37" i="23"/>
  <c r="J37" i="23"/>
  <c r="I37" i="23"/>
  <c r="H37" i="23"/>
  <c r="G37" i="23"/>
  <c r="K36" i="23"/>
  <c r="J36" i="23"/>
  <c r="I36" i="23"/>
  <c r="H36" i="23"/>
  <c r="G36" i="23"/>
  <c r="K35" i="23"/>
  <c r="J35" i="23"/>
  <c r="I35" i="23"/>
  <c r="H35" i="23"/>
  <c r="G35" i="23"/>
  <c r="K34" i="23"/>
  <c r="J34" i="23"/>
  <c r="I34" i="23"/>
  <c r="H34" i="23"/>
  <c r="G34" i="23"/>
  <c r="K33" i="23"/>
  <c r="J33" i="23"/>
  <c r="I33" i="23"/>
  <c r="H33" i="23"/>
  <c r="G33" i="23"/>
  <c r="K32" i="23"/>
  <c r="J32" i="23"/>
  <c r="I32" i="23"/>
  <c r="H32" i="23"/>
  <c r="G32" i="23"/>
  <c r="K31" i="23"/>
  <c r="J31" i="23"/>
  <c r="I31" i="23"/>
  <c r="H31" i="23"/>
  <c r="G31" i="23"/>
  <c r="K30" i="23"/>
  <c r="J30" i="23"/>
  <c r="I30" i="23"/>
  <c r="H30" i="23"/>
  <c r="G30" i="23"/>
  <c r="K29" i="23"/>
  <c r="J29" i="23"/>
  <c r="I29" i="23"/>
  <c r="H29" i="23"/>
  <c r="G29" i="23"/>
  <c r="K28" i="23"/>
  <c r="J28" i="23"/>
  <c r="I28" i="23"/>
  <c r="H28" i="23"/>
  <c r="G28" i="23"/>
  <c r="K27" i="23"/>
  <c r="J27" i="23"/>
  <c r="I27" i="23"/>
  <c r="H27" i="23"/>
  <c r="G27" i="23"/>
  <c r="K26" i="23"/>
  <c r="J26" i="23"/>
  <c r="I26" i="23"/>
  <c r="H26" i="23"/>
  <c r="G26" i="23"/>
  <c r="K25" i="23"/>
  <c r="J25" i="23"/>
  <c r="I25" i="23"/>
  <c r="H25" i="23"/>
  <c r="G25" i="23"/>
  <c r="K24" i="23"/>
  <c r="J24" i="23"/>
  <c r="I24" i="23"/>
  <c r="H24" i="23"/>
  <c r="G24" i="23"/>
  <c r="K23" i="23"/>
  <c r="J23" i="23"/>
  <c r="I23" i="23"/>
  <c r="H23" i="23"/>
  <c r="G23" i="23"/>
  <c r="K22" i="23"/>
  <c r="J22" i="23"/>
  <c r="I22" i="23"/>
  <c r="H22" i="23"/>
  <c r="G22" i="23"/>
  <c r="K21" i="23"/>
  <c r="J21" i="23"/>
  <c r="I21" i="23"/>
  <c r="H21" i="23"/>
  <c r="G21" i="23"/>
  <c r="K20" i="23"/>
  <c r="J20" i="23"/>
  <c r="I20" i="23"/>
  <c r="H20" i="23"/>
  <c r="G20" i="23"/>
  <c r="K19" i="23"/>
  <c r="J19" i="23"/>
  <c r="I19" i="23"/>
  <c r="H19" i="23"/>
  <c r="G19" i="23"/>
  <c r="K18" i="23"/>
  <c r="J18" i="23"/>
  <c r="I18" i="23"/>
  <c r="H18" i="23"/>
  <c r="G18" i="23"/>
  <c r="K17" i="23"/>
  <c r="J17" i="23"/>
  <c r="I17" i="23"/>
  <c r="H17" i="23"/>
  <c r="G17" i="23"/>
  <c r="K16" i="23"/>
  <c r="J16" i="23"/>
  <c r="I16" i="23"/>
  <c r="H16" i="23"/>
  <c r="G16" i="23"/>
  <c r="K15" i="23"/>
  <c r="J15" i="23"/>
  <c r="I15" i="23"/>
  <c r="H15" i="23"/>
  <c r="G15" i="23"/>
  <c r="K14" i="23"/>
  <c r="J14" i="23"/>
  <c r="I14" i="23"/>
  <c r="H14" i="23"/>
  <c r="G14" i="23"/>
  <c r="K13" i="23"/>
  <c r="J13" i="23"/>
  <c r="I13" i="23"/>
  <c r="H13" i="23"/>
  <c r="G13" i="23"/>
  <c r="K12" i="23"/>
  <c r="J12" i="23"/>
  <c r="I12" i="23"/>
  <c r="H12" i="23"/>
  <c r="G12" i="23"/>
  <c r="K11" i="23"/>
  <c r="J11" i="23"/>
  <c r="I11" i="23"/>
  <c r="H11" i="23"/>
  <c r="G11" i="23"/>
  <c r="K10" i="23"/>
  <c r="J10" i="23"/>
  <c r="I10" i="23"/>
  <c r="H10" i="23"/>
  <c r="G10" i="23"/>
  <c r="K9" i="23"/>
  <c r="J9" i="23"/>
  <c r="I9" i="23"/>
  <c r="H9" i="23"/>
  <c r="G9" i="23"/>
  <c r="K8" i="23"/>
  <c r="J8" i="23"/>
  <c r="I8" i="23"/>
  <c r="H8" i="23"/>
  <c r="G8" i="23"/>
  <c r="K7" i="23"/>
  <c r="J7" i="23"/>
  <c r="I7" i="23"/>
  <c r="H7" i="23"/>
  <c r="G7" i="23"/>
  <c r="K6" i="23"/>
  <c r="J6" i="23"/>
  <c r="I6" i="23"/>
  <c r="H6" i="23"/>
  <c r="G6" i="23"/>
  <c r="K5" i="23"/>
  <c r="J5" i="23"/>
  <c r="I5" i="23"/>
  <c r="H5" i="23"/>
  <c r="G5" i="23"/>
  <c r="K4" i="23"/>
  <c r="J4" i="23"/>
  <c r="I4" i="23"/>
  <c r="H4" i="23"/>
  <c r="G4" i="23"/>
  <c r="K3" i="23"/>
  <c r="J3" i="23"/>
  <c r="I3" i="23"/>
  <c r="H3" i="23"/>
  <c r="G3" i="23"/>
  <c r="Q2" i="23"/>
  <c r="P2" i="23"/>
  <c r="O2" i="23"/>
  <c r="N2" i="23"/>
  <c r="M2" i="23"/>
  <c r="L2" i="23"/>
  <c r="M3" i="22"/>
  <c r="L3" i="22"/>
  <c r="K3" i="22"/>
  <c r="J3" i="22"/>
  <c r="I3" i="22"/>
  <c r="M83" i="22"/>
  <c r="L83" i="22"/>
  <c r="K83" i="22"/>
  <c r="J83" i="22"/>
  <c r="I83" i="22"/>
  <c r="H83" i="22"/>
  <c r="M82" i="22"/>
  <c r="L82" i="22"/>
  <c r="K82" i="22"/>
  <c r="J82" i="22"/>
  <c r="I82" i="22"/>
  <c r="H82" i="22"/>
  <c r="M81" i="22"/>
  <c r="L81" i="22"/>
  <c r="K81" i="22"/>
  <c r="J81" i="22"/>
  <c r="I81" i="22"/>
  <c r="H81" i="22"/>
  <c r="M80" i="22"/>
  <c r="L80" i="22"/>
  <c r="K80" i="22"/>
  <c r="J80" i="22"/>
  <c r="I80" i="22"/>
  <c r="H80" i="22"/>
  <c r="M79" i="22"/>
  <c r="L79" i="22"/>
  <c r="K79" i="22"/>
  <c r="J79" i="22"/>
  <c r="I79" i="22"/>
  <c r="H79" i="22"/>
  <c r="M78" i="22"/>
  <c r="L78" i="22"/>
  <c r="K78" i="22"/>
  <c r="J78" i="22"/>
  <c r="I78" i="22"/>
  <c r="H78" i="22"/>
  <c r="M77" i="22"/>
  <c r="L77" i="22"/>
  <c r="K77" i="22"/>
  <c r="J77" i="22"/>
  <c r="I77" i="22"/>
  <c r="H77" i="22"/>
  <c r="M76" i="22"/>
  <c r="L76" i="22"/>
  <c r="K76" i="22"/>
  <c r="J76" i="22"/>
  <c r="I76" i="22"/>
  <c r="H76" i="22"/>
  <c r="M75" i="22"/>
  <c r="L75" i="22"/>
  <c r="K75" i="22"/>
  <c r="J75" i="22"/>
  <c r="I75" i="22"/>
  <c r="H75" i="22"/>
  <c r="M74" i="22"/>
  <c r="L74" i="22"/>
  <c r="K74" i="22"/>
  <c r="J74" i="22"/>
  <c r="I74" i="22"/>
  <c r="H74" i="22"/>
  <c r="M73" i="22"/>
  <c r="L73" i="22"/>
  <c r="K73" i="22"/>
  <c r="J73" i="22"/>
  <c r="I73" i="22"/>
  <c r="H73" i="22"/>
  <c r="M72" i="22"/>
  <c r="L72" i="22"/>
  <c r="K72" i="22"/>
  <c r="J72" i="22"/>
  <c r="I72" i="22"/>
  <c r="H72" i="22"/>
  <c r="M71" i="22"/>
  <c r="L71" i="22"/>
  <c r="K71" i="22"/>
  <c r="J71" i="22"/>
  <c r="I71" i="22"/>
  <c r="H71" i="22"/>
  <c r="M70" i="22"/>
  <c r="L70" i="22"/>
  <c r="K70" i="22"/>
  <c r="J70" i="22"/>
  <c r="I70" i="22"/>
  <c r="H70" i="22"/>
  <c r="M69" i="22"/>
  <c r="L69" i="22"/>
  <c r="K69" i="22"/>
  <c r="J69" i="22"/>
  <c r="I69" i="22"/>
  <c r="H69" i="22"/>
  <c r="M68" i="22"/>
  <c r="L68" i="22"/>
  <c r="K68" i="22"/>
  <c r="J68" i="22"/>
  <c r="I68" i="22"/>
  <c r="H68" i="22"/>
  <c r="M67" i="22"/>
  <c r="L67" i="22"/>
  <c r="K67" i="22"/>
  <c r="J67" i="22"/>
  <c r="I67" i="22"/>
  <c r="H67" i="22"/>
  <c r="M66" i="22"/>
  <c r="L66" i="22"/>
  <c r="K66" i="22"/>
  <c r="J66" i="22"/>
  <c r="I66" i="22"/>
  <c r="H66" i="22"/>
  <c r="M65" i="22"/>
  <c r="L65" i="22"/>
  <c r="K65" i="22"/>
  <c r="J65" i="22"/>
  <c r="I65" i="22"/>
  <c r="H65" i="22"/>
  <c r="M64" i="22"/>
  <c r="L64" i="22"/>
  <c r="K64" i="22"/>
  <c r="J64" i="22"/>
  <c r="I64" i="22"/>
  <c r="H64" i="22"/>
  <c r="M63" i="22"/>
  <c r="L63" i="22"/>
  <c r="K63" i="22"/>
  <c r="J63" i="22"/>
  <c r="I63" i="22"/>
  <c r="H63" i="22"/>
  <c r="M62" i="22"/>
  <c r="L62" i="22"/>
  <c r="K62" i="22"/>
  <c r="J62" i="22"/>
  <c r="I62" i="22"/>
  <c r="H62" i="22"/>
  <c r="M61" i="22"/>
  <c r="L61" i="22"/>
  <c r="K61" i="22"/>
  <c r="J61" i="22"/>
  <c r="I61" i="22"/>
  <c r="H61" i="22"/>
  <c r="M60" i="22"/>
  <c r="L60" i="22"/>
  <c r="K60" i="22"/>
  <c r="J60" i="22"/>
  <c r="I60" i="22"/>
  <c r="H60" i="22"/>
  <c r="M59" i="22"/>
  <c r="L59" i="22"/>
  <c r="K59" i="22"/>
  <c r="J59" i="22"/>
  <c r="I59" i="22"/>
  <c r="H59" i="22"/>
  <c r="M58" i="22"/>
  <c r="L58" i="22"/>
  <c r="K58" i="22"/>
  <c r="J58" i="22"/>
  <c r="I58" i="22"/>
  <c r="H58" i="22"/>
  <c r="M57" i="22"/>
  <c r="L57" i="22"/>
  <c r="K57" i="22"/>
  <c r="J57" i="22"/>
  <c r="I57" i="22"/>
  <c r="H57" i="22"/>
  <c r="M56" i="22"/>
  <c r="L56" i="22"/>
  <c r="K56" i="22"/>
  <c r="J56" i="22"/>
  <c r="I56" i="22"/>
  <c r="H56" i="22"/>
  <c r="M55" i="22"/>
  <c r="L55" i="22"/>
  <c r="K55" i="22"/>
  <c r="J55" i="22"/>
  <c r="I55" i="22"/>
  <c r="H55" i="22"/>
  <c r="M54" i="22"/>
  <c r="L54" i="22"/>
  <c r="K54" i="22"/>
  <c r="J54" i="22"/>
  <c r="I54" i="22"/>
  <c r="H54" i="22"/>
  <c r="M53" i="22"/>
  <c r="L53" i="22"/>
  <c r="K53" i="22"/>
  <c r="J53" i="22"/>
  <c r="I53" i="22"/>
  <c r="H53" i="22"/>
  <c r="M52" i="22"/>
  <c r="L52" i="22"/>
  <c r="K52" i="22"/>
  <c r="J52" i="22"/>
  <c r="I52" i="22"/>
  <c r="H52" i="22"/>
  <c r="M51" i="22"/>
  <c r="L51" i="22"/>
  <c r="K51" i="22"/>
  <c r="J51" i="22"/>
  <c r="I51" i="22"/>
  <c r="H51" i="22"/>
  <c r="M50" i="22"/>
  <c r="L50" i="22"/>
  <c r="K50" i="22"/>
  <c r="J50" i="22"/>
  <c r="I50" i="22"/>
  <c r="H50" i="22"/>
  <c r="M49" i="22"/>
  <c r="L49" i="22"/>
  <c r="K49" i="22"/>
  <c r="J49" i="22"/>
  <c r="I49" i="22"/>
  <c r="H49" i="22"/>
  <c r="M48" i="22"/>
  <c r="L48" i="22"/>
  <c r="K48" i="22"/>
  <c r="J48" i="22"/>
  <c r="I48" i="22"/>
  <c r="H48" i="22"/>
  <c r="M47" i="22"/>
  <c r="L47" i="22"/>
  <c r="K47" i="22"/>
  <c r="J47" i="22"/>
  <c r="I47" i="22"/>
  <c r="H47" i="22"/>
  <c r="M46" i="22"/>
  <c r="L46" i="22"/>
  <c r="K46" i="22"/>
  <c r="J46" i="22"/>
  <c r="I46" i="22"/>
  <c r="H46" i="22"/>
  <c r="M45" i="22"/>
  <c r="L45" i="22"/>
  <c r="K45" i="22"/>
  <c r="J45" i="22"/>
  <c r="I45" i="22"/>
  <c r="H45" i="22"/>
  <c r="M44" i="22"/>
  <c r="L44" i="22"/>
  <c r="K44" i="22"/>
  <c r="J44" i="22"/>
  <c r="I44" i="22"/>
  <c r="H44" i="22"/>
  <c r="M43" i="22"/>
  <c r="L43" i="22"/>
  <c r="K43" i="22"/>
  <c r="J43" i="22"/>
  <c r="I43" i="22"/>
  <c r="H43" i="22"/>
  <c r="M42" i="22"/>
  <c r="L42" i="22"/>
  <c r="K42" i="22"/>
  <c r="J42" i="22"/>
  <c r="I42" i="22"/>
  <c r="H42" i="22"/>
  <c r="M41" i="22"/>
  <c r="L41" i="22"/>
  <c r="K41" i="22"/>
  <c r="J41" i="22"/>
  <c r="I41" i="22"/>
  <c r="H41" i="22"/>
  <c r="M40" i="22"/>
  <c r="L40" i="22"/>
  <c r="K40" i="22"/>
  <c r="J40" i="22"/>
  <c r="I40" i="22"/>
  <c r="H40" i="22"/>
  <c r="M39" i="22"/>
  <c r="L39" i="22"/>
  <c r="K39" i="22"/>
  <c r="J39" i="22"/>
  <c r="I39" i="22"/>
  <c r="H39" i="22"/>
  <c r="M38" i="22"/>
  <c r="L38" i="22"/>
  <c r="K38" i="22"/>
  <c r="J38" i="22"/>
  <c r="I38" i="22"/>
  <c r="H38" i="22"/>
  <c r="M37" i="22"/>
  <c r="L37" i="22"/>
  <c r="K37" i="22"/>
  <c r="J37" i="22"/>
  <c r="I37" i="22"/>
  <c r="H37" i="22"/>
  <c r="M36" i="22"/>
  <c r="L36" i="22"/>
  <c r="K36" i="22"/>
  <c r="J36" i="22"/>
  <c r="I36" i="22"/>
  <c r="H36" i="22"/>
  <c r="M35" i="22"/>
  <c r="L35" i="22"/>
  <c r="K35" i="22"/>
  <c r="J35" i="22"/>
  <c r="I35" i="22"/>
  <c r="H35" i="22"/>
  <c r="M34" i="22"/>
  <c r="L34" i="22"/>
  <c r="K34" i="22"/>
  <c r="J34" i="22"/>
  <c r="I34" i="22"/>
  <c r="H34" i="22"/>
  <c r="M33" i="22"/>
  <c r="L33" i="22"/>
  <c r="K33" i="22"/>
  <c r="J33" i="22"/>
  <c r="I33" i="22"/>
  <c r="H33" i="22"/>
  <c r="M32" i="22"/>
  <c r="L32" i="22"/>
  <c r="K32" i="22"/>
  <c r="J32" i="22"/>
  <c r="I32" i="22"/>
  <c r="H32" i="22"/>
  <c r="M31" i="22"/>
  <c r="L31" i="22"/>
  <c r="K31" i="22"/>
  <c r="J31" i="22"/>
  <c r="I31" i="22"/>
  <c r="H31" i="22"/>
  <c r="M30" i="22"/>
  <c r="L30" i="22"/>
  <c r="K30" i="22"/>
  <c r="J30" i="22"/>
  <c r="I30" i="22"/>
  <c r="H30" i="22"/>
  <c r="M29" i="22"/>
  <c r="L29" i="22"/>
  <c r="K29" i="22"/>
  <c r="J29" i="22"/>
  <c r="I29" i="22"/>
  <c r="H29" i="22"/>
  <c r="M28" i="22"/>
  <c r="L28" i="22"/>
  <c r="K28" i="22"/>
  <c r="J28" i="22"/>
  <c r="I28" i="22"/>
  <c r="H28" i="22"/>
  <c r="M27" i="22"/>
  <c r="L27" i="22"/>
  <c r="K27" i="22"/>
  <c r="J27" i="22"/>
  <c r="I27" i="22"/>
  <c r="H27" i="22"/>
  <c r="M26" i="22"/>
  <c r="L26" i="22"/>
  <c r="K26" i="22"/>
  <c r="J26" i="22"/>
  <c r="I26" i="22"/>
  <c r="H26" i="22"/>
  <c r="M25" i="22"/>
  <c r="L25" i="22"/>
  <c r="K25" i="22"/>
  <c r="J25" i="22"/>
  <c r="I25" i="22"/>
  <c r="H25" i="22"/>
  <c r="M24" i="22"/>
  <c r="L24" i="22"/>
  <c r="K24" i="22"/>
  <c r="J24" i="22"/>
  <c r="I24" i="22"/>
  <c r="H24" i="22"/>
  <c r="M23" i="22"/>
  <c r="L23" i="22"/>
  <c r="K23" i="22"/>
  <c r="J23" i="22"/>
  <c r="I23" i="22"/>
  <c r="H23" i="22"/>
  <c r="M22" i="22"/>
  <c r="L22" i="22"/>
  <c r="K22" i="22"/>
  <c r="J22" i="22"/>
  <c r="I22" i="22"/>
  <c r="H22" i="22"/>
  <c r="M21" i="22"/>
  <c r="L21" i="22"/>
  <c r="K21" i="22"/>
  <c r="J21" i="22"/>
  <c r="I21" i="22"/>
  <c r="H21" i="22"/>
  <c r="M20" i="22"/>
  <c r="L20" i="22"/>
  <c r="K20" i="22"/>
  <c r="J20" i="22"/>
  <c r="I20" i="22"/>
  <c r="H20" i="22"/>
  <c r="M19" i="22"/>
  <c r="L19" i="22"/>
  <c r="K19" i="22"/>
  <c r="J19" i="22"/>
  <c r="I19" i="22"/>
  <c r="H19" i="22"/>
  <c r="M18" i="22"/>
  <c r="L18" i="22"/>
  <c r="K18" i="22"/>
  <c r="J18" i="22"/>
  <c r="I18" i="22"/>
  <c r="H18" i="22"/>
  <c r="M17" i="22"/>
  <c r="L17" i="22"/>
  <c r="K17" i="22"/>
  <c r="J17" i="22"/>
  <c r="I17" i="22"/>
  <c r="H17" i="22"/>
  <c r="M16" i="22"/>
  <c r="L16" i="22"/>
  <c r="K16" i="22"/>
  <c r="J16" i="22"/>
  <c r="I16" i="22"/>
  <c r="H16" i="22"/>
  <c r="M15" i="22"/>
  <c r="L15" i="22"/>
  <c r="K15" i="22"/>
  <c r="J15" i="22"/>
  <c r="I15" i="22"/>
  <c r="H15" i="22"/>
  <c r="M14" i="22"/>
  <c r="L14" i="22"/>
  <c r="K14" i="22"/>
  <c r="J14" i="22"/>
  <c r="I14" i="22"/>
  <c r="H14" i="22"/>
  <c r="M13" i="22"/>
  <c r="L13" i="22"/>
  <c r="K13" i="22"/>
  <c r="J13" i="22"/>
  <c r="I13" i="22"/>
  <c r="H13" i="22"/>
  <c r="M12" i="22"/>
  <c r="L12" i="22"/>
  <c r="K12" i="22"/>
  <c r="J12" i="22"/>
  <c r="I12" i="22"/>
  <c r="H12" i="22"/>
  <c r="M11" i="22"/>
  <c r="L11" i="22"/>
  <c r="K11" i="22"/>
  <c r="J11" i="22"/>
  <c r="I11" i="22"/>
  <c r="H11" i="22"/>
  <c r="M10" i="22"/>
  <c r="L10" i="22"/>
  <c r="K10" i="22"/>
  <c r="J10" i="22"/>
  <c r="I10" i="22"/>
  <c r="H10" i="22"/>
  <c r="M9" i="22"/>
  <c r="L9" i="22"/>
  <c r="K9" i="22"/>
  <c r="J9" i="22"/>
  <c r="I9" i="22"/>
  <c r="H9" i="22"/>
  <c r="M8" i="22"/>
  <c r="L8" i="22"/>
  <c r="K8" i="22"/>
  <c r="J8" i="22"/>
  <c r="I8" i="22"/>
  <c r="H8" i="22"/>
  <c r="M7" i="22"/>
  <c r="L7" i="22"/>
  <c r="K7" i="22"/>
  <c r="J7" i="22"/>
  <c r="I7" i="22"/>
  <c r="H7" i="22"/>
  <c r="M6" i="22"/>
  <c r="L6" i="22"/>
  <c r="K6" i="22"/>
  <c r="J6" i="22"/>
  <c r="I6" i="22"/>
  <c r="H6" i="22"/>
  <c r="M5" i="22"/>
  <c r="L5" i="22"/>
  <c r="K5" i="22"/>
  <c r="J5" i="22"/>
  <c r="I5" i="22"/>
  <c r="H5" i="22"/>
  <c r="M4" i="22"/>
  <c r="L4" i="22"/>
  <c r="K4" i="22"/>
  <c r="J4" i="22"/>
  <c r="I4" i="22"/>
  <c r="H4" i="22"/>
  <c r="H3" i="22"/>
  <c r="S2" i="22"/>
  <c r="N2" i="22"/>
  <c r="R2" i="22"/>
  <c r="Q2" i="22"/>
  <c r="P2" i="22"/>
  <c r="O2" i="22"/>
  <c r="M83" i="20"/>
  <c r="L83" i="20"/>
  <c r="K83" i="20"/>
  <c r="J83" i="20"/>
  <c r="I83" i="20"/>
  <c r="H83" i="20"/>
  <c r="M82" i="20"/>
  <c r="L82" i="20"/>
  <c r="K82" i="20"/>
  <c r="J82" i="20"/>
  <c r="I82" i="20"/>
  <c r="H82" i="20"/>
  <c r="M81" i="20"/>
  <c r="L81" i="20"/>
  <c r="K81" i="20"/>
  <c r="J81" i="20"/>
  <c r="I81" i="20"/>
  <c r="H81" i="20"/>
  <c r="M80" i="20"/>
  <c r="L80" i="20"/>
  <c r="K80" i="20"/>
  <c r="J80" i="20"/>
  <c r="I80" i="20"/>
  <c r="H80" i="20"/>
  <c r="M79" i="20"/>
  <c r="L79" i="20"/>
  <c r="K79" i="20"/>
  <c r="J79" i="20"/>
  <c r="I79" i="20"/>
  <c r="H79" i="20"/>
  <c r="M78" i="20"/>
  <c r="L78" i="20"/>
  <c r="K78" i="20"/>
  <c r="J78" i="20"/>
  <c r="I78" i="20"/>
  <c r="H78" i="20"/>
  <c r="M77" i="20"/>
  <c r="L77" i="20"/>
  <c r="K77" i="20"/>
  <c r="J77" i="20"/>
  <c r="I77" i="20"/>
  <c r="H77" i="20"/>
  <c r="M76" i="20"/>
  <c r="L76" i="20"/>
  <c r="K76" i="20"/>
  <c r="J76" i="20"/>
  <c r="I76" i="20"/>
  <c r="H76" i="20"/>
  <c r="M75" i="20"/>
  <c r="L75" i="20"/>
  <c r="K75" i="20"/>
  <c r="J75" i="20"/>
  <c r="I75" i="20"/>
  <c r="H75" i="20"/>
  <c r="M74" i="20"/>
  <c r="L74" i="20"/>
  <c r="K74" i="20"/>
  <c r="J74" i="20"/>
  <c r="I74" i="20"/>
  <c r="H74" i="20"/>
  <c r="M73" i="20"/>
  <c r="L73" i="20"/>
  <c r="K73" i="20"/>
  <c r="J73" i="20"/>
  <c r="I73" i="20"/>
  <c r="H73" i="20"/>
  <c r="M72" i="20"/>
  <c r="L72" i="20"/>
  <c r="K72" i="20"/>
  <c r="J72" i="20"/>
  <c r="I72" i="20"/>
  <c r="H72" i="20"/>
  <c r="M71" i="20"/>
  <c r="L71" i="20"/>
  <c r="K71" i="20"/>
  <c r="J71" i="20"/>
  <c r="I71" i="20"/>
  <c r="H71" i="20"/>
  <c r="M70" i="20"/>
  <c r="L70" i="20"/>
  <c r="K70" i="20"/>
  <c r="J70" i="20"/>
  <c r="I70" i="20"/>
  <c r="H70" i="20"/>
  <c r="M69" i="20"/>
  <c r="L69" i="20"/>
  <c r="K69" i="20"/>
  <c r="J69" i="20"/>
  <c r="I69" i="20"/>
  <c r="H69" i="20"/>
  <c r="M68" i="20"/>
  <c r="L68" i="20"/>
  <c r="K68" i="20"/>
  <c r="J68" i="20"/>
  <c r="I68" i="20"/>
  <c r="H68" i="20"/>
  <c r="M67" i="20"/>
  <c r="L67" i="20"/>
  <c r="K67" i="20"/>
  <c r="J67" i="20"/>
  <c r="I67" i="20"/>
  <c r="H67" i="20"/>
  <c r="M66" i="20"/>
  <c r="L66" i="20"/>
  <c r="K66" i="20"/>
  <c r="J66" i="20"/>
  <c r="I66" i="20"/>
  <c r="H66" i="20"/>
  <c r="M65" i="20"/>
  <c r="L65" i="20"/>
  <c r="K65" i="20"/>
  <c r="J65" i="20"/>
  <c r="I65" i="20"/>
  <c r="H65" i="20"/>
  <c r="M64" i="20"/>
  <c r="L64" i="20"/>
  <c r="K64" i="20"/>
  <c r="J64" i="20"/>
  <c r="I64" i="20"/>
  <c r="H64" i="20"/>
  <c r="M63" i="20"/>
  <c r="L63" i="20"/>
  <c r="K63" i="20"/>
  <c r="J63" i="20"/>
  <c r="I63" i="20"/>
  <c r="H63" i="20"/>
  <c r="M62" i="20"/>
  <c r="L62" i="20"/>
  <c r="K62" i="20"/>
  <c r="J62" i="20"/>
  <c r="I62" i="20"/>
  <c r="H62" i="20"/>
  <c r="M61" i="20"/>
  <c r="L61" i="20"/>
  <c r="K61" i="20"/>
  <c r="J61" i="20"/>
  <c r="I61" i="20"/>
  <c r="H61" i="20"/>
  <c r="M60" i="20"/>
  <c r="L60" i="20"/>
  <c r="K60" i="20"/>
  <c r="J60" i="20"/>
  <c r="I60" i="20"/>
  <c r="H60" i="20"/>
  <c r="M59" i="20"/>
  <c r="L59" i="20"/>
  <c r="K59" i="20"/>
  <c r="J59" i="20"/>
  <c r="I59" i="20"/>
  <c r="H59" i="20"/>
  <c r="M58" i="20"/>
  <c r="L58" i="20"/>
  <c r="K58" i="20"/>
  <c r="J58" i="20"/>
  <c r="I58" i="20"/>
  <c r="H58" i="20"/>
  <c r="M57" i="20"/>
  <c r="L57" i="20"/>
  <c r="K57" i="20"/>
  <c r="J57" i="20"/>
  <c r="I57" i="20"/>
  <c r="H57" i="20"/>
  <c r="M56" i="20"/>
  <c r="L56" i="20"/>
  <c r="K56" i="20"/>
  <c r="J56" i="20"/>
  <c r="I56" i="20"/>
  <c r="H56" i="20"/>
  <c r="M55" i="20"/>
  <c r="L55" i="20"/>
  <c r="K55" i="20"/>
  <c r="J55" i="20"/>
  <c r="I55" i="20"/>
  <c r="H55" i="20"/>
  <c r="M54" i="20"/>
  <c r="L54" i="20"/>
  <c r="K54" i="20"/>
  <c r="J54" i="20"/>
  <c r="I54" i="20"/>
  <c r="H54" i="20"/>
  <c r="M53" i="20"/>
  <c r="L53" i="20"/>
  <c r="K53" i="20"/>
  <c r="J53" i="20"/>
  <c r="I53" i="20"/>
  <c r="H53" i="20"/>
  <c r="M52" i="20"/>
  <c r="L52" i="20"/>
  <c r="K52" i="20"/>
  <c r="J52" i="20"/>
  <c r="I52" i="20"/>
  <c r="H52" i="20"/>
  <c r="M51" i="20"/>
  <c r="L51" i="20"/>
  <c r="K51" i="20"/>
  <c r="J51" i="20"/>
  <c r="I51" i="20"/>
  <c r="H51" i="20"/>
  <c r="M50" i="20"/>
  <c r="L50" i="20"/>
  <c r="K50" i="20"/>
  <c r="J50" i="20"/>
  <c r="I50" i="20"/>
  <c r="H50" i="20"/>
  <c r="M49" i="20"/>
  <c r="L49" i="20"/>
  <c r="K49" i="20"/>
  <c r="J49" i="20"/>
  <c r="I49" i="20"/>
  <c r="H49" i="20"/>
  <c r="M48" i="20"/>
  <c r="L48" i="20"/>
  <c r="K48" i="20"/>
  <c r="J48" i="20"/>
  <c r="I48" i="20"/>
  <c r="H48" i="20"/>
  <c r="M47" i="20"/>
  <c r="L47" i="20"/>
  <c r="K47" i="20"/>
  <c r="J47" i="20"/>
  <c r="I47" i="20"/>
  <c r="H47" i="20"/>
  <c r="M46" i="20"/>
  <c r="L46" i="20"/>
  <c r="K46" i="20"/>
  <c r="J46" i="20"/>
  <c r="I46" i="20"/>
  <c r="H46" i="20"/>
  <c r="M45" i="20"/>
  <c r="L45" i="20"/>
  <c r="K45" i="20"/>
  <c r="J45" i="20"/>
  <c r="I45" i="20"/>
  <c r="H45" i="20"/>
  <c r="M44" i="20"/>
  <c r="L44" i="20"/>
  <c r="K44" i="20"/>
  <c r="J44" i="20"/>
  <c r="I44" i="20"/>
  <c r="H44" i="20"/>
  <c r="M43" i="20"/>
  <c r="L43" i="20"/>
  <c r="K43" i="20"/>
  <c r="J43" i="20"/>
  <c r="I43" i="20"/>
  <c r="H43" i="20"/>
  <c r="M42" i="20"/>
  <c r="L42" i="20"/>
  <c r="K42" i="20"/>
  <c r="J42" i="20"/>
  <c r="I42" i="20"/>
  <c r="H42" i="20"/>
  <c r="M41" i="20"/>
  <c r="L41" i="20"/>
  <c r="K41" i="20"/>
  <c r="J41" i="20"/>
  <c r="I41" i="20"/>
  <c r="H41" i="20"/>
  <c r="M40" i="20"/>
  <c r="L40" i="20"/>
  <c r="K40" i="20"/>
  <c r="J40" i="20"/>
  <c r="I40" i="20"/>
  <c r="H40" i="20"/>
  <c r="M39" i="20"/>
  <c r="L39" i="20"/>
  <c r="K39" i="20"/>
  <c r="J39" i="20"/>
  <c r="I39" i="20"/>
  <c r="H39" i="20"/>
  <c r="M38" i="20"/>
  <c r="L38" i="20"/>
  <c r="K38" i="20"/>
  <c r="J38" i="20"/>
  <c r="I38" i="20"/>
  <c r="H38" i="20"/>
  <c r="M37" i="20"/>
  <c r="L37" i="20"/>
  <c r="K37" i="20"/>
  <c r="J37" i="20"/>
  <c r="I37" i="20"/>
  <c r="H37" i="20"/>
  <c r="M36" i="20"/>
  <c r="L36" i="20"/>
  <c r="K36" i="20"/>
  <c r="J36" i="20"/>
  <c r="I36" i="20"/>
  <c r="H36" i="20"/>
  <c r="M35" i="20"/>
  <c r="L35" i="20"/>
  <c r="K35" i="20"/>
  <c r="J35" i="20"/>
  <c r="I35" i="20"/>
  <c r="H35" i="20"/>
  <c r="M34" i="20"/>
  <c r="L34" i="20"/>
  <c r="K34" i="20"/>
  <c r="J34" i="20"/>
  <c r="I34" i="20"/>
  <c r="H34" i="20"/>
  <c r="M33" i="20"/>
  <c r="L33" i="20"/>
  <c r="K33" i="20"/>
  <c r="J33" i="20"/>
  <c r="I33" i="20"/>
  <c r="H33" i="20"/>
  <c r="M32" i="20"/>
  <c r="L32" i="20"/>
  <c r="K32" i="20"/>
  <c r="J32" i="20"/>
  <c r="I32" i="20"/>
  <c r="H32" i="20"/>
  <c r="M31" i="20"/>
  <c r="L31" i="20"/>
  <c r="K31" i="20"/>
  <c r="J31" i="20"/>
  <c r="I31" i="20"/>
  <c r="H31" i="20"/>
  <c r="M30" i="20"/>
  <c r="L30" i="20"/>
  <c r="K30" i="20"/>
  <c r="J30" i="20"/>
  <c r="I30" i="20"/>
  <c r="H30" i="20"/>
  <c r="M29" i="20"/>
  <c r="L29" i="20"/>
  <c r="K29" i="20"/>
  <c r="J29" i="20"/>
  <c r="I29" i="20"/>
  <c r="H29" i="20"/>
  <c r="M28" i="20"/>
  <c r="L28" i="20"/>
  <c r="K28" i="20"/>
  <c r="J28" i="20"/>
  <c r="I28" i="20"/>
  <c r="H28" i="20"/>
  <c r="M27" i="20"/>
  <c r="L27" i="20"/>
  <c r="K27" i="20"/>
  <c r="J27" i="20"/>
  <c r="I27" i="20"/>
  <c r="H27" i="20"/>
  <c r="M26" i="20"/>
  <c r="L26" i="20"/>
  <c r="K26" i="20"/>
  <c r="J26" i="20"/>
  <c r="I26" i="20"/>
  <c r="H26" i="20"/>
  <c r="M25" i="20"/>
  <c r="L25" i="20"/>
  <c r="K25" i="20"/>
  <c r="J25" i="20"/>
  <c r="I25" i="20"/>
  <c r="H25" i="20"/>
  <c r="M24" i="20"/>
  <c r="L24" i="20"/>
  <c r="K24" i="20"/>
  <c r="J24" i="20"/>
  <c r="I24" i="20"/>
  <c r="H24" i="20"/>
  <c r="M23" i="20"/>
  <c r="L23" i="20"/>
  <c r="K23" i="20"/>
  <c r="J23" i="20"/>
  <c r="I23" i="20"/>
  <c r="H23" i="20"/>
  <c r="M22" i="20"/>
  <c r="L22" i="20"/>
  <c r="K22" i="20"/>
  <c r="J22" i="20"/>
  <c r="I22" i="20"/>
  <c r="H22" i="20"/>
  <c r="M21" i="20"/>
  <c r="L21" i="20"/>
  <c r="K21" i="20"/>
  <c r="J21" i="20"/>
  <c r="I21" i="20"/>
  <c r="H21" i="20"/>
  <c r="M20" i="20"/>
  <c r="L20" i="20"/>
  <c r="K20" i="20"/>
  <c r="J20" i="20"/>
  <c r="I20" i="20"/>
  <c r="H20" i="20"/>
  <c r="M19" i="20"/>
  <c r="L19" i="20"/>
  <c r="K19" i="20"/>
  <c r="J19" i="20"/>
  <c r="I19" i="20"/>
  <c r="H19" i="20"/>
  <c r="M18" i="20"/>
  <c r="L18" i="20"/>
  <c r="K18" i="20"/>
  <c r="J18" i="20"/>
  <c r="I18" i="20"/>
  <c r="H18" i="20"/>
  <c r="M17" i="20"/>
  <c r="L17" i="20"/>
  <c r="K17" i="20"/>
  <c r="J17" i="20"/>
  <c r="I17" i="20"/>
  <c r="H17" i="20"/>
  <c r="M16" i="20"/>
  <c r="L16" i="20"/>
  <c r="K16" i="20"/>
  <c r="J16" i="20"/>
  <c r="I16" i="20"/>
  <c r="H16" i="20"/>
  <c r="M15" i="20"/>
  <c r="L15" i="20"/>
  <c r="K15" i="20"/>
  <c r="J15" i="20"/>
  <c r="I15" i="20"/>
  <c r="H15" i="20"/>
  <c r="M14" i="20"/>
  <c r="L14" i="20"/>
  <c r="K14" i="20"/>
  <c r="J14" i="20"/>
  <c r="I14" i="20"/>
  <c r="H14" i="20"/>
  <c r="M13" i="20"/>
  <c r="L13" i="20"/>
  <c r="K13" i="20"/>
  <c r="J13" i="20"/>
  <c r="I13" i="20"/>
  <c r="H13" i="20"/>
  <c r="M12" i="20"/>
  <c r="L12" i="20"/>
  <c r="K12" i="20"/>
  <c r="J12" i="20"/>
  <c r="I12" i="20"/>
  <c r="H12" i="20"/>
  <c r="M11" i="20"/>
  <c r="L11" i="20"/>
  <c r="K11" i="20"/>
  <c r="J11" i="20"/>
  <c r="I11" i="20"/>
  <c r="H11" i="20"/>
  <c r="M10" i="20"/>
  <c r="L10" i="20"/>
  <c r="K10" i="20"/>
  <c r="J10" i="20"/>
  <c r="I10" i="20"/>
  <c r="H10" i="20"/>
  <c r="M9" i="20"/>
  <c r="L9" i="20"/>
  <c r="K9" i="20"/>
  <c r="J9" i="20"/>
  <c r="I9" i="20"/>
  <c r="H9" i="20"/>
  <c r="M8" i="20"/>
  <c r="L8" i="20"/>
  <c r="K8" i="20"/>
  <c r="J8" i="20"/>
  <c r="I8" i="20"/>
  <c r="H8" i="20"/>
  <c r="M7" i="20"/>
  <c r="L7" i="20"/>
  <c r="K7" i="20"/>
  <c r="J7" i="20"/>
  <c r="I7" i="20"/>
  <c r="H7" i="20"/>
  <c r="M6" i="20"/>
  <c r="L6" i="20"/>
  <c r="K6" i="20"/>
  <c r="J6" i="20"/>
  <c r="I6" i="20"/>
  <c r="H6" i="20"/>
  <c r="M5" i="20"/>
  <c r="L5" i="20"/>
  <c r="K5" i="20"/>
  <c r="J5" i="20"/>
  <c r="I5" i="20"/>
  <c r="H5" i="20"/>
  <c r="M4" i="20"/>
  <c r="L4" i="20"/>
  <c r="K4" i="20"/>
  <c r="J4" i="20"/>
  <c r="I4" i="20"/>
  <c r="H4" i="20"/>
  <c r="H3" i="20"/>
  <c r="S2" i="20"/>
  <c r="Q2" i="20"/>
  <c r="N2" i="20"/>
  <c r="R2" i="20"/>
  <c r="P2" i="20"/>
  <c r="O2" i="20"/>
  <c r="M83" i="19"/>
  <c r="L83" i="19"/>
  <c r="K83" i="19"/>
  <c r="J83" i="19"/>
  <c r="I83" i="19"/>
  <c r="H83" i="19"/>
  <c r="M82" i="19"/>
  <c r="L82" i="19"/>
  <c r="K82" i="19"/>
  <c r="J82" i="19"/>
  <c r="I82" i="19"/>
  <c r="H82" i="19"/>
  <c r="M81" i="19"/>
  <c r="L81" i="19"/>
  <c r="K81" i="19"/>
  <c r="J81" i="19"/>
  <c r="I81" i="19"/>
  <c r="H81" i="19"/>
  <c r="M80" i="19"/>
  <c r="L80" i="19"/>
  <c r="K80" i="19"/>
  <c r="J80" i="19"/>
  <c r="I80" i="19"/>
  <c r="H80" i="19"/>
  <c r="M79" i="19"/>
  <c r="L79" i="19"/>
  <c r="K79" i="19"/>
  <c r="J79" i="19"/>
  <c r="I79" i="19"/>
  <c r="H79" i="19"/>
  <c r="M78" i="19"/>
  <c r="L78" i="19"/>
  <c r="K78" i="19"/>
  <c r="J78" i="19"/>
  <c r="I78" i="19"/>
  <c r="H78" i="19"/>
  <c r="M77" i="19"/>
  <c r="L77" i="19"/>
  <c r="K77" i="19"/>
  <c r="J77" i="19"/>
  <c r="I77" i="19"/>
  <c r="H77" i="19"/>
  <c r="M76" i="19"/>
  <c r="L76" i="19"/>
  <c r="K76" i="19"/>
  <c r="J76" i="19"/>
  <c r="I76" i="19"/>
  <c r="H76" i="19"/>
  <c r="M75" i="19"/>
  <c r="L75" i="19"/>
  <c r="K75" i="19"/>
  <c r="J75" i="19"/>
  <c r="I75" i="19"/>
  <c r="H75" i="19"/>
  <c r="M74" i="19"/>
  <c r="L74" i="19"/>
  <c r="K74" i="19"/>
  <c r="J74" i="19"/>
  <c r="I74" i="19"/>
  <c r="H74" i="19"/>
  <c r="M73" i="19"/>
  <c r="L73" i="19"/>
  <c r="K73" i="19"/>
  <c r="J73" i="19"/>
  <c r="I73" i="19"/>
  <c r="H73" i="19"/>
  <c r="M72" i="19"/>
  <c r="L72" i="19"/>
  <c r="K72" i="19"/>
  <c r="J72" i="19"/>
  <c r="I72" i="19"/>
  <c r="H72" i="19"/>
  <c r="M71" i="19"/>
  <c r="L71" i="19"/>
  <c r="K71" i="19"/>
  <c r="J71" i="19"/>
  <c r="I71" i="19"/>
  <c r="H71" i="19"/>
  <c r="M70" i="19"/>
  <c r="L70" i="19"/>
  <c r="K70" i="19"/>
  <c r="J70" i="19"/>
  <c r="I70" i="19"/>
  <c r="H70" i="19"/>
  <c r="M69" i="19"/>
  <c r="L69" i="19"/>
  <c r="K69" i="19"/>
  <c r="J69" i="19"/>
  <c r="I69" i="19"/>
  <c r="H69" i="19"/>
  <c r="M68" i="19"/>
  <c r="L68" i="19"/>
  <c r="K68" i="19"/>
  <c r="J68" i="19"/>
  <c r="I68" i="19"/>
  <c r="H68" i="19"/>
  <c r="M67" i="19"/>
  <c r="L67" i="19"/>
  <c r="K67" i="19"/>
  <c r="J67" i="19"/>
  <c r="I67" i="19"/>
  <c r="H67" i="19"/>
  <c r="M66" i="19"/>
  <c r="L66" i="19"/>
  <c r="K66" i="19"/>
  <c r="J66" i="19"/>
  <c r="I66" i="19"/>
  <c r="H66" i="19"/>
  <c r="M65" i="19"/>
  <c r="L65" i="19"/>
  <c r="K65" i="19"/>
  <c r="J65" i="19"/>
  <c r="I65" i="19"/>
  <c r="H65" i="19"/>
  <c r="M64" i="19"/>
  <c r="L64" i="19"/>
  <c r="K64" i="19"/>
  <c r="J64" i="19"/>
  <c r="I64" i="19"/>
  <c r="H64" i="19"/>
  <c r="M63" i="19"/>
  <c r="L63" i="19"/>
  <c r="K63" i="19"/>
  <c r="J63" i="19"/>
  <c r="I63" i="19"/>
  <c r="H63" i="19"/>
  <c r="M62" i="19"/>
  <c r="L62" i="19"/>
  <c r="K62" i="19"/>
  <c r="J62" i="19"/>
  <c r="I62" i="19"/>
  <c r="H62" i="19"/>
  <c r="M61" i="19"/>
  <c r="L61" i="19"/>
  <c r="K61" i="19"/>
  <c r="J61" i="19"/>
  <c r="I61" i="19"/>
  <c r="H61" i="19"/>
  <c r="M60" i="19"/>
  <c r="L60" i="19"/>
  <c r="K60" i="19"/>
  <c r="J60" i="19"/>
  <c r="I60" i="19"/>
  <c r="H60" i="19"/>
  <c r="M59" i="19"/>
  <c r="L59" i="19"/>
  <c r="K59" i="19"/>
  <c r="J59" i="19"/>
  <c r="I59" i="19"/>
  <c r="H59" i="19"/>
  <c r="M58" i="19"/>
  <c r="L58" i="19"/>
  <c r="K58" i="19"/>
  <c r="J58" i="19"/>
  <c r="I58" i="19"/>
  <c r="H58" i="19"/>
  <c r="M57" i="19"/>
  <c r="L57" i="19"/>
  <c r="K57" i="19"/>
  <c r="J57" i="19"/>
  <c r="I57" i="19"/>
  <c r="H57" i="19"/>
  <c r="M56" i="19"/>
  <c r="L56" i="19"/>
  <c r="K56" i="19"/>
  <c r="J56" i="19"/>
  <c r="I56" i="19"/>
  <c r="H56" i="19"/>
  <c r="M55" i="19"/>
  <c r="L55" i="19"/>
  <c r="K55" i="19"/>
  <c r="J55" i="19"/>
  <c r="I55" i="19"/>
  <c r="H55" i="19"/>
  <c r="M54" i="19"/>
  <c r="L54" i="19"/>
  <c r="K54" i="19"/>
  <c r="J54" i="19"/>
  <c r="I54" i="19"/>
  <c r="H54" i="19"/>
  <c r="M53" i="19"/>
  <c r="L53" i="19"/>
  <c r="K53" i="19"/>
  <c r="J53" i="19"/>
  <c r="I53" i="19"/>
  <c r="H53" i="19"/>
  <c r="M52" i="19"/>
  <c r="L52" i="19"/>
  <c r="K52" i="19"/>
  <c r="J52" i="19"/>
  <c r="I52" i="19"/>
  <c r="H52" i="19"/>
  <c r="M51" i="19"/>
  <c r="L51" i="19"/>
  <c r="K51" i="19"/>
  <c r="J51" i="19"/>
  <c r="I51" i="19"/>
  <c r="H51" i="19"/>
  <c r="M50" i="19"/>
  <c r="L50" i="19"/>
  <c r="K50" i="19"/>
  <c r="J50" i="19"/>
  <c r="I50" i="19"/>
  <c r="H50" i="19"/>
  <c r="M49" i="19"/>
  <c r="L49" i="19"/>
  <c r="K49" i="19"/>
  <c r="J49" i="19"/>
  <c r="I49" i="19"/>
  <c r="H49" i="19"/>
  <c r="M48" i="19"/>
  <c r="L48" i="19"/>
  <c r="K48" i="19"/>
  <c r="J48" i="19"/>
  <c r="I48" i="19"/>
  <c r="H48" i="19"/>
  <c r="M47" i="19"/>
  <c r="L47" i="19"/>
  <c r="K47" i="19"/>
  <c r="J47" i="19"/>
  <c r="I47" i="19"/>
  <c r="H47" i="19"/>
  <c r="M46" i="19"/>
  <c r="L46" i="19"/>
  <c r="K46" i="19"/>
  <c r="J46" i="19"/>
  <c r="I46" i="19"/>
  <c r="H46" i="19"/>
  <c r="M45" i="19"/>
  <c r="L45" i="19"/>
  <c r="K45" i="19"/>
  <c r="J45" i="19"/>
  <c r="I45" i="19"/>
  <c r="H45" i="19"/>
  <c r="M44" i="19"/>
  <c r="L44" i="19"/>
  <c r="K44" i="19"/>
  <c r="J44" i="19"/>
  <c r="I44" i="19"/>
  <c r="H44" i="19"/>
  <c r="M43" i="19"/>
  <c r="L43" i="19"/>
  <c r="K43" i="19"/>
  <c r="J43" i="19"/>
  <c r="I43" i="19"/>
  <c r="H43" i="19"/>
  <c r="M42" i="19"/>
  <c r="L42" i="19"/>
  <c r="K42" i="19"/>
  <c r="J42" i="19"/>
  <c r="I42" i="19"/>
  <c r="H42" i="19"/>
  <c r="M41" i="19"/>
  <c r="L41" i="19"/>
  <c r="K41" i="19"/>
  <c r="J41" i="19"/>
  <c r="I41" i="19"/>
  <c r="H41" i="19"/>
  <c r="M40" i="19"/>
  <c r="L40" i="19"/>
  <c r="K40" i="19"/>
  <c r="J40" i="19"/>
  <c r="I40" i="19"/>
  <c r="H40" i="19"/>
  <c r="M39" i="19"/>
  <c r="L39" i="19"/>
  <c r="K39" i="19"/>
  <c r="J39" i="19"/>
  <c r="I39" i="19"/>
  <c r="H39" i="19"/>
  <c r="M38" i="19"/>
  <c r="L38" i="19"/>
  <c r="K38" i="19"/>
  <c r="J38" i="19"/>
  <c r="I38" i="19"/>
  <c r="H38" i="19"/>
  <c r="M37" i="19"/>
  <c r="L37" i="19"/>
  <c r="K37" i="19"/>
  <c r="J37" i="19"/>
  <c r="I37" i="19"/>
  <c r="H37" i="19"/>
  <c r="M36" i="19"/>
  <c r="L36" i="19"/>
  <c r="K36" i="19"/>
  <c r="J36" i="19"/>
  <c r="I36" i="19"/>
  <c r="H36" i="19"/>
  <c r="M35" i="19"/>
  <c r="L35" i="19"/>
  <c r="K35" i="19"/>
  <c r="J35" i="19"/>
  <c r="I35" i="19"/>
  <c r="H35" i="19"/>
  <c r="M34" i="19"/>
  <c r="L34" i="19"/>
  <c r="K34" i="19"/>
  <c r="J34" i="19"/>
  <c r="I34" i="19"/>
  <c r="H34" i="19"/>
  <c r="M33" i="19"/>
  <c r="L33" i="19"/>
  <c r="K33" i="19"/>
  <c r="J33" i="19"/>
  <c r="I33" i="19"/>
  <c r="H33" i="19"/>
  <c r="M32" i="19"/>
  <c r="L32" i="19"/>
  <c r="K32" i="19"/>
  <c r="J32" i="19"/>
  <c r="I32" i="19"/>
  <c r="H32" i="19"/>
  <c r="M31" i="19"/>
  <c r="L31" i="19"/>
  <c r="K31" i="19"/>
  <c r="J31" i="19"/>
  <c r="I31" i="19"/>
  <c r="H31" i="19"/>
  <c r="M30" i="19"/>
  <c r="L30" i="19"/>
  <c r="K30" i="19"/>
  <c r="J30" i="19"/>
  <c r="I30" i="19"/>
  <c r="H30" i="19"/>
  <c r="M29" i="19"/>
  <c r="L29" i="19"/>
  <c r="K29" i="19"/>
  <c r="J29" i="19"/>
  <c r="I29" i="19"/>
  <c r="H29" i="19"/>
  <c r="M28" i="19"/>
  <c r="L28" i="19"/>
  <c r="K28" i="19"/>
  <c r="J28" i="19"/>
  <c r="I28" i="19"/>
  <c r="H28" i="19"/>
  <c r="M27" i="19"/>
  <c r="L27" i="19"/>
  <c r="K27" i="19"/>
  <c r="J27" i="19"/>
  <c r="I27" i="19"/>
  <c r="H27" i="19"/>
  <c r="M26" i="19"/>
  <c r="L26" i="19"/>
  <c r="K26" i="19"/>
  <c r="J26" i="19"/>
  <c r="I26" i="19"/>
  <c r="H26" i="19"/>
  <c r="M25" i="19"/>
  <c r="L25" i="19"/>
  <c r="K25" i="19"/>
  <c r="J25" i="19"/>
  <c r="I25" i="19"/>
  <c r="H25" i="19"/>
  <c r="M24" i="19"/>
  <c r="L24" i="19"/>
  <c r="K24" i="19"/>
  <c r="J24" i="19"/>
  <c r="I24" i="19"/>
  <c r="H24" i="19"/>
  <c r="M23" i="19"/>
  <c r="L23" i="19"/>
  <c r="K23" i="19"/>
  <c r="J23" i="19"/>
  <c r="I23" i="19"/>
  <c r="H23" i="19"/>
  <c r="M22" i="19"/>
  <c r="L22" i="19"/>
  <c r="K22" i="19"/>
  <c r="J22" i="19"/>
  <c r="I22" i="19"/>
  <c r="H22" i="19"/>
  <c r="M21" i="19"/>
  <c r="L21" i="19"/>
  <c r="K21" i="19"/>
  <c r="J21" i="19"/>
  <c r="I21" i="19"/>
  <c r="H21" i="19"/>
  <c r="M20" i="19"/>
  <c r="L20" i="19"/>
  <c r="K20" i="19"/>
  <c r="J20" i="19"/>
  <c r="I20" i="19"/>
  <c r="H20" i="19"/>
  <c r="M19" i="19"/>
  <c r="L19" i="19"/>
  <c r="K19" i="19"/>
  <c r="J19" i="19"/>
  <c r="I19" i="19"/>
  <c r="H19" i="19"/>
  <c r="M18" i="19"/>
  <c r="L18" i="19"/>
  <c r="K18" i="19"/>
  <c r="J18" i="19"/>
  <c r="I18" i="19"/>
  <c r="H18" i="19"/>
  <c r="M17" i="19"/>
  <c r="L17" i="19"/>
  <c r="K17" i="19"/>
  <c r="J17" i="19"/>
  <c r="I17" i="19"/>
  <c r="H17" i="19"/>
  <c r="M16" i="19"/>
  <c r="L16" i="19"/>
  <c r="K16" i="19"/>
  <c r="J16" i="19"/>
  <c r="I16" i="19"/>
  <c r="H16" i="19"/>
  <c r="M15" i="19"/>
  <c r="L15" i="19"/>
  <c r="K15" i="19"/>
  <c r="J15" i="19"/>
  <c r="I15" i="19"/>
  <c r="H15" i="19"/>
  <c r="M14" i="19"/>
  <c r="L14" i="19"/>
  <c r="K14" i="19"/>
  <c r="J14" i="19"/>
  <c r="I14" i="19"/>
  <c r="H14" i="19"/>
  <c r="M13" i="19"/>
  <c r="L13" i="19"/>
  <c r="K13" i="19"/>
  <c r="J13" i="19"/>
  <c r="I13" i="19"/>
  <c r="H13" i="19"/>
  <c r="M12" i="19"/>
  <c r="L12" i="19"/>
  <c r="K12" i="19"/>
  <c r="J12" i="19"/>
  <c r="I12" i="19"/>
  <c r="H12" i="19"/>
  <c r="M11" i="19"/>
  <c r="L11" i="19"/>
  <c r="K11" i="19"/>
  <c r="J11" i="19"/>
  <c r="I11" i="19"/>
  <c r="H11" i="19"/>
  <c r="M10" i="19"/>
  <c r="L10" i="19"/>
  <c r="K10" i="19"/>
  <c r="J10" i="19"/>
  <c r="I10" i="19"/>
  <c r="H10" i="19"/>
  <c r="M9" i="19"/>
  <c r="L9" i="19"/>
  <c r="K9" i="19"/>
  <c r="J9" i="19"/>
  <c r="I9" i="19"/>
  <c r="H9" i="19"/>
  <c r="M8" i="19"/>
  <c r="L8" i="19"/>
  <c r="K8" i="19"/>
  <c r="J8" i="19"/>
  <c r="I8" i="19"/>
  <c r="H8" i="19"/>
  <c r="M7" i="19"/>
  <c r="L7" i="19"/>
  <c r="K7" i="19"/>
  <c r="J7" i="19"/>
  <c r="I7" i="19"/>
  <c r="H7" i="19"/>
  <c r="M6" i="19"/>
  <c r="L6" i="19"/>
  <c r="K6" i="19"/>
  <c r="J6" i="19"/>
  <c r="I6" i="19"/>
  <c r="H6" i="19"/>
  <c r="M5" i="19"/>
  <c r="L5" i="19"/>
  <c r="K5" i="19"/>
  <c r="J5" i="19"/>
  <c r="I5" i="19"/>
  <c r="H5" i="19"/>
  <c r="M4" i="19"/>
  <c r="L4" i="19"/>
  <c r="K4" i="19"/>
  <c r="J4" i="19"/>
  <c r="I4" i="19"/>
  <c r="H4" i="19"/>
  <c r="H3" i="19"/>
  <c r="S2" i="19"/>
  <c r="P2" i="19"/>
  <c r="N2" i="19"/>
  <c r="R2" i="19"/>
  <c r="Q2" i="19"/>
  <c r="O2" i="19"/>
  <c r="M83" i="17"/>
  <c r="L83" i="17"/>
  <c r="K83" i="17"/>
  <c r="J83" i="17"/>
  <c r="I83" i="17"/>
  <c r="H83" i="17"/>
  <c r="M82" i="17"/>
  <c r="L82" i="17"/>
  <c r="K82" i="17"/>
  <c r="J82" i="17"/>
  <c r="I82" i="17"/>
  <c r="H82" i="17"/>
  <c r="M81" i="17"/>
  <c r="L81" i="17"/>
  <c r="K81" i="17"/>
  <c r="J81" i="17"/>
  <c r="I81" i="17"/>
  <c r="H81" i="17"/>
  <c r="M80" i="17"/>
  <c r="L80" i="17"/>
  <c r="K80" i="17"/>
  <c r="J80" i="17"/>
  <c r="I80" i="17"/>
  <c r="H80" i="17"/>
  <c r="M79" i="17"/>
  <c r="L79" i="17"/>
  <c r="K79" i="17"/>
  <c r="J79" i="17"/>
  <c r="I79" i="17"/>
  <c r="H79" i="17"/>
  <c r="M78" i="17"/>
  <c r="L78" i="17"/>
  <c r="K78" i="17"/>
  <c r="J78" i="17"/>
  <c r="I78" i="17"/>
  <c r="H78" i="17"/>
  <c r="M77" i="17"/>
  <c r="L77" i="17"/>
  <c r="K77" i="17"/>
  <c r="J77" i="17"/>
  <c r="I77" i="17"/>
  <c r="H77" i="17"/>
  <c r="M76" i="17"/>
  <c r="L76" i="17"/>
  <c r="K76" i="17"/>
  <c r="J76" i="17"/>
  <c r="I76" i="17"/>
  <c r="H76" i="17"/>
  <c r="M75" i="17"/>
  <c r="L75" i="17"/>
  <c r="K75" i="17"/>
  <c r="J75" i="17"/>
  <c r="I75" i="17"/>
  <c r="H75" i="17"/>
  <c r="M74" i="17"/>
  <c r="L74" i="17"/>
  <c r="K74" i="17"/>
  <c r="J74" i="17"/>
  <c r="I74" i="17"/>
  <c r="H74" i="17"/>
  <c r="M73" i="17"/>
  <c r="L73" i="17"/>
  <c r="K73" i="17"/>
  <c r="J73" i="17"/>
  <c r="I73" i="17"/>
  <c r="H73" i="17"/>
  <c r="M72" i="17"/>
  <c r="L72" i="17"/>
  <c r="K72" i="17"/>
  <c r="J72" i="17"/>
  <c r="I72" i="17"/>
  <c r="H72" i="17"/>
  <c r="M71" i="17"/>
  <c r="L71" i="17"/>
  <c r="K71" i="17"/>
  <c r="J71" i="17"/>
  <c r="I71" i="17"/>
  <c r="H71" i="17"/>
  <c r="M70" i="17"/>
  <c r="L70" i="17"/>
  <c r="K70" i="17"/>
  <c r="J70" i="17"/>
  <c r="I70" i="17"/>
  <c r="H70" i="17"/>
  <c r="M69" i="17"/>
  <c r="L69" i="17"/>
  <c r="K69" i="17"/>
  <c r="J69" i="17"/>
  <c r="I69" i="17"/>
  <c r="H69" i="17"/>
  <c r="M68" i="17"/>
  <c r="L68" i="17"/>
  <c r="K68" i="17"/>
  <c r="J68" i="17"/>
  <c r="I68" i="17"/>
  <c r="H68" i="17"/>
  <c r="M67" i="17"/>
  <c r="L67" i="17"/>
  <c r="K67" i="17"/>
  <c r="J67" i="17"/>
  <c r="I67" i="17"/>
  <c r="H67" i="17"/>
  <c r="M66" i="17"/>
  <c r="L66" i="17"/>
  <c r="K66" i="17"/>
  <c r="J66" i="17"/>
  <c r="I66" i="17"/>
  <c r="H66" i="17"/>
  <c r="M65" i="17"/>
  <c r="L65" i="17"/>
  <c r="K65" i="17"/>
  <c r="J65" i="17"/>
  <c r="I65" i="17"/>
  <c r="H65" i="17"/>
  <c r="M64" i="17"/>
  <c r="L64" i="17"/>
  <c r="K64" i="17"/>
  <c r="J64" i="17"/>
  <c r="I64" i="17"/>
  <c r="H64" i="17"/>
  <c r="M63" i="17"/>
  <c r="L63" i="17"/>
  <c r="K63" i="17"/>
  <c r="J63" i="17"/>
  <c r="I63" i="17"/>
  <c r="H63" i="17"/>
  <c r="M62" i="17"/>
  <c r="L62" i="17"/>
  <c r="K62" i="17"/>
  <c r="J62" i="17"/>
  <c r="I62" i="17"/>
  <c r="H62" i="17"/>
  <c r="M61" i="17"/>
  <c r="L61" i="17"/>
  <c r="K61" i="17"/>
  <c r="J61" i="17"/>
  <c r="I61" i="17"/>
  <c r="H61" i="17"/>
  <c r="M60" i="17"/>
  <c r="L60" i="17"/>
  <c r="K60" i="17"/>
  <c r="J60" i="17"/>
  <c r="I60" i="17"/>
  <c r="H60" i="17"/>
  <c r="M59" i="17"/>
  <c r="L59" i="17"/>
  <c r="K59" i="17"/>
  <c r="J59" i="17"/>
  <c r="I59" i="17"/>
  <c r="H59" i="17"/>
  <c r="M58" i="17"/>
  <c r="L58" i="17"/>
  <c r="K58" i="17"/>
  <c r="J58" i="17"/>
  <c r="I58" i="17"/>
  <c r="H58" i="17"/>
  <c r="M57" i="17"/>
  <c r="L57" i="17"/>
  <c r="K57" i="17"/>
  <c r="J57" i="17"/>
  <c r="I57" i="17"/>
  <c r="H57" i="17"/>
  <c r="M56" i="17"/>
  <c r="L56" i="17"/>
  <c r="K56" i="17"/>
  <c r="J56" i="17"/>
  <c r="I56" i="17"/>
  <c r="H56" i="17"/>
  <c r="M55" i="17"/>
  <c r="L55" i="17"/>
  <c r="K55" i="17"/>
  <c r="J55" i="17"/>
  <c r="I55" i="17"/>
  <c r="H55" i="17"/>
  <c r="M54" i="17"/>
  <c r="L54" i="17"/>
  <c r="K54" i="17"/>
  <c r="J54" i="17"/>
  <c r="I54" i="17"/>
  <c r="H54" i="17"/>
  <c r="M53" i="17"/>
  <c r="L53" i="17"/>
  <c r="K53" i="17"/>
  <c r="J53" i="17"/>
  <c r="I53" i="17"/>
  <c r="H53" i="17"/>
  <c r="M52" i="17"/>
  <c r="L52" i="17"/>
  <c r="K52" i="17"/>
  <c r="J52" i="17"/>
  <c r="I52" i="17"/>
  <c r="H52" i="17"/>
  <c r="M51" i="17"/>
  <c r="L51" i="17"/>
  <c r="K51" i="17"/>
  <c r="J51" i="17"/>
  <c r="I51" i="17"/>
  <c r="H51" i="17"/>
  <c r="M50" i="17"/>
  <c r="L50" i="17"/>
  <c r="K50" i="17"/>
  <c r="J50" i="17"/>
  <c r="I50" i="17"/>
  <c r="H50" i="17"/>
  <c r="M49" i="17"/>
  <c r="L49" i="17"/>
  <c r="K49" i="17"/>
  <c r="J49" i="17"/>
  <c r="I49" i="17"/>
  <c r="H49" i="17"/>
  <c r="M48" i="17"/>
  <c r="L48" i="17"/>
  <c r="K48" i="17"/>
  <c r="J48" i="17"/>
  <c r="I48" i="17"/>
  <c r="H48" i="17"/>
  <c r="M47" i="17"/>
  <c r="L47" i="17"/>
  <c r="K47" i="17"/>
  <c r="J47" i="17"/>
  <c r="I47" i="17"/>
  <c r="H47" i="17"/>
  <c r="M46" i="17"/>
  <c r="L46" i="17"/>
  <c r="K46" i="17"/>
  <c r="J46" i="17"/>
  <c r="I46" i="17"/>
  <c r="H46" i="17"/>
  <c r="M45" i="17"/>
  <c r="L45" i="17"/>
  <c r="K45" i="17"/>
  <c r="J45" i="17"/>
  <c r="I45" i="17"/>
  <c r="H45" i="17"/>
  <c r="M44" i="17"/>
  <c r="L44" i="17"/>
  <c r="K44" i="17"/>
  <c r="J44" i="17"/>
  <c r="I44" i="17"/>
  <c r="H44" i="17"/>
  <c r="M43" i="17"/>
  <c r="L43" i="17"/>
  <c r="K43" i="17"/>
  <c r="J43" i="17"/>
  <c r="I43" i="17"/>
  <c r="H43" i="17"/>
  <c r="M42" i="17"/>
  <c r="L42" i="17"/>
  <c r="K42" i="17"/>
  <c r="J42" i="17"/>
  <c r="I42" i="17"/>
  <c r="H42" i="17"/>
  <c r="M41" i="17"/>
  <c r="L41" i="17"/>
  <c r="K41" i="17"/>
  <c r="J41" i="17"/>
  <c r="I41" i="17"/>
  <c r="H41" i="17"/>
  <c r="M40" i="17"/>
  <c r="L40" i="17"/>
  <c r="K40" i="17"/>
  <c r="J40" i="17"/>
  <c r="I40" i="17"/>
  <c r="H40" i="17"/>
  <c r="M39" i="17"/>
  <c r="L39" i="17"/>
  <c r="K39" i="17"/>
  <c r="J39" i="17"/>
  <c r="I39" i="17"/>
  <c r="H39" i="17"/>
  <c r="M38" i="17"/>
  <c r="L38" i="17"/>
  <c r="K38" i="17"/>
  <c r="J38" i="17"/>
  <c r="I38" i="17"/>
  <c r="H38" i="17"/>
  <c r="M37" i="17"/>
  <c r="L37" i="17"/>
  <c r="K37" i="17"/>
  <c r="J37" i="17"/>
  <c r="I37" i="17"/>
  <c r="H37" i="17"/>
  <c r="M36" i="17"/>
  <c r="L36" i="17"/>
  <c r="K36" i="17"/>
  <c r="J36" i="17"/>
  <c r="I36" i="17"/>
  <c r="H36" i="17"/>
  <c r="M35" i="17"/>
  <c r="L35" i="17"/>
  <c r="K35" i="17"/>
  <c r="J35" i="17"/>
  <c r="I35" i="17"/>
  <c r="H35" i="17"/>
  <c r="M34" i="17"/>
  <c r="L34" i="17"/>
  <c r="K34" i="17"/>
  <c r="J34" i="17"/>
  <c r="I34" i="17"/>
  <c r="H34" i="17"/>
  <c r="M33" i="17"/>
  <c r="L33" i="17"/>
  <c r="K33" i="17"/>
  <c r="J33" i="17"/>
  <c r="I33" i="17"/>
  <c r="H33" i="17"/>
  <c r="M32" i="17"/>
  <c r="L32" i="17"/>
  <c r="K32" i="17"/>
  <c r="J32" i="17"/>
  <c r="I32" i="17"/>
  <c r="H32" i="17"/>
  <c r="M31" i="17"/>
  <c r="L31" i="17"/>
  <c r="K31" i="17"/>
  <c r="J31" i="17"/>
  <c r="I31" i="17"/>
  <c r="H31" i="17"/>
  <c r="M30" i="17"/>
  <c r="L30" i="17"/>
  <c r="K30" i="17"/>
  <c r="J30" i="17"/>
  <c r="I30" i="17"/>
  <c r="H30" i="17"/>
  <c r="M29" i="17"/>
  <c r="L29" i="17"/>
  <c r="K29" i="17"/>
  <c r="J29" i="17"/>
  <c r="I29" i="17"/>
  <c r="H29" i="17"/>
  <c r="M28" i="17"/>
  <c r="L28" i="17"/>
  <c r="K28" i="17"/>
  <c r="J28" i="17"/>
  <c r="I28" i="17"/>
  <c r="H28" i="17"/>
  <c r="M27" i="17"/>
  <c r="L27" i="17"/>
  <c r="K27" i="17"/>
  <c r="J27" i="17"/>
  <c r="I27" i="17"/>
  <c r="H27" i="17"/>
  <c r="M26" i="17"/>
  <c r="L26" i="17"/>
  <c r="K26" i="17"/>
  <c r="J26" i="17"/>
  <c r="I26" i="17"/>
  <c r="H26" i="17"/>
  <c r="M25" i="17"/>
  <c r="L25" i="17"/>
  <c r="K25" i="17"/>
  <c r="J25" i="17"/>
  <c r="I25" i="17"/>
  <c r="H25" i="17"/>
  <c r="M24" i="17"/>
  <c r="L24" i="17"/>
  <c r="K24" i="17"/>
  <c r="J24" i="17"/>
  <c r="I24" i="17"/>
  <c r="H24" i="17"/>
  <c r="M23" i="17"/>
  <c r="L23" i="17"/>
  <c r="K23" i="17"/>
  <c r="J23" i="17"/>
  <c r="I23" i="17"/>
  <c r="H23" i="17"/>
  <c r="M22" i="17"/>
  <c r="L22" i="17"/>
  <c r="K22" i="17"/>
  <c r="J22" i="17"/>
  <c r="I22" i="17"/>
  <c r="H22" i="17"/>
  <c r="M21" i="17"/>
  <c r="L21" i="17"/>
  <c r="K21" i="17"/>
  <c r="J21" i="17"/>
  <c r="I21" i="17"/>
  <c r="H21" i="17"/>
  <c r="M20" i="17"/>
  <c r="L20" i="17"/>
  <c r="K20" i="17"/>
  <c r="J20" i="17"/>
  <c r="I20" i="17"/>
  <c r="H20" i="17"/>
  <c r="M19" i="17"/>
  <c r="L19" i="17"/>
  <c r="K19" i="17"/>
  <c r="J19" i="17"/>
  <c r="I19" i="17"/>
  <c r="H19" i="17"/>
  <c r="M18" i="17"/>
  <c r="L18" i="17"/>
  <c r="K18" i="17"/>
  <c r="J18" i="17"/>
  <c r="I18" i="17"/>
  <c r="H18" i="17"/>
  <c r="M17" i="17"/>
  <c r="L17" i="17"/>
  <c r="K17" i="17"/>
  <c r="J17" i="17"/>
  <c r="I17" i="17"/>
  <c r="H17" i="17"/>
  <c r="M16" i="17"/>
  <c r="L16" i="17"/>
  <c r="K16" i="17"/>
  <c r="J16" i="17"/>
  <c r="I16" i="17"/>
  <c r="H16" i="17"/>
  <c r="M15" i="17"/>
  <c r="L15" i="17"/>
  <c r="K15" i="17"/>
  <c r="J15" i="17"/>
  <c r="I15" i="17"/>
  <c r="H15" i="17"/>
  <c r="M14" i="17"/>
  <c r="L14" i="17"/>
  <c r="K14" i="17"/>
  <c r="J14" i="17"/>
  <c r="I14" i="17"/>
  <c r="H14" i="17"/>
  <c r="M13" i="17"/>
  <c r="L13" i="17"/>
  <c r="K13" i="17"/>
  <c r="J13" i="17"/>
  <c r="I13" i="17"/>
  <c r="H13" i="17"/>
  <c r="M12" i="17"/>
  <c r="L12" i="17"/>
  <c r="K12" i="17"/>
  <c r="J12" i="17"/>
  <c r="I12" i="17"/>
  <c r="H12" i="17"/>
  <c r="M11" i="17"/>
  <c r="L11" i="17"/>
  <c r="K11" i="17"/>
  <c r="J11" i="17"/>
  <c r="I11" i="17"/>
  <c r="H11" i="17"/>
  <c r="M10" i="17"/>
  <c r="L10" i="17"/>
  <c r="K10" i="17"/>
  <c r="J10" i="17"/>
  <c r="I10" i="17"/>
  <c r="H10" i="17"/>
  <c r="M9" i="17"/>
  <c r="L9" i="17"/>
  <c r="K9" i="17"/>
  <c r="J9" i="17"/>
  <c r="I9" i="17"/>
  <c r="H9" i="17"/>
  <c r="M8" i="17"/>
  <c r="L8" i="17"/>
  <c r="K8" i="17"/>
  <c r="J8" i="17"/>
  <c r="I8" i="17"/>
  <c r="H8" i="17"/>
  <c r="M7" i="17"/>
  <c r="L7" i="17"/>
  <c r="K7" i="17"/>
  <c r="J7" i="17"/>
  <c r="I7" i="17"/>
  <c r="H7" i="17"/>
  <c r="M6" i="17"/>
  <c r="L6" i="17"/>
  <c r="K6" i="17"/>
  <c r="J6" i="17"/>
  <c r="I6" i="17"/>
  <c r="H6" i="17"/>
  <c r="M5" i="17"/>
  <c r="L5" i="17"/>
  <c r="K5" i="17"/>
  <c r="J5" i="17"/>
  <c r="I5" i="17"/>
  <c r="H5" i="17"/>
  <c r="M4" i="17"/>
  <c r="L4" i="17"/>
  <c r="K4" i="17"/>
  <c r="J4" i="17"/>
  <c r="I4" i="17"/>
  <c r="H4" i="17"/>
  <c r="H3" i="17"/>
  <c r="S2" i="17"/>
  <c r="Q2" i="17"/>
  <c r="P2" i="17"/>
  <c r="O2" i="17"/>
  <c r="R2" i="17"/>
  <c r="N2" i="17"/>
  <c r="M83" i="16"/>
  <c r="L83" i="16"/>
  <c r="K83" i="16"/>
  <c r="J83" i="16"/>
  <c r="I83" i="16"/>
  <c r="H83" i="16"/>
  <c r="M82" i="16"/>
  <c r="L82" i="16"/>
  <c r="K82" i="16"/>
  <c r="J82" i="16"/>
  <c r="I82" i="16"/>
  <c r="H82" i="16"/>
  <c r="M81" i="16"/>
  <c r="L81" i="16"/>
  <c r="K81" i="16"/>
  <c r="J81" i="16"/>
  <c r="I81" i="16"/>
  <c r="H81" i="16"/>
  <c r="M80" i="16"/>
  <c r="L80" i="16"/>
  <c r="K80" i="16"/>
  <c r="J80" i="16"/>
  <c r="I80" i="16"/>
  <c r="H80" i="16"/>
  <c r="M79" i="16"/>
  <c r="L79" i="16"/>
  <c r="K79" i="16"/>
  <c r="J79" i="16"/>
  <c r="I79" i="16"/>
  <c r="H79" i="16"/>
  <c r="M78" i="16"/>
  <c r="L78" i="16"/>
  <c r="K78" i="16"/>
  <c r="J78" i="16"/>
  <c r="I78" i="16"/>
  <c r="H78" i="16"/>
  <c r="M77" i="16"/>
  <c r="L77" i="16"/>
  <c r="K77" i="16"/>
  <c r="J77" i="16"/>
  <c r="I77" i="16"/>
  <c r="H77" i="16"/>
  <c r="M76" i="16"/>
  <c r="L76" i="16"/>
  <c r="K76" i="16"/>
  <c r="J76" i="16"/>
  <c r="I76" i="16"/>
  <c r="H76" i="16"/>
  <c r="M75" i="16"/>
  <c r="L75" i="16"/>
  <c r="K75" i="16"/>
  <c r="J75" i="16"/>
  <c r="I75" i="16"/>
  <c r="H75" i="16"/>
  <c r="M74" i="16"/>
  <c r="L74" i="16"/>
  <c r="K74" i="16"/>
  <c r="J74" i="16"/>
  <c r="I74" i="16"/>
  <c r="H74" i="16"/>
  <c r="M73" i="16"/>
  <c r="L73" i="16"/>
  <c r="K73" i="16"/>
  <c r="J73" i="16"/>
  <c r="I73" i="16"/>
  <c r="H73" i="16"/>
  <c r="M72" i="16"/>
  <c r="L72" i="16"/>
  <c r="K72" i="16"/>
  <c r="J72" i="16"/>
  <c r="I72" i="16"/>
  <c r="H72" i="16"/>
  <c r="M71" i="16"/>
  <c r="L71" i="16"/>
  <c r="K71" i="16"/>
  <c r="J71" i="16"/>
  <c r="I71" i="16"/>
  <c r="H71" i="16"/>
  <c r="M70" i="16"/>
  <c r="L70" i="16"/>
  <c r="K70" i="16"/>
  <c r="J70" i="16"/>
  <c r="I70" i="16"/>
  <c r="H70" i="16"/>
  <c r="M69" i="16"/>
  <c r="L69" i="16"/>
  <c r="K69" i="16"/>
  <c r="J69" i="16"/>
  <c r="I69" i="16"/>
  <c r="H69" i="16"/>
  <c r="M68" i="16"/>
  <c r="L68" i="16"/>
  <c r="K68" i="16"/>
  <c r="J68" i="16"/>
  <c r="I68" i="16"/>
  <c r="H68" i="16"/>
  <c r="M67" i="16"/>
  <c r="L67" i="16"/>
  <c r="K67" i="16"/>
  <c r="J67" i="16"/>
  <c r="I67" i="16"/>
  <c r="H67" i="16"/>
  <c r="M66" i="16"/>
  <c r="L66" i="16"/>
  <c r="K66" i="16"/>
  <c r="J66" i="16"/>
  <c r="I66" i="16"/>
  <c r="H66" i="16"/>
  <c r="M65" i="16"/>
  <c r="L65" i="16"/>
  <c r="K65" i="16"/>
  <c r="J65" i="16"/>
  <c r="I65" i="16"/>
  <c r="H65" i="16"/>
  <c r="M64" i="16"/>
  <c r="L64" i="16"/>
  <c r="K64" i="16"/>
  <c r="J64" i="16"/>
  <c r="I64" i="16"/>
  <c r="H64" i="16"/>
  <c r="M63" i="16"/>
  <c r="L63" i="16"/>
  <c r="K63" i="16"/>
  <c r="J63" i="16"/>
  <c r="I63" i="16"/>
  <c r="H63" i="16"/>
  <c r="M62" i="16"/>
  <c r="L62" i="16"/>
  <c r="K62" i="16"/>
  <c r="J62" i="16"/>
  <c r="I62" i="16"/>
  <c r="H62" i="16"/>
  <c r="M61" i="16"/>
  <c r="L61" i="16"/>
  <c r="K61" i="16"/>
  <c r="J61" i="16"/>
  <c r="I61" i="16"/>
  <c r="H61" i="16"/>
  <c r="M60" i="16"/>
  <c r="L60" i="16"/>
  <c r="K60" i="16"/>
  <c r="J60" i="16"/>
  <c r="I60" i="16"/>
  <c r="H60" i="16"/>
  <c r="M59" i="16"/>
  <c r="L59" i="16"/>
  <c r="K59" i="16"/>
  <c r="J59" i="16"/>
  <c r="I59" i="16"/>
  <c r="H59" i="16"/>
  <c r="M58" i="16"/>
  <c r="L58" i="16"/>
  <c r="K58" i="16"/>
  <c r="J58" i="16"/>
  <c r="I58" i="16"/>
  <c r="H58" i="16"/>
  <c r="M57" i="16"/>
  <c r="L57" i="16"/>
  <c r="K57" i="16"/>
  <c r="J57" i="16"/>
  <c r="I57" i="16"/>
  <c r="H57" i="16"/>
  <c r="M56" i="16"/>
  <c r="L56" i="16"/>
  <c r="K56" i="16"/>
  <c r="J56" i="16"/>
  <c r="I56" i="16"/>
  <c r="H56" i="16"/>
  <c r="M55" i="16"/>
  <c r="L55" i="16"/>
  <c r="K55" i="16"/>
  <c r="J55" i="16"/>
  <c r="I55" i="16"/>
  <c r="H55" i="16"/>
  <c r="M54" i="16"/>
  <c r="L54" i="16"/>
  <c r="K54" i="16"/>
  <c r="J54" i="16"/>
  <c r="I54" i="16"/>
  <c r="H54" i="16"/>
  <c r="M53" i="16"/>
  <c r="L53" i="16"/>
  <c r="K53" i="16"/>
  <c r="J53" i="16"/>
  <c r="I53" i="16"/>
  <c r="H53" i="16"/>
  <c r="M52" i="16"/>
  <c r="L52" i="16"/>
  <c r="K52" i="16"/>
  <c r="J52" i="16"/>
  <c r="I52" i="16"/>
  <c r="H52" i="16"/>
  <c r="M51" i="16"/>
  <c r="L51" i="16"/>
  <c r="K51" i="16"/>
  <c r="J51" i="16"/>
  <c r="I51" i="16"/>
  <c r="H51" i="16"/>
  <c r="M50" i="16"/>
  <c r="L50" i="16"/>
  <c r="K50" i="16"/>
  <c r="J50" i="16"/>
  <c r="I50" i="16"/>
  <c r="H50" i="16"/>
  <c r="M49" i="16"/>
  <c r="L49" i="16"/>
  <c r="K49" i="16"/>
  <c r="J49" i="16"/>
  <c r="I49" i="16"/>
  <c r="H49" i="16"/>
  <c r="M48" i="16"/>
  <c r="L48" i="16"/>
  <c r="K48" i="16"/>
  <c r="J48" i="16"/>
  <c r="I48" i="16"/>
  <c r="H48" i="16"/>
  <c r="M47" i="16"/>
  <c r="L47" i="16"/>
  <c r="K47" i="16"/>
  <c r="J47" i="16"/>
  <c r="I47" i="16"/>
  <c r="H47" i="16"/>
  <c r="M46" i="16"/>
  <c r="L46" i="16"/>
  <c r="K46" i="16"/>
  <c r="J46" i="16"/>
  <c r="I46" i="16"/>
  <c r="H46" i="16"/>
  <c r="M45" i="16"/>
  <c r="L45" i="16"/>
  <c r="K45" i="16"/>
  <c r="J45" i="16"/>
  <c r="I45" i="16"/>
  <c r="H45" i="16"/>
  <c r="M44" i="16"/>
  <c r="L44" i="16"/>
  <c r="K44" i="16"/>
  <c r="J44" i="16"/>
  <c r="I44" i="16"/>
  <c r="H44" i="16"/>
  <c r="M43" i="16"/>
  <c r="L43" i="16"/>
  <c r="K43" i="16"/>
  <c r="J43" i="16"/>
  <c r="I43" i="16"/>
  <c r="H43" i="16"/>
  <c r="M42" i="16"/>
  <c r="L42" i="16"/>
  <c r="K42" i="16"/>
  <c r="J42" i="16"/>
  <c r="I42" i="16"/>
  <c r="H42" i="16"/>
  <c r="M41" i="16"/>
  <c r="L41" i="16"/>
  <c r="K41" i="16"/>
  <c r="J41" i="16"/>
  <c r="I41" i="16"/>
  <c r="H41" i="16"/>
  <c r="M40" i="16"/>
  <c r="L40" i="16"/>
  <c r="K40" i="16"/>
  <c r="J40" i="16"/>
  <c r="I40" i="16"/>
  <c r="H40" i="16"/>
  <c r="M39" i="16"/>
  <c r="L39" i="16"/>
  <c r="K39" i="16"/>
  <c r="J39" i="16"/>
  <c r="I39" i="16"/>
  <c r="H39" i="16"/>
  <c r="M38" i="16"/>
  <c r="L38" i="16"/>
  <c r="K38" i="16"/>
  <c r="J38" i="16"/>
  <c r="I38" i="16"/>
  <c r="H38" i="16"/>
  <c r="M37" i="16"/>
  <c r="L37" i="16"/>
  <c r="K37" i="16"/>
  <c r="J37" i="16"/>
  <c r="I37" i="16"/>
  <c r="H37" i="16"/>
  <c r="M36" i="16"/>
  <c r="L36" i="16"/>
  <c r="K36" i="16"/>
  <c r="J36" i="16"/>
  <c r="I36" i="16"/>
  <c r="H36" i="16"/>
  <c r="M35" i="16"/>
  <c r="L35" i="16"/>
  <c r="K35" i="16"/>
  <c r="J35" i="16"/>
  <c r="I35" i="16"/>
  <c r="H35" i="16"/>
  <c r="M34" i="16"/>
  <c r="L34" i="16"/>
  <c r="K34" i="16"/>
  <c r="J34" i="16"/>
  <c r="I34" i="16"/>
  <c r="H34" i="16"/>
  <c r="M33" i="16"/>
  <c r="L33" i="16"/>
  <c r="K33" i="16"/>
  <c r="J33" i="16"/>
  <c r="I33" i="16"/>
  <c r="H33" i="16"/>
  <c r="M32" i="16"/>
  <c r="L32" i="16"/>
  <c r="K32" i="16"/>
  <c r="J32" i="16"/>
  <c r="I32" i="16"/>
  <c r="H32" i="16"/>
  <c r="M31" i="16"/>
  <c r="L31" i="16"/>
  <c r="K31" i="16"/>
  <c r="J31" i="16"/>
  <c r="I31" i="16"/>
  <c r="H31" i="16"/>
  <c r="M30" i="16"/>
  <c r="L30" i="16"/>
  <c r="K30" i="16"/>
  <c r="J30" i="16"/>
  <c r="I30" i="16"/>
  <c r="H30" i="16"/>
  <c r="M29" i="16"/>
  <c r="L29" i="16"/>
  <c r="K29" i="16"/>
  <c r="J29" i="16"/>
  <c r="I29" i="16"/>
  <c r="H29" i="16"/>
  <c r="M28" i="16"/>
  <c r="L28" i="16"/>
  <c r="K28" i="16"/>
  <c r="J28" i="16"/>
  <c r="I28" i="16"/>
  <c r="H28" i="16"/>
  <c r="M27" i="16"/>
  <c r="L27" i="16"/>
  <c r="K27" i="16"/>
  <c r="J27" i="16"/>
  <c r="I27" i="16"/>
  <c r="H27" i="16"/>
  <c r="M26" i="16"/>
  <c r="L26" i="16"/>
  <c r="K26" i="16"/>
  <c r="J26" i="16"/>
  <c r="I26" i="16"/>
  <c r="H26" i="16"/>
  <c r="M25" i="16"/>
  <c r="L25" i="16"/>
  <c r="K25" i="16"/>
  <c r="J25" i="16"/>
  <c r="I25" i="16"/>
  <c r="H25" i="16"/>
  <c r="M24" i="16"/>
  <c r="L24" i="16"/>
  <c r="K24" i="16"/>
  <c r="J24" i="16"/>
  <c r="I24" i="16"/>
  <c r="H24" i="16"/>
  <c r="M23" i="16"/>
  <c r="L23" i="16"/>
  <c r="K23" i="16"/>
  <c r="J23" i="16"/>
  <c r="I23" i="16"/>
  <c r="H23" i="16"/>
  <c r="M22" i="16"/>
  <c r="L22" i="16"/>
  <c r="K22" i="16"/>
  <c r="J22" i="16"/>
  <c r="I22" i="16"/>
  <c r="H22" i="16"/>
  <c r="M21" i="16"/>
  <c r="L21" i="16"/>
  <c r="K21" i="16"/>
  <c r="J21" i="16"/>
  <c r="I21" i="16"/>
  <c r="H21" i="16"/>
  <c r="M20" i="16"/>
  <c r="L20" i="16"/>
  <c r="K20" i="16"/>
  <c r="J20" i="16"/>
  <c r="I20" i="16"/>
  <c r="H20" i="16"/>
  <c r="M19" i="16"/>
  <c r="L19" i="16"/>
  <c r="K19" i="16"/>
  <c r="J19" i="16"/>
  <c r="I19" i="16"/>
  <c r="H19" i="16"/>
  <c r="M18" i="16"/>
  <c r="L18" i="16"/>
  <c r="K18" i="16"/>
  <c r="J18" i="16"/>
  <c r="I18" i="16"/>
  <c r="H18" i="16"/>
  <c r="M17" i="16"/>
  <c r="L17" i="16"/>
  <c r="K17" i="16"/>
  <c r="J17" i="16"/>
  <c r="I17" i="16"/>
  <c r="H17" i="16"/>
  <c r="M16" i="16"/>
  <c r="L16" i="16"/>
  <c r="K16" i="16"/>
  <c r="J16" i="16"/>
  <c r="I16" i="16"/>
  <c r="H16" i="16"/>
  <c r="M15" i="16"/>
  <c r="L15" i="16"/>
  <c r="K15" i="16"/>
  <c r="J15" i="16"/>
  <c r="I15" i="16"/>
  <c r="H15" i="16"/>
  <c r="M14" i="16"/>
  <c r="L14" i="16"/>
  <c r="K14" i="16"/>
  <c r="J14" i="16"/>
  <c r="I14" i="16"/>
  <c r="H14" i="16"/>
  <c r="M13" i="16"/>
  <c r="L13" i="16"/>
  <c r="K13" i="16"/>
  <c r="J13" i="16"/>
  <c r="I13" i="16"/>
  <c r="H13" i="16"/>
  <c r="M12" i="16"/>
  <c r="L12" i="16"/>
  <c r="K12" i="16"/>
  <c r="J12" i="16"/>
  <c r="I12" i="16"/>
  <c r="H12" i="16"/>
  <c r="M11" i="16"/>
  <c r="L11" i="16"/>
  <c r="K11" i="16"/>
  <c r="J11" i="16"/>
  <c r="I11" i="16"/>
  <c r="H11" i="16"/>
  <c r="M10" i="16"/>
  <c r="L10" i="16"/>
  <c r="K10" i="16"/>
  <c r="J10" i="16"/>
  <c r="I10" i="16"/>
  <c r="H10" i="16"/>
  <c r="M9" i="16"/>
  <c r="L9" i="16"/>
  <c r="K9" i="16"/>
  <c r="J9" i="16"/>
  <c r="I9" i="16"/>
  <c r="H9" i="16"/>
  <c r="M8" i="16"/>
  <c r="L8" i="16"/>
  <c r="K8" i="16"/>
  <c r="J8" i="16"/>
  <c r="I8" i="16"/>
  <c r="H8" i="16"/>
  <c r="M7" i="16"/>
  <c r="L7" i="16"/>
  <c r="K7" i="16"/>
  <c r="J7" i="16"/>
  <c r="I7" i="16"/>
  <c r="H7" i="16"/>
  <c r="M6" i="16"/>
  <c r="L6" i="16"/>
  <c r="K6" i="16"/>
  <c r="J6" i="16"/>
  <c r="I6" i="16"/>
  <c r="H6" i="16"/>
  <c r="M5" i="16"/>
  <c r="L5" i="16"/>
  <c r="K5" i="16"/>
  <c r="J5" i="16"/>
  <c r="I5" i="16"/>
  <c r="H5" i="16"/>
  <c r="M4" i="16"/>
  <c r="L4" i="16"/>
  <c r="K4" i="16"/>
  <c r="J4" i="16"/>
  <c r="I4" i="16"/>
  <c r="H4" i="16"/>
  <c r="M3" i="16"/>
  <c r="L3" i="16"/>
  <c r="K3" i="16"/>
  <c r="J3" i="16"/>
  <c r="I3" i="16"/>
  <c r="H3" i="16"/>
  <c r="S2" i="16"/>
  <c r="Q2" i="16"/>
  <c r="P2" i="16"/>
  <c r="O2" i="16"/>
  <c r="M2" i="16"/>
  <c r="R2" i="16" s="1"/>
  <c r="L2" i="16"/>
  <c r="K2" i="16"/>
  <c r="J2" i="16"/>
  <c r="I2" i="16"/>
  <c r="N2" i="16" s="1"/>
  <c r="M83" i="15"/>
  <c r="L83" i="15"/>
  <c r="K83" i="15"/>
  <c r="J83" i="15"/>
  <c r="I83" i="15"/>
  <c r="H83" i="15"/>
  <c r="M82" i="15"/>
  <c r="L82" i="15"/>
  <c r="K82" i="15"/>
  <c r="J82" i="15"/>
  <c r="I82" i="15"/>
  <c r="H82" i="15"/>
  <c r="M81" i="15"/>
  <c r="L81" i="15"/>
  <c r="K81" i="15"/>
  <c r="J81" i="15"/>
  <c r="I81" i="15"/>
  <c r="H81" i="15"/>
  <c r="M80" i="15"/>
  <c r="L80" i="15"/>
  <c r="K80" i="15"/>
  <c r="J80" i="15"/>
  <c r="I80" i="15"/>
  <c r="H80" i="15"/>
  <c r="M79" i="15"/>
  <c r="L79" i="15"/>
  <c r="K79" i="15"/>
  <c r="J79" i="15"/>
  <c r="I79" i="15"/>
  <c r="H79" i="15"/>
  <c r="M78" i="15"/>
  <c r="L78" i="15"/>
  <c r="K78" i="15"/>
  <c r="J78" i="15"/>
  <c r="I78" i="15"/>
  <c r="H78" i="15"/>
  <c r="M77" i="15"/>
  <c r="L77" i="15"/>
  <c r="K77" i="15"/>
  <c r="J77" i="15"/>
  <c r="I77" i="15"/>
  <c r="H77" i="15"/>
  <c r="M76" i="15"/>
  <c r="L76" i="15"/>
  <c r="K76" i="15"/>
  <c r="J76" i="15"/>
  <c r="I76" i="15"/>
  <c r="H76" i="15"/>
  <c r="M75" i="15"/>
  <c r="L75" i="15"/>
  <c r="K75" i="15"/>
  <c r="J75" i="15"/>
  <c r="I75" i="15"/>
  <c r="H75" i="15"/>
  <c r="M74" i="15"/>
  <c r="L74" i="15"/>
  <c r="K74" i="15"/>
  <c r="J74" i="15"/>
  <c r="I74" i="15"/>
  <c r="H74" i="15"/>
  <c r="M73" i="15"/>
  <c r="L73" i="15"/>
  <c r="K73" i="15"/>
  <c r="J73" i="15"/>
  <c r="I73" i="15"/>
  <c r="H73" i="15"/>
  <c r="M72" i="15"/>
  <c r="L72" i="15"/>
  <c r="K72" i="15"/>
  <c r="J72" i="15"/>
  <c r="I72" i="15"/>
  <c r="H72" i="15"/>
  <c r="M71" i="15"/>
  <c r="L71" i="15"/>
  <c r="K71" i="15"/>
  <c r="J71" i="15"/>
  <c r="I71" i="15"/>
  <c r="H71" i="15"/>
  <c r="M70" i="15"/>
  <c r="L70" i="15"/>
  <c r="K70" i="15"/>
  <c r="J70" i="15"/>
  <c r="I70" i="15"/>
  <c r="H70" i="15"/>
  <c r="M69" i="15"/>
  <c r="L69" i="15"/>
  <c r="K69" i="15"/>
  <c r="J69" i="15"/>
  <c r="I69" i="15"/>
  <c r="H69" i="15"/>
  <c r="M68" i="15"/>
  <c r="L68" i="15"/>
  <c r="K68" i="15"/>
  <c r="J68" i="15"/>
  <c r="I68" i="15"/>
  <c r="H68" i="15"/>
  <c r="M67" i="15"/>
  <c r="L67" i="15"/>
  <c r="K67" i="15"/>
  <c r="J67" i="15"/>
  <c r="I67" i="15"/>
  <c r="H67" i="15"/>
  <c r="M66" i="15"/>
  <c r="L66" i="15"/>
  <c r="K66" i="15"/>
  <c r="J66" i="15"/>
  <c r="I66" i="15"/>
  <c r="H66" i="15"/>
  <c r="M65" i="15"/>
  <c r="L65" i="15"/>
  <c r="K65" i="15"/>
  <c r="J65" i="15"/>
  <c r="I65" i="15"/>
  <c r="H65" i="15"/>
  <c r="M64" i="15"/>
  <c r="L64" i="15"/>
  <c r="K64" i="15"/>
  <c r="J64" i="15"/>
  <c r="I64" i="15"/>
  <c r="H64" i="15"/>
  <c r="M63" i="15"/>
  <c r="L63" i="15"/>
  <c r="K63" i="15"/>
  <c r="J63" i="15"/>
  <c r="I63" i="15"/>
  <c r="H63" i="15"/>
  <c r="M62" i="15"/>
  <c r="L62" i="15"/>
  <c r="K62" i="15"/>
  <c r="J62" i="15"/>
  <c r="I62" i="15"/>
  <c r="H62" i="15"/>
  <c r="M61" i="15"/>
  <c r="L61" i="15"/>
  <c r="K61" i="15"/>
  <c r="J61" i="15"/>
  <c r="I61" i="15"/>
  <c r="H61" i="15"/>
  <c r="M60" i="15"/>
  <c r="L60" i="15"/>
  <c r="K60" i="15"/>
  <c r="J60" i="15"/>
  <c r="I60" i="15"/>
  <c r="H60" i="15"/>
  <c r="M59" i="15"/>
  <c r="L59" i="15"/>
  <c r="K59" i="15"/>
  <c r="J59" i="15"/>
  <c r="I59" i="15"/>
  <c r="H59" i="15"/>
  <c r="M58" i="15"/>
  <c r="L58" i="15"/>
  <c r="K58" i="15"/>
  <c r="J58" i="15"/>
  <c r="I58" i="15"/>
  <c r="H58" i="15"/>
  <c r="M57" i="15"/>
  <c r="L57" i="15"/>
  <c r="K57" i="15"/>
  <c r="J57" i="15"/>
  <c r="I57" i="15"/>
  <c r="H57" i="15"/>
  <c r="M56" i="15"/>
  <c r="L56" i="15"/>
  <c r="K56" i="15"/>
  <c r="J56" i="15"/>
  <c r="I56" i="15"/>
  <c r="H56" i="15"/>
  <c r="M55" i="15"/>
  <c r="L55" i="15"/>
  <c r="K55" i="15"/>
  <c r="J55" i="15"/>
  <c r="I55" i="15"/>
  <c r="H55" i="15"/>
  <c r="M54" i="15"/>
  <c r="L54" i="15"/>
  <c r="K54" i="15"/>
  <c r="J54" i="15"/>
  <c r="I54" i="15"/>
  <c r="H54" i="15"/>
  <c r="M53" i="15"/>
  <c r="L53" i="15"/>
  <c r="K53" i="15"/>
  <c r="J53" i="15"/>
  <c r="I53" i="15"/>
  <c r="H53" i="15"/>
  <c r="M52" i="15"/>
  <c r="L52" i="15"/>
  <c r="K52" i="15"/>
  <c r="J52" i="15"/>
  <c r="I52" i="15"/>
  <c r="H52" i="15"/>
  <c r="M51" i="15"/>
  <c r="L51" i="15"/>
  <c r="K51" i="15"/>
  <c r="J51" i="15"/>
  <c r="I51" i="15"/>
  <c r="H51" i="15"/>
  <c r="M50" i="15"/>
  <c r="L50" i="15"/>
  <c r="K50" i="15"/>
  <c r="J50" i="15"/>
  <c r="I50" i="15"/>
  <c r="H50" i="15"/>
  <c r="M49" i="15"/>
  <c r="L49" i="15"/>
  <c r="K49" i="15"/>
  <c r="J49" i="15"/>
  <c r="I49" i="15"/>
  <c r="H49" i="15"/>
  <c r="M48" i="15"/>
  <c r="L48" i="15"/>
  <c r="K48" i="15"/>
  <c r="J48" i="15"/>
  <c r="I48" i="15"/>
  <c r="H48" i="15"/>
  <c r="M47" i="15"/>
  <c r="L47" i="15"/>
  <c r="K47" i="15"/>
  <c r="J47" i="15"/>
  <c r="I47" i="15"/>
  <c r="H47" i="15"/>
  <c r="M46" i="15"/>
  <c r="L46" i="15"/>
  <c r="K46" i="15"/>
  <c r="J46" i="15"/>
  <c r="I46" i="15"/>
  <c r="H46" i="15"/>
  <c r="M45" i="15"/>
  <c r="L45" i="15"/>
  <c r="K45" i="15"/>
  <c r="J45" i="15"/>
  <c r="I45" i="15"/>
  <c r="H45" i="15"/>
  <c r="M44" i="15"/>
  <c r="L44" i="15"/>
  <c r="K44" i="15"/>
  <c r="J44" i="15"/>
  <c r="I44" i="15"/>
  <c r="H44" i="15"/>
  <c r="M43" i="15"/>
  <c r="L43" i="15"/>
  <c r="K43" i="15"/>
  <c r="J43" i="15"/>
  <c r="I43" i="15"/>
  <c r="H43" i="15"/>
  <c r="M42" i="15"/>
  <c r="L42" i="15"/>
  <c r="K42" i="15"/>
  <c r="J42" i="15"/>
  <c r="I42" i="15"/>
  <c r="H42" i="15"/>
  <c r="M41" i="15"/>
  <c r="L41" i="15"/>
  <c r="K41" i="15"/>
  <c r="J41" i="15"/>
  <c r="I41" i="15"/>
  <c r="H41" i="15"/>
  <c r="M40" i="15"/>
  <c r="L40" i="15"/>
  <c r="K40" i="15"/>
  <c r="J40" i="15"/>
  <c r="I40" i="15"/>
  <c r="H40" i="15"/>
  <c r="M39" i="15"/>
  <c r="L39" i="15"/>
  <c r="K39" i="15"/>
  <c r="J39" i="15"/>
  <c r="I39" i="15"/>
  <c r="H39" i="15"/>
  <c r="M38" i="15"/>
  <c r="L38" i="15"/>
  <c r="K38" i="15"/>
  <c r="J38" i="15"/>
  <c r="I38" i="15"/>
  <c r="H38" i="15"/>
  <c r="M37" i="15"/>
  <c r="L37" i="15"/>
  <c r="K37" i="15"/>
  <c r="J37" i="15"/>
  <c r="I37" i="15"/>
  <c r="H37" i="15"/>
  <c r="M36" i="15"/>
  <c r="L36" i="15"/>
  <c r="K36" i="15"/>
  <c r="J36" i="15"/>
  <c r="I36" i="15"/>
  <c r="H36" i="15"/>
  <c r="M35" i="15"/>
  <c r="L35" i="15"/>
  <c r="K35" i="15"/>
  <c r="J35" i="15"/>
  <c r="I35" i="15"/>
  <c r="H35" i="15"/>
  <c r="M34" i="15"/>
  <c r="L34" i="15"/>
  <c r="K34" i="15"/>
  <c r="J34" i="15"/>
  <c r="I34" i="15"/>
  <c r="H34" i="15"/>
  <c r="M33" i="15"/>
  <c r="L33" i="15"/>
  <c r="K33" i="15"/>
  <c r="J33" i="15"/>
  <c r="I33" i="15"/>
  <c r="H33" i="15"/>
  <c r="M32" i="15"/>
  <c r="L32" i="15"/>
  <c r="K32" i="15"/>
  <c r="J32" i="15"/>
  <c r="I32" i="15"/>
  <c r="H32" i="15"/>
  <c r="M31" i="15"/>
  <c r="L31" i="15"/>
  <c r="K31" i="15"/>
  <c r="J31" i="15"/>
  <c r="I31" i="15"/>
  <c r="H31" i="15"/>
  <c r="M30" i="15"/>
  <c r="L30" i="15"/>
  <c r="K30" i="15"/>
  <c r="J30" i="15"/>
  <c r="I30" i="15"/>
  <c r="H30" i="15"/>
  <c r="M29" i="15"/>
  <c r="L29" i="15"/>
  <c r="K29" i="15"/>
  <c r="J29" i="15"/>
  <c r="I29" i="15"/>
  <c r="H29" i="15"/>
  <c r="M28" i="15"/>
  <c r="L28" i="15"/>
  <c r="K28" i="15"/>
  <c r="J28" i="15"/>
  <c r="I28" i="15"/>
  <c r="H28" i="15"/>
  <c r="M27" i="15"/>
  <c r="L27" i="15"/>
  <c r="K27" i="15"/>
  <c r="J27" i="15"/>
  <c r="I27" i="15"/>
  <c r="H27" i="15"/>
  <c r="M26" i="15"/>
  <c r="L26" i="15"/>
  <c r="K26" i="15"/>
  <c r="J26" i="15"/>
  <c r="I26" i="15"/>
  <c r="H26" i="15"/>
  <c r="M25" i="15"/>
  <c r="L25" i="15"/>
  <c r="K25" i="15"/>
  <c r="J25" i="15"/>
  <c r="I25" i="15"/>
  <c r="H25" i="15"/>
  <c r="M24" i="15"/>
  <c r="L24" i="15"/>
  <c r="K24" i="15"/>
  <c r="J24" i="15"/>
  <c r="I24" i="15"/>
  <c r="H24" i="15"/>
  <c r="M23" i="15"/>
  <c r="L23" i="15"/>
  <c r="K23" i="15"/>
  <c r="J23" i="15"/>
  <c r="I23" i="15"/>
  <c r="H23" i="15"/>
  <c r="M22" i="15"/>
  <c r="L22" i="15"/>
  <c r="K22" i="15"/>
  <c r="J22" i="15"/>
  <c r="I22" i="15"/>
  <c r="H22" i="15"/>
  <c r="M21" i="15"/>
  <c r="L21" i="15"/>
  <c r="K21" i="15"/>
  <c r="J21" i="15"/>
  <c r="I21" i="15"/>
  <c r="H21" i="15"/>
  <c r="M20" i="15"/>
  <c r="L20" i="15"/>
  <c r="K20" i="15"/>
  <c r="J20" i="15"/>
  <c r="I20" i="15"/>
  <c r="H20" i="15"/>
  <c r="M19" i="15"/>
  <c r="L19" i="15"/>
  <c r="K19" i="15"/>
  <c r="J19" i="15"/>
  <c r="I19" i="15"/>
  <c r="H19" i="15"/>
  <c r="M18" i="15"/>
  <c r="L18" i="15"/>
  <c r="K18" i="15"/>
  <c r="J18" i="15"/>
  <c r="I18" i="15"/>
  <c r="H18" i="15"/>
  <c r="M17" i="15"/>
  <c r="L17" i="15"/>
  <c r="K17" i="15"/>
  <c r="J17" i="15"/>
  <c r="I17" i="15"/>
  <c r="H17" i="15"/>
  <c r="M16" i="15"/>
  <c r="L16" i="15"/>
  <c r="K16" i="15"/>
  <c r="J16" i="15"/>
  <c r="I16" i="15"/>
  <c r="H16" i="15"/>
  <c r="M15" i="15"/>
  <c r="L15" i="15"/>
  <c r="K15" i="15"/>
  <c r="J15" i="15"/>
  <c r="I15" i="15"/>
  <c r="H15" i="15"/>
  <c r="M14" i="15"/>
  <c r="L14" i="15"/>
  <c r="K14" i="15"/>
  <c r="J14" i="15"/>
  <c r="I14" i="15"/>
  <c r="H14" i="15"/>
  <c r="M13" i="15"/>
  <c r="L13" i="15"/>
  <c r="K13" i="15"/>
  <c r="J13" i="15"/>
  <c r="I13" i="15"/>
  <c r="H13" i="15"/>
  <c r="M12" i="15"/>
  <c r="L12" i="15"/>
  <c r="K12" i="15"/>
  <c r="J12" i="15"/>
  <c r="I12" i="15"/>
  <c r="H12" i="15"/>
  <c r="M11" i="15"/>
  <c r="L11" i="15"/>
  <c r="K11" i="15"/>
  <c r="J11" i="15"/>
  <c r="I11" i="15"/>
  <c r="H11" i="15"/>
  <c r="M10" i="15"/>
  <c r="L10" i="15"/>
  <c r="K10" i="15"/>
  <c r="J10" i="15"/>
  <c r="I10" i="15"/>
  <c r="H10" i="15"/>
  <c r="M9" i="15"/>
  <c r="L9" i="15"/>
  <c r="K9" i="15"/>
  <c r="J9" i="15"/>
  <c r="I9" i="15"/>
  <c r="H9" i="15"/>
  <c r="M8" i="15"/>
  <c r="L8" i="15"/>
  <c r="K8" i="15"/>
  <c r="J8" i="15"/>
  <c r="I8" i="15"/>
  <c r="H8" i="15"/>
  <c r="M7" i="15"/>
  <c r="L7" i="15"/>
  <c r="K7" i="15"/>
  <c r="J7" i="15"/>
  <c r="I7" i="15"/>
  <c r="H7" i="15"/>
  <c r="M6" i="15"/>
  <c r="L6" i="15"/>
  <c r="K6" i="15"/>
  <c r="J6" i="15"/>
  <c r="I6" i="15"/>
  <c r="H6" i="15"/>
  <c r="M5" i="15"/>
  <c r="L5" i="15"/>
  <c r="K5" i="15"/>
  <c r="J5" i="15"/>
  <c r="I5" i="15"/>
  <c r="H5" i="15"/>
  <c r="M4" i="15"/>
  <c r="L4" i="15"/>
  <c r="K4" i="15"/>
  <c r="J4" i="15"/>
  <c r="I4" i="15"/>
  <c r="H4" i="15"/>
  <c r="M3" i="15"/>
  <c r="L3" i="15"/>
  <c r="K3" i="15"/>
  <c r="J3" i="15"/>
  <c r="I3" i="15"/>
  <c r="H3" i="15"/>
  <c r="R2" i="15"/>
  <c r="S2" i="15"/>
  <c r="Q2" i="15"/>
  <c r="P2" i="15"/>
  <c r="O2" i="15"/>
  <c r="N2" i="15"/>
  <c r="O83" i="14"/>
  <c r="N83" i="14"/>
  <c r="M83" i="14"/>
  <c r="L83" i="14"/>
  <c r="K83" i="14"/>
  <c r="O82" i="14"/>
  <c r="N82" i="14"/>
  <c r="M82" i="14"/>
  <c r="L82" i="14"/>
  <c r="K82" i="14"/>
  <c r="O81" i="14"/>
  <c r="N81" i="14"/>
  <c r="M81" i="14"/>
  <c r="L81" i="14"/>
  <c r="K81" i="14"/>
  <c r="O80" i="14"/>
  <c r="N80" i="14"/>
  <c r="M80" i="14"/>
  <c r="L80" i="14"/>
  <c r="K80" i="14"/>
  <c r="O79" i="14"/>
  <c r="N79" i="14"/>
  <c r="M79" i="14"/>
  <c r="L79" i="14"/>
  <c r="K79" i="14"/>
  <c r="O78" i="14"/>
  <c r="N78" i="14"/>
  <c r="M78" i="14"/>
  <c r="L78" i="14"/>
  <c r="K78" i="14"/>
  <c r="O77" i="14"/>
  <c r="N77" i="14"/>
  <c r="M77" i="14"/>
  <c r="L77" i="14"/>
  <c r="K77" i="14"/>
  <c r="O76" i="14"/>
  <c r="N76" i="14"/>
  <c r="M76" i="14"/>
  <c r="L76" i="14"/>
  <c r="K76" i="14"/>
  <c r="O75" i="14"/>
  <c r="N75" i="14"/>
  <c r="M75" i="14"/>
  <c r="L75" i="14"/>
  <c r="K75" i="14"/>
  <c r="O74" i="14"/>
  <c r="N74" i="14"/>
  <c r="M74" i="14"/>
  <c r="L74" i="14"/>
  <c r="K74" i="14"/>
  <c r="O73" i="14"/>
  <c r="N73" i="14"/>
  <c r="M73" i="14"/>
  <c r="L73" i="14"/>
  <c r="K73" i="14"/>
  <c r="O72" i="14"/>
  <c r="N72" i="14"/>
  <c r="M72" i="14"/>
  <c r="L72" i="14"/>
  <c r="K72" i="14"/>
  <c r="O71" i="14"/>
  <c r="N71" i="14"/>
  <c r="M71" i="14"/>
  <c r="L71" i="14"/>
  <c r="K71" i="14"/>
  <c r="O70" i="14"/>
  <c r="N70" i="14"/>
  <c r="M70" i="14"/>
  <c r="L70" i="14"/>
  <c r="K70" i="14"/>
  <c r="O69" i="14"/>
  <c r="N69" i="14"/>
  <c r="M69" i="14"/>
  <c r="L69" i="14"/>
  <c r="K69" i="14"/>
  <c r="O68" i="14"/>
  <c r="N68" i="14"/>
  <c r="M68" i="14"/>
  <c r="L68" i="14"/>
  <c r="K68" i="14"/>
  <c r="O67" i="14"/>
  <c r="N67" i="14"/>
  <c r="M67" i="14"/>
  <c r="L67" i="14"/>
  <c r="K67" i="14"/>
  <c r="O66" i="14"/>
  <c r="N66" i="14"/>
  <c r="M66" i="14"/>
  <c r="L66" i="14"/>
  <c r="K66" i="14"/>
  <c r="O65" i="14"/>
  <c r="N65" i="14"/>
  <c r="M65" i="14"/>
  <c r="L65" i="14"/>
  <c r="K65" i="14"/>
  <c r="O64" i="14"/>
  <c r="N64" i="14"/>
  <c r="M64" i="14"/>
  <c r="L64" i="14"/>
  <c r="K64" i="14"/>
  <c r="O63" i="14"/>
  <c r="N63" i="14"/>
  <c r="M63" i="14"/>
  <c r="L63" i="14"/>
  <c r="K63" i="14"/>
  <c r="O62" i="14"/>
  <c r="N62" i="14"/>
  <c r="M62" i="14"/>
  <c r="L62" i="14"/>
  <c r="K62" i="14"/>
  <c r="O61" i="14"/>
  <c r="N61" i="14"/>
  <c r="M61" i="14"/>
  <c r="L61" i="14"/>
  <c r="K61" i="14"/>
  <c r="O60" i="14"/>
  <c r="N60" i="14"/>
  <c r="M60" i="14"/>
  <c r="L60" i="14"/>
  <c r="K60" i="14"/>
  <c r="O59" i="14"/>
  <c r="N59" i="14"/>
  <c r="M59" i="14"/>
  <c r="L59" i="14"/>
  <c r="K59" i="14"/>
  <c r="O58" i="14"/>
  <c r="N58" i="14"/>
  <c r="M58" i="14"/>
  <c r="L58" i="14"/>
  <c r="K58" i="14"/>
  <c r="O57" i="14"/>
  <c r="N57" i="14"/>
  <c r="M57" i="14"/>
  <c r="L57" i="14"/>
  <c r="K57" i="14"/>
  <c r="O56" i="14"/>
  <c r="N56" i="14"/>
  <c r="M56" i="14"/>
  <c r="L56" i="14"/>
  <c r="K56" i="14"/>
  <c r="O55" i="14"/>
  <c r="N55" i="14"/>
  <c r="M55" i="14"/>
  <c r="L55" i="14"/>
  <c r="K55" i="14"/>
  <c r="O54" i="14"/>
  <c r="N54" i="14"/>
  <c r="M54" i="14"/>
  <c r="L54" i="14"/>
  <c r="K54" i="14"/>
  <c r="O53" i="14"/>
  <c r="N53" i="14"/>
  <c r="M53" i="14"/>
  <c r="L53" i="14"/>
  <c r="K53" i="14"/>
  <c r="O52" i="14"/>
  <c r="N52" i="14"/>
  <c r="M52" i="14"/>
  <c r="L52" i="14"/>
  <c r="K52" i="14"/>
  <c r="O51" i="14"/>
  <c r="N51" i="14"/>
  <c r="M51" i="14"/>
  <c r="L51" i="14"/>
  <c r="K51" i="14"/>
  <c r="O50" i="14"/>
  <c r="N50" i="14"/>
  <c r="M50" i="14"/>
  <c r="L50" i="14"/>
  <c r="K50" i="14"/>
  <c r="O49" i="14"/>
  <c r="N49" i="14"/>
  <c r="M49" i="14"/>
  <c r="L49" i="14"/>
  <c r="K49" i="14"/>
  <c r="O48" i="14"/>
  <c r="N48" i="14"/>
  <c r="M48" i="14"/>
  <c r="L48" i="14"/>
  <c r="K48" i="14"/>
  <c r="O47" i="14"/>
  <c r="N47" i="14"/>
  <c r="M47" i="14"/>
  <c r="L47" i="14"/>
  <c r="K47" i="14"/>
  <c r="O46" i="14"/>
  <c r="N46" i="14"/>
  <c r="M46" i="14"/>
  <c r="L46" i="14"/>
  <c r="K46" i="14"/>
  <c r="O45" i="14"/>
  <c r="N45" i="14"/>
  <c r="M45" i="14"/>
  <c r="L45" i="14"/>
  <c r="K45" i="14"/>
  <c r="O44" i="14"/>
  <c r="N44" i="14"/>
  <c r="M44" i="14"/>
  <c r="L44" i="14"/>
  <c r="K44" i="14"/>
  <c r="O43" i="14"/>
  <c r="N43" i="14"/>
  <c r="M43" i="14"/>
  <c r="L43" i="14"/>
  <c r="K43" i="14"/>
  <c r="O42" i="14"/>
  <c r="N42" i="14"/>
  <c r="M42" i="14"/>
  <c r="L42" i="14"/>
  <c r="K42" i="14"/>
  <c r="O41" i="14"/>
  <c r="N41" i="14"/>
  <c r="M41" i="14"/>
  <c r="L41" i="14"/>
  <c r="K41" i="14"/>
  <c r="O40" i="14"/>
  <c r="N40" i="14"/>
  <c r="M40" i="14"/>
  <c r="L40" i="14"/>
  <c r="K40" i="14"/>
  <c r="O39" i="14"/>
  <c r="N39" i="14"/>
  <c r="M39" i="14"/>
  <c r="L39" i="14"/>
  <c r="K39" i="14"/>
  <c r="O38" i="14"/>
  <c r="N38" i="14"/>
  <c r="M38" i="14"/>
  <c r="L38" i="14"/>
  <c r="K38" i="14"/>
  <c r="O37" i="14"/>
  <c r="N37" i="14"/>
  <c r="M37" i="14"/>
  <c r="L37" i="14"/>
  <c r="K37" i="14"/>
  <c r="O36" i="14"/>
  <c r="N36" i="14"/>
  <c r="M36" i="14"/>
  <c r="L36" i="14"/>
  <c r="K36" i="14"/>
  <c r="O35" i="14"/>
  <c r="N35" i="14"/>
  <c r="M35" i="14"/>
  <c r="L35" i="14"/>
  <c r="K35" i="14"/>
  <c r="O34" i="14"/>
  <c r="N34" i="14"/>
  <c r="M34" i="14"/>
  <c r="L34" i="14"/>
  <c r="K34" i="14"/>
  <c r="O33" i="14"/>
  <c r="N33" i="14"/>
  <c r="M33" i="14"/>
  <c r="L33" i="14"/>
  <c r="K33" i="14"/>
  <c r="O32" i="14"/>
  <c r="N32" i="14"/>
  <c r="M32" i="14"/>
  <c r="L32" i="14"/>
  <c r="K32" i="14"/>
  <c r="O31" i="14"/>
  <c r="N31" i="14"/>
  <c r="M31" i="14"/>
  <c r="L31" i="14"/>
  <c r="K31" i="14"/>
  <c r="O30" i="14"/>
  <c r="N30" i="14"/>
  <c r="M30" i="14"/>
  <c r="L30" i="14"/>
  <c r="K30" i="14"/>
  <c r="O29" i="14"/>
  <c r="N29" i="14"/>
  <c r="M29" i="14"/>
  <c r="L29" i="14"/>
  <c r="K29" i="14"/>
  <c r="O28" i="14"/>
  <c r="N28" i="14"/>
  <c r="M28" i="14"/>
  <c r="L28" i="14"/>
  <c r="K28" i="14"/>
  <c r="O27" i="14"/>
  <c r="N27" i="14"/>
  <c r="M27" i="14"/>
  <c r="L27" i="14"/>
  <c r="K27" i="14"/>
  <c r="O26" i="14"/>
  <c r="N26" i="14"/>
  <c r="M26" i="14"/>
  <c r="L26" i="14"/>
  <c r="K26" i="14"/>
  <c r="O25" i="14"/>
  <c r="N25" i="14"/>
  <c r="M25" i="14"/>
  <c r="L25" i="14"/>
  <c r="K25" i="14"/>
  <c r="O24" i="14"/>
  <c r="N24" i="14"/>
  <c r="M24" i="14"/>
  <c r="L24" i="14"/>
  <c r="K24" i="14"/>
  <c r="O23" i="14"/>
  <c r="N23" i="14"/>
  <c r="M23" i="14"/>
  <c r="L23" i="14"/>
  <c r="K23" i="14"/>
  <c r="O22" i="14"/>
  <c r="N22" i="14"/>
  <c r="M22" i="14"/>
  <c r="L22" i="14"/>
  <c r="K22" i="14"/>
  <c r="O21" i="14"/>
  <c r="N21" i="14"/>
  <c r="M21" i="14"/>
  <c r="L21" i="14"/>
  <c r="K21" i="14"/>
  <c r="O20" i="14"/>
  <c r="N20" i="14"/>
  <c r="M20" i="14"/>
  <c r="L20" i="14"/>
  <c r="K20" i="14"/>
  <c r="O19" i="14"/>
  <c r="N19" i="14"/>
  <c r="M19" i="14"/>
  <c r="L19" i="14"/>
  <c r="K19" i="14"/>
  <c r="O18" i="14"/>
  <c r="N18" i="14"/>
  <c r="M18" i="14"/>
  <c r="L18" i="14"/>
  <c r="K18" i="14"/>
  <c r="O17" i="14"/>
  <c r="N17" i="14"/>
  <c r="M17" i="14"/>
  <c r="L17" i="14"/>
  <c r="K17" i="14"/>
  <c r="O16" i="14"/>
  <c r="N16" i="14"/>
  <c r="M16" i="14"/>
  <c r="L16" i="14"/>
  <c r="K16" i="14"/>
  <c r="O15" i="14"/>
  <c r="N15" i="14"/>
  <c r="M15" i="14"/>
  <c r="L15" i="14"/>
  <c r="K15" i="14"/>
  <c r="O14" i="14"/>
  <c r="N14" i="14"/>
  <c r="M14" i="14"/>
  <c r="L14" i="14"/>
  <c r="K14" i="14"/>
  <c r="O13" i="14"/>
  <c r="N13" i="14"/>
  <c r="M13" i="14"/>
  <c r="L13" i="14"/>
  <c r="K13" i="14"/>
  <c r="O12" i="14"/>
  <c r="N12" i="14"/>
  <c r="M12" i="14"/>
  <c r="L12" i="14"/>
  <c r="K12" i="14"/>
  <c r="O11" i="14"/>
  <c r="N11" i="14"/>
  <c r="M11" i="14"/>
  <c r="L11" i="14"/>
  <c r="K11" i="14"/>
  <c r="O10" i="14"/>
  <c r="N10" i="14"/>
  <c r="M10" i="14"/>
  <c r="L10" i="14"/>
  <c r="K10" i="14"/>
  <c r="O9" i="14"/>
  <c r="N9" i="14"/>
  <c r="M9" i="14"/>
  <c r="L9" i="14"/>
  <c r="K9" i="14"/>
  <c r="O8" i="14"/>
  <c r="N8" i="14"/>
  <c r="M8" i="14"/>
  <c r="L8" i="14"/>
  <c r="K8" i="14"/>
  <c r="O7" i="14"/>
  <c r="N7" i="14"/>
  <c r="M7" i="14"/>
  <c r="L7" i="14"/>
  <c r="K7" i="14"/>
  <c r="O6" i="14"/>
  <c r="N6" i="14"/>
  <c r="M6" i="14"/>
  <c r="L6" i="14"/>
  <c r="K6" i="14"/>
  <c r="O5" i="14"/>
  <c r="N5" i="14"/>
  <c r="M5" i="14"/>
  <c r="L5" i="14"/>
  <c r="K5" i="14"/>
  <c r="O4" i="14"/>
  <c r="N4" i="14"/>
  <c r="M4" i="14"/>
  <c r="L4" i="14"/>
  <c r="K4" i="14"/>
  <c r="O3" i="14"/>
  <c r="N3" i="14"/>
  <c r="M3" i="14"/>
  <c r="L3" i="14"/>
  <c r="K3" i="14"/>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3" i="14"/>
  <c r="I4" i="14"/>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70" i="14"/>
  <c r="I71" i="14"/>
  <c r="I72" i="14"/>
  <c r="I73" i="14"/>
  <c r="I74" i="14"/>
  <c r="I75" i="14"/>
  <c r="I76" i="14"/>
  <c r="I77" i="14"/>
  <c r="I78" i="14"/>
  <c r="I79" i="14"/>
  <c r="I80" i="14"/>
  <c r="I81" i="14"/>
  <c r="I82" i="14"/>
  <c r="I83" i="14"/>
  <c r="I3" i="14"/>
  <c r="O2" i="14"/>
  <c r="U2" i="14" s="1"/>
  <c r="N2" i="14"/>
  <c r="T2" i="14" s="1"/>
  <c r="M2" i="14"/>
  <c r="S2" i="14" s="1"/>
  <c r="L2" i="14"/>
  <c r="R2" i="14" s="1"/>
  <c r="K2" i="14"/>
  <c r="Q2" i="14" s="1"/>
  <c r="J2" i="14"/>
  <c r="P2" i="14" s="1"/>
  <c r="AE63" i="11"/>
  <c r="AD63" i="11"/>
  <c r="AC63" i="11"/>
  <c r="AB63" i="11"/>
  <c r="Z63" i="11"/>
  <c r="Y63" i="11"/>
  <c r="T63" i="11"/>
  <c r="S63" i="11"/>
  <c r="R63" i="11"/>
  <c r="Q63" i="11"/>
  <c r="P63" i="11"/>
  <c r="O63" i="11"/>
  <c r="N63" i="11"/>
  <c r="AE62" i="11"/>
  <c r="AD62" i="11"/>
  <c r="AC62" i="11"/>
  <c r="AB62" i="11"/>
  <c r="AA62" i="11"/>
  <c r="Z62" i="11"/>
  <c r="Y62" i="11"/>
  <c r="T62" i="11"/>
  <c r="S62" i="11"/>
  <c r="R62" i="11"/>
  <c r="Q62" i="11"/>
  <c r="P62" i="11"/>
  <c r="O62" i="11"/>
  <c r="N62" i="11"/>
  <c r="AE61" i="11"/>
  <c r="AD61" i="11"/>
  <c r="AC61" i="11"/>
  <c r="AB61" i="11"/>
  <c r="AA61" i="11"/>
  <c r="Z61" i="11"/>
  <c r="Y61" i="11"/>
  <c r="T61" i="11"/>
  <c r="S61" i="11"/>
  <c r="R61" i="11"/>
  <c r="Q61" i="11"/>
  <c r="P61" i="11"/>
  <c r="O61" i="11"/>
  <c r="N61" i="11"/>
  <c r="AE60" i="11"/>
  <c r="AD60" i="11"/>
  <c r="AC60" i="11"/>
  <c r="AB60" i="11"/>
  <c r="AA60" i="11"/>
  <c r="Z60" i="11"/>
  <c r="Y60" i="11"/>
  <c r="T60" i="11"/>
  <c r="S60" i="11"/>
  <c r="R60" i="11"/>
  <c r="Q60" i="11"/>
  <c r="P60" i="11"/>
  <c r="O60" i="11"/>
  <c r="N60" i="11"/>
  <c r="AE59" i="11"/>
  <c r="AD59" i="11"/>
  <c r="AC59" i="11"/>
  <c r="AB59" i="11"/>
  <c r="Z59" i="11"/>
  <c r="Y59" i="11"/>
  <c r="T59" i="11"/>
  <c r="S59" i="11"/>
  <c r="R59" i="11"/>
  <c r="Q59" i="11"/>
  <c r="P59" i="11"/>
  <c r="O59" i="11"/>
  <c r="N59" i="11"/>
  <c r="AE58" i="11"/>
  <c r="AD58" i="11"/>
  <c r="AC58" i="11"/>
  <c r="AB58" i="11"/>
  <c r="AA58" i="11"/>
  <c r="Z58" i="11"/>
  <c r="Y58" i="11"/>
  <c r="T58" i="11"/>
  <c r="S58" i="11"/>
  <c r="R58" i="11"/>
  <c r="Q58" i="11"/>
  <c r="P58" i="11"/>
  <c r="O58" i="11"/>
  <c r="N58" i="11"/>
  <c r="AE57" i="11"/>
  <c r="AD57" i="11"/>
  <c r="AC57" i="11"/>
  <c r="AB57" i="11"/>
  <c r="AA57" i="11"/>
  <c r="Z57" i="11"/>
  <c r="Y57" i="11"/>
  <c r="T57" i="11"/>
  <c r="S57" i="11"/>
  <c r="R57" i="11"/>
  <c r="Q57" i="11"/>
  <c r="P57" i="11"/>
  <c r="O57" i="11"/>
  <c r="N57" i="11"/>
  <c r="AE56" i="11"/>
  <c r="AD56" i="11"/>
  <c r="AC56" i="11"/>
  <c r="AB56" i="11"/>
  <c r="AA56" i="11"/>
  <c r="Z56" i="11"/>
  <c r="Y56" i="11"/>
  <c r="T56" i="11"/>
  <c r="S56" i="11"/>
  <c r="R56" i="11"/>
  <c r="Q56" i="11"/>
  <c r="P56" i="11"/>
  <c r="O56" i="11"/>
  <c r="N56" i="11"/>
  <c r="AE55" i="11"/>
  <c r="AD55" i="11"/>
  <c r="AC55" i="11"/>
  <c r="AB55" i="11"/>
  <c r="AA55" i="11"/>
  <c r="Z55" i="11"/>
  <c r="Y55" i="11"/>
  <c r="T55" i="11"/>
  <c r="S55" i="11"/>
  <c r="R55" i="11"/>
  <c r="Q55" i="11"/>
  <c r="P55" i="11"/>
  <c r="O55" i="11"/>
  <c r="N55" i="11"/>
  <c r="AE54" i="11"/>
  <c r="AD54" i="11"/>
  <c r="AC54" i="11"/>
  <c r="AB54" i="11"/>
  <c r="AA54" i="11"/>
  <c r="Z54" i="11"/>
  <c r="Y54" i="11"/>
  <c r="T54" i="11"/>
  <c r="S54" i="11"/>
  <c r="R54" i="11"/>
  <c r="Q54" i="11"/>
  <c r="P54" i="11"/>
  <c r="O54" i="11"/>
  <c r="N54" i="11"/>
  <c r="AE53" i="11"/>
  <c r="AD53" i="11"/>
  <c r="AC53" i="11"/>
  <c r="AB53" i="11"/>
  <c r="AA53" i="11"/>
  <c r="Z53" i="11"/>
  <c r="Y53" i="11"/>
  <c r="T53" i="11"/>
  <c r="S53" i="11"/>
  <c r="R53" i="11"/>
  <c r="Q53" i="11"/>
  <c r="P53" i="11"/>
  <c r="O53" i="11"/>
  <c r="N53" i="11"/>
  <c r="AE52" i="11"/>
  <c r="AD52" i="11"/>
  <c r="AC52" i="11"/>
  <c r="AB52" i="11"/>
  <c r="AA52" i="11"/>
  <c r="Z52" i="11"/>
  <c r="Y52" i="11"/>
  <c r="T52" i="11"/>
  <c r="S52" i="11"/>
  <c r="R52" i="11"/>
  <c r="Q52" i="11"/>
  <c r="P52" i="11"/>
  <c r="O52" i="11"/>
  <c r="N52" i="11"/>
  <c r="AE51" i="11"/>
  <c r="AD51" i="11"/>
  <c r="AC51" i="11"/>
  <c r="AB51" i="11"/>
  <c r="AA51" i="11"/>
  <c r="Z51" i="11"/>
  <c r="Y51" i="11"/>
  <c r="T51" i="11"/>
  <c r="S51" i="11"/>
  <c r="R51" i="11"/>
  <c r="Q51" i="11"/>
  <c r="P51" i="11"/>
  <c r="O51" i="11"/>
  <c r="N51" i="11"/>
  <c r="AE50" i="11"/>
  <c r="AD50" i="11"/>
  <c r="AC50" i="11"/>
  <c r="AB50" i="11"/>
  <c r="AA50" i="11"/>
  <c r="Z50" i="11"/>
  <c r="Y50" i="11"/>
  <c r="T50" i="11"/>
  <c r="S50" i="11"/>
  <c r="R50" i="11"/>
  <c r="Q50" i="11"/>
  <c r="P50" i="11"/>
  <c r="O50" i="11"/>
  <c r="N50" i="11"/>
  <c r="AE49" i="11"/>
  <c r="AD49" i="11"/>
  <c r="AC49" i="11"/>
  <c r="AB49" i="11"/>
  <c r="AA49" i="11"/>
  <c r="Z49" i="11"/>
  <c r="Y49" i="11"/>
  <c r="T49" i="11"/>
  <c r="S49" i="11"/>
  <c r="R49" i="11"/>
  <c r="Q49" i="11"/>
  <c r="P49" i="11"/>
  <c r="O49" i="11"/>
  <c r="N49" i="11"/>
  <c r="AE48" i="11"/>
  <c r="AD48" i="11"/>
  <c r="AC48" i="11"/>
  <c r="AB48" i="11"/>
  <c r="AA48" i="11"/>
  <c r="Z48" i="11"/>
  <c r="Y48" i="11"/>
  <c r="T48" i="11"/>
  <c r="S48" i="11"/>
  <c r="R48" i="11"/>
  <c r="Q48" i="11"/>
  <c r="P48" i="11"/>
  <c r="O48" i="11"/>
  <c r="N48" i="11"/>
  <c r="AE47" i="11"/>
  <c r="AD47" i="11"/>
  <c r="AC47" i="11"/>
  <c r="AB47" i="11"/>
  <c r="AA47" i="11"/>
  <c r="Z47" i="11"/>
  <c r="Y47" i="11"/>
  <c r="T47" i="11"/>
  <c r="S47" i="11"/>
  <c r="R47" i="11"/>
  <c r="Q47" i="11"/>
  <c r="P47" i="11"/>
  <c r="O47" i="11"/>
  <c r="N47" i="11"/>
  <c r="AE46" i="11"/>
  <c r="AD46" i="11"/>
  <c r="AC46" i="11"/>
  <c r="AB46" i="11"/>
  <c r="AA46" i="11"/>
  <c r="Z46" i="11"/>
  <c r="Y46" i="11"/>
  <c r="T46" i="11"/>
  <c r="S46" i="11"/>
  <c r="R46" i="11"/>
  <c r="Q46" i="11"/>
  <c r="P46" i="11"/>
  <c r="O46" i="11"/>
  <c r="N46" i="11"/>
  <c r="AE45" i="11"/>
  <c r="AD45" i="11"/>
  <c r="AC45" i="11"/>
  <c r="AB45" i="11"/>
  <c r="AA45" i="11"/>
  <c r="Z45" i="11"/>
  <c r="Y45" i="11"/>
  <c r="T45" i="11"/>
  <c r="S45" i="11"/>
  <c r="R45" i="11"/>
  <c r="Q45" i="11"/>
  <c r="P45" i="11"/>
  <c r="O45" i="11"/>
  <c r="N45" i="11"/>
  <c r="AE44" i="11"/>
  <c r="AD44" i="11"/>
  <c r="AC44" i="11"/>
  <c r="AB44" i="11"/>
  <c r="AA44" i="11"/>
  <c r="Z44" i="11"/>
  <c r="Y44" i="11"/>
  <c r="T44" i="11"/>
  <c r="S44" i="11"/>
  <c r="R44" i="11"/>
  <c r="Q44" i="11"/>
  <c r="P44" i="11"/>
  <c r="O44" i="11"/>
  <c r="N44" i="11"/>
  <c r="AE43" i="11"/>
  <c r="AC43" i="11"/>
  <c r="AB43" i="11"/>
  <c r="Z43" i="11"/>
  <c r="T43" i="11"/>
  <c r="S43" i="11"/>
  <c r="R43" i="11"/>
  <c r="Q43" i="11"/>
  <c r="P43" i="11"/>
  <c r="O43" i="11"/>
  <c r="N43" i="11"/>
  <c r="AE42" i="11"/>
  <c r="AD42" i="11"/>
  <c r="AC42" i="11"/>
  <c r="AB42" i="11"/>
  <c r="AA42" i="11"/>
  <c r="T42" i="11"/>
  <c r="S42" i="11"/>
  <c r="R42" i="11"/>
  <c r="Q42" i="11"/>
  <c r="P42" i="11"/>
  <c r="O42" i="11"/>
  <c r="N42" i="11"/>
  <c r="AE41" i="11"/>
  <c r="AD41" i="11"/>
  <c r="AC41" i="11"/>
  <c r="AB41" i="11"/>
  <c r="AA41" i="11"/>
  <c r="Z41" i="11"/>
  <c r="Y41" i="11"/>
  <c r="T41" i="11"/>
  <c r="S41" i="11"/>
  <c r="R41" i="11"/>
  <c r="Q41" i="11"/>
  <c r="P41" i="11"/>
  <c r="O41" i="11"/>
  <c r="N41" i="11"/>
  <c r="AE40" i="11"/>
  <c r="AD40" i="11"/>
  <c r="AC40" i="11"/>
  <c r="AB40" i="11"/>
  <c r="AA40" i="11"/>
  <c r="Z40" i="11"/>
  <c r="Y40" i="11"/>
  <c r="T40" i="11"/>
  <c r="S40" i="11"/>
  <c r="R40" i="11"/>
  <c r="Q40" i="11"/>
  <c r="P40" i="11"/>
  <c r="O40" i="11"/>
  <c r="N40" i="11"/>
  <c r="AE39" i="11"/>
  <c r="AD39" i="11"/>
  <c r="AC39" i="11"/>
  <c r="AB39" i="11"/>
  <c r="AA39" i="11"/>
  <c r="Z39" i="11"/>
  <c r="Y39" i="11"/>
  <c r="T39" i="11"/>
  <c r="S39" i="11"/>
  <c r="R39" i="11"/>
  <c r="Q39" i="11"/>
  <c r="P39" i="11"/>
  <c r="O39" i="11"/>
  <c r="N39" i="11"/>
  <c r="AE38" i="11"/>
  <c r="AD38" i="11"/>
  <c r="AC38" i="11"/>
  <c r="AB38" i="11"/>
  <c r="AA38" i="11"/>
  <c r="Z38" i="11"/>
  <c r="Y38" i="11"/>
  <c r="T38" i="11"/>
  <c r="S38" i="11"/>
  <c r="R38" i="11"/>
  <c r="Q38" i="11"/>
  <c r="P38" i="11"/>
  <c r="O38" i="11"/>
  <c r="N38" i="11"/>
  <c r="AE37" i="11"/>
  <c r="AD37" i="11"/>
  <c r="AC37" i="11"/>
  <c r="AB37" i="11"/>
  <c r="AA37" i="11"/>
  <c r="Z37" i="11"/>
  <c r="Y37" i="11"/>
  <c r="T37" i="11"/>
  <c r="S37" i="11"/>
  <c r="R37" i="11"/>
  <c r="Q37" i="11"/>
  <c r="P37" i="11"/>
  <c r="O37" i="11"/>
  <c r="N37" i="11"/>
  <c r="AE36" i="11"/>
  <c r="AD36" i="11"/>
  <c r="AC36" i="11"/>
  <c r="AB36" i="11"/>
  <c r="AA36" i="11"/>
  <c r="Z36" i="11"/>
  <c r="Y36" i="11"/>
  <c r="T36" i="11"/>
  <c r="S36" i="11"/>
  <c r="R36" i="11"/>
  <c r="Q36" i="11"/>
  <c r="P36" i="11"/>
  <c r="O36" i="11"/>
  <c r="N36" i="11"/>
  <c r="AE35" i="11"/>
  <c r="AD35" i="11"/>
  <c r="AC35" i="11"/>
  <c r="AB35" i="11"/>
  <c r="AA35" i="11"/>
  <c r="Z35" i="11"/>
  <c r="Y35" i="11"/>
  <c r="T35" i="11"/>
  <c r="S35" i="11"/>
  <c r="R35" i="11"/>
  <c r="Q35" i="11"/>
  <c r="P35" i="11"/>
  <c r="O35" i="11"/>
  <c r="N35" i="11"/>
  <c r="AE31" i="11"/>
  <c r="AD31" i="11"/>
  <c r="AC31" i="11"/>
  <c r="AB31" i="11"/>
  <c r="Z31" i="11"/>
  <c r="Y31" i="11"/>
  <c r="AE30" i="11"/>
  <c r="AD30" i="11"/>
  <c r="AC30" i="11"/>
  <c r="AB30" i="11"/>
  <c r="AA30" i="11"/>
  <c r="Z30" i="11"/>
  <c r="Y30" i="11"/>
  <c r="AE29" i="11"/>
  <c r="AD29" i="11"/>
  <c r="AC29" i="11"/>
  <c r="AB29" i="11"/>
  <c r="AA29" i="11"/>
  <c r="Z29" i="11"/>
  <c r="Y29" i="11"/>
  <c r="AE28" i="11"/>
  <c r="AD28" i="11"/>
  <c r="AC28" i="11"/>
  <c r="AB28" i="11"/>
  <c r="AA28" i="11"/>
  <c r="Z28" i="11"/>
  <c r="Y28" i="11"/>
  <c r="AE27" i="11"/>
  <c r="AD27" i="11"/>
  <c r="AC27" i="11"/>
  <c r="AB27" i="11"/>
  <c r="Z27" i="11"/>
  <c r="Y27" i="11"/>
  <c r="AE26" i="11"/>
  <c r="AD26" i="11"/>
  <c r="AC26" i="11"/>
  <c r="AB26" i="11"/>
  <c r="AA26" i="11"/>
  <c r="Z26" i="11"/>
  <c r="Y26" i="11"/>
  <c r="AE25" i="11"/>
  <c r="AD25" i="11"/>
  <c r="AC25" i="11"/>
  <c r="AB25" i="11"/>
  <c r="AA25" i="11"/>
  <c r="Z25" i="11"/>
  <c r="Y25" i="11"/>
  <c r="AE24" i="11"/>
  <c r="AD24" i="11"/>
  <c r="AC24" i="11"/>
  <c r="AB24" i="11"/>
  <c r="AA24" i="11"/>
  <c r="Z24" i="11"/>
  <c r="Y24" i="11"/>
  <c r="AE23" i="11"/>
  <c r="AD23" i="11"/>
  <c r="AC23" i="11"/>
  <c r="AB23" i="11"/>
  <c r="AA23" i="11"/>
  <c r="Z23" i="11"/>
  <c r="Y23" i="11"/>
  <c r="AE22" i="11"/>
  <c r="AD22" i="11"/>
  <c r="AC22" i="11"/>
  <c r="AB22" i="11"/>
  <c r="AA22" i="11"/>
  <c r="Z22" i="11"/>
  <c r="Y22" i="11"/>
  <c r="AE21" i="11"/>
  <c r="AD21" i="11"/>
  <c r="AC21" i="11"/>
  <c r="AB21" i="11"/>
  <c r="AA21" i="11"/>
  <c r="Z21" i="11"/>
  <c r="Y21" i="11"/>
  <c r="AE20" i="11"/>
  <c r="AD20" i="11"/>
  <c r="AC20" i="11"/>
  <c r="AB20" i="11"/>
  <c r="AA20" i="11"/>
  <c r="Z20" i="11"/>
  <c r="Y20" i="11"/>
  <c r="AE19" i="11"/>
  <c r="AD19" i="11"/>
  <c r="AC19" i="11"/>
  <c r="AB19" i="11"/>
  <c r="AA19" i="11"/>
  <c r="Z19" i="11"/>
  <c r="Y19" i="11"/>
  <c r="AE18" i="11"/>
  <c r="AD18" i="11"/>
  <c r="AC18" i="11"/>
  <c r="AB18" i="11"/>
  <c r="AA18" i="11"/>
  <c r="Z18" i="11"/>
  <c r="Y18" i="11"/>
  <c r="AE17" i="11"/>
  <c r="AD17" i="11"/>
  <c r="AC17" i="11"/>
  <c r="AB17" i="11"/>
  <c r="AA17" i="11"/>
  <c r="Z17" i="11"/>
  <c r="Y17" i="11"/>
  <c r="AE16" i="11"/>
  <c r="AD16" i="11"/>
  <c r="AC16" i="11"/>
  <c r="AB16" i="11"/>
  <c r="AA16" i="11"/>
  <c r="Z16" i="11"/>
  <c r="Y16" i="11"/>
  <c r="AE15" i="11"/>
  <c r="AD15" i="11"/>
  <c r="AC15" i="11"/>
  <c r="AB15" i="11"/>
  <c r="AA15" i="11"/>
  <c r="Z15" i="11"/>
  <c r="Y15" i="11"/>
  <c r="AE14" i="11"/>
  <c r="AD14" i="11"/>
  <c r="AC14" i="11"/>
  <c r="AB14" i="11"/>
  <c r="AA14" i="11"/>
  <c r="Z14" i="11"/>
  <c r="Y14" i="11"/>
  <c r="AE13" i="11"/>
  <c r="AD13" i="11"/>
  <c r="AC13" i="11"/>
  <c r="AB13" i="11"/>
  <c r="AA13" i="11"/>
  <c r="Z13" i="11"/>
  <c r="Y13" i="11"/>
  <c r="AE12" i="11"/>
  <c r="AD12" i="11"/>
  <c r="AC12" i="11"/>
  <c r="AB12" i="11"/>
  <c r="AA12" i="11"/>
  <c r="Z12" i="11"/>
  <c r="Y12" i="11"/>
  <c r="AE11" i="11"/>
  <c r="AC11" i="11"/>
  <c r="AB11" i="11"/>
  <c r="Z11" i="11"/>
  <c r="AE10" i="11"/>
  <c r="AD10" i="11"/>
  <c r="AC10" i="11"/>
  <c r="AB10" i="11"/>
  <c r="AA10" i="11"/>
  <c r="AE9" i="11"/>
  <c r="AD9" i="11"/>
  <c r="AC9" i="11"/>
  <c r="AB9" i="11"/>
  <c r="AA9" i="11"/>
  <c r="Z9" i="11"/>
  <c r="Y9" i="11"/>
  <c r="AE8" i="11"/>
  <c r="AD8" i="11"/>
  <c r="AC8" i="11"/>
  <c r="AB8" i="11"/>
  <c r="AA8" i="11"/>
  <c r="Z8" i="11"/>
  <c r="Y8" i="11"/>
  <c r="AE7" i="11"/>
  <c r="AD7" i="11"/>
  <c r="AC7" i="11"/>
  <c r="AB7" i="11"/>
  <c r="AA7" i="11"/>
  <c r="Z7" i="11"/>
  <c r="Y7" i="11"/>
  <c r="AE6" i="11"/>
  <c r="AD6" i="11"/>
  <c r="AC6" i="11"/>
  <c r="AB6" i="11"/>
  <c r="AA6" i="11"/>
  <c r="Z6" i="11"/>
  <c r="Y6" i="11"/>
  <c r="AE5" i="11"/>
  <c r="AD5" i="11"/>
  <c r="AC5" i="11"/>
  <c r="AB5" i="11"/>
  <c r="AA5" i="11"/>
  <c r="Z5" i="11"/>
  <c r="Y5" i="11"/>
  <c r="AE4" i="11"/>
  <c r="AD4" i="11"/>
  <c r="AC4" i="11"/>
  <c r="AB4" i="11"/>
  <c r="AA4" i="11"/>
  <c r="Z4" i="11"/>
  <c r="Y4" i="11"/>
  <c r="AE3" i="11"/>
  <c r="AD3" i="11"/>
  <c r="AC3" i="11"/>
  <c r="AB3" i="11"/>
  <c r="AA3" i="11"/>
  <c r="Z3" i="11"/>
  <c r="Y3" i="11"/>
  <c r="W31" i="13"/>
  <c r="V31" i="13"/>
  <c r="U31" i="13"/>
  <c r="T31" i="13"/>
  <c r="S31" i="13"/>
  <c r="R31" i="13"/>
  <c r="Q31" i="13"/>
  <c r="P31" i="13"/>
  <c r="O31" i="13"/>
  <c r="N31" i="13"/>
  <c r="W30" i="13"/>
  <c r="V30" i="13"/>
  <c r="U30" i="13"/>
  <c r="T30" i="13"/>
  <c r="S30" i="13"/>
  <c r="R30" i="13"/>
  <c r="Q30" i="13"/>
  <c r="P30" i="13"/>
  <c r="O30" i="13"/>
  <c r="N30" i="13"/>
  <c r="W29" i="13"/>
  <c r="V29" i="13"/>
  <c r="U29" i="13"/>
  <c r="T29" i="13"/>
  <c r="S29" i="13"/>
  <c r="R29" i="13"/>
  <c r="Q29" i="13"/>
  <c r="P29" i="13"/>
  <c r="O29" i="13"/>
  <c r="N29" i="13"/>
  <c r="W28" i="13"/>
  <c r="V28" i="13"/>
  <c r="U28" i="13"/>
  <c r="T28" i="13"/>
  <c r="S28" i="13"/>
  <c r="R28" i="13"/>
  <c r="Q28" i="13"/>
  <c r="P28" i="13"/>
  <c r="O28" i="13"/>
  <c r="N28" i="13"/>
  <c r="W27" i="13"/>
  <c r="V27" i="13"/>
  <c r="U27" i="13"/>
  <c r="T27" i="13"/>
  <c r="S27" i="13"/>
  <c r="R27" i="13"/>
  <c r="Q27" i="13"/>
  <c r="P27" i="13"/>
  <c r="O27" i="13"/>
  <c r="N27" i="13"/>
  <c r="W26" i="13"/>
  <c r="V26" i="13"/>
  <c r="U26" i="13"/>
  <c r="T26" i="13"/>
  <c r="S26" i="13"/>
  <c r="R26" i="13"/>
  <c r="Q26" i="13"/>
  <c r="P26" i="13"/>
  <c r="O26" i="13"/>
  <c r="N26" i="13"/>
  <c r="W25" i="13"/>
  <c r="V25" i="13"/>
  <c r="U25" i="13"/>
  <c r="T25" i="13"/>
  <c r="S25" i="13"/>
  <c r="R25" i="13"/>
  <c r="Q25" i="13"/>
  <c r="P25" i="13"/>
  <c r="O25" i="13"/>
  <c r="N25" i="13"/>
  <c r="W24" i="13"/>
  <c r="V24" i="13"/>
  <c r="U24" i="13"/>
  <c r="T24" i="13"/>
  <c r="S24" i="13"/>
  <c r="R24" i="13"/>
  <c r="Q24" i="13"/>
  <c r="P24" i="13"/>
  <c r="O24" i="13"/>
  <c r="N24" i="13"/>
  <c r="W23" i="13"/>
  <c r="V23" i="13"/>
  <c r="U23" i="13"/>
  <c r="T23" i="13"/>
  <c r="S23" i="13"/>
  <c r="R23" i="13"/>
  <c r="Q23" i="13"/>
  <c r="P23" i="13"/>
  <c r="O23" i="13"/>
  <c r="N23" i="13"/>
  <c r="W22" i="13"/>
  <c r="V22" i="13"/>
  <c r="U22" i="13"/>
  <c r="T22" i="13"/>
  <c r="S22" i="13"/>
  <c r="R22" i="13"/>
  <c r="Q22" i="13"/>
  <c r="P22" i="13"/>
  <c r="O22" i="13"/>
  <c r="N22" i="13"/>
  <c r="W21" i="13"/>
  <c r="V21" i="13"/>
  <c r="U21" i="13"/>
  <c r="T21" i="13"/>
  <c r="S21" i="13"/>
  <c r="R21" i="13"/>
  <c r="Q21" i="13"/>
  <c r="P21" i="13"/>
  <c r="O21" i="13"/>
  <c r="N21" i="13"/>
  <c r="W20" i="13"/>
  <c r="V20" i="13"/>
  <c r="U20" i="13"/>
  <c r="T20" i="13"/>
  <c r="S20" i="13"/>
  <c r="R20" i="13"/>
  <c r="Q20" i="13"/>
  <c r="P20" i="13"/>
  <c r="O20" i="13"/>
  <c r="N20" i="13"/>
  <c r="W19" i="13"/>
  <c r="V19" i="13"/>
  <c r="U19" i="13"/>
  <c r="T19" i="13"/>
  <c r="S19" i="13"/>
  <c r="R19" i="13"/>
  <c r="Q19" i="13"/>
  <c r="P19" i="13"/>
  <c r="O19" i="13"/>
  <c r="N19" i="13"/>
  <c r="W18" i="13"/>
  <c r="V18" i="13"/>
  <c r="U18" i="13"/>
  <c r="T18" i="13"/>
  <c r="S18" i="13"/>
  <c r="R18" i="13"/>
  <c r="Q18" i="13"/>
  <c r="P18" i="13"/>
  <c r="O18" i="13"/>
  <c r="N18" i="13"/>
  <c r="W17" i="13"/>
  <c r="V17" i="13"/>
  <c r="U17" i="13"/>
  <c r="T17" i="13"/>
  <c r="S17" i="13"/>
  <c r="R17" i="13"/>
  <c r="Q17" i="13"/>
  <c r="P17" i="13"/>
  <c r="O17" i="13"/>
  <c r="N17" i="13"/>
  <c r="W16" i="13"/>
  <c r="V16" i="13"/>
  <c r="U16" i="13"/>
  <c r="T16" i="13"/>
  <c r="S16" i="13"/>
  <c r="R16" i="13"/>
  <c r="Q16" i="13"/>
  <c r="P16" i="13"/>
  <c r="O16" i="13"/>
  <c r="N16" i="13"/>
  <c r="W15" i="13"/>
  <c r="V15" i="13"/>
  <c r="U15" i="13"/>
  <c r="T15" i="13"/>
  <c r="S15" i="13"/>
  <c r="R15" i="13"/>
  <c r="Q15" i="13"/>
  <c r="P15" i="13"/>
  <c r="O15" i="13"/>
  <c r="N15" i="13"/>
  <c r="W14" i="13"/>
  <c r="V14" i="13"/>
  <c r="U14" i="13"/>
  <c r="T14" i="13"/>
  <c r="S14" i="13"/>
  <c r="R14" i="13"/>
  <c r="Q14" i="13"/>
  <c r="P14" i="13"/>
  <c r="O14" i="13"/>
  <c r="N14" i="13"/>
  <c r="W13" i="13"/>
  <c r="V13" i="13"/>
  <c r="U13" i="13"/>
  <c r="T13" i="13"/>
  <c r="S13" i="13"/>
  <c r="R13" i="13"/>
  <c r="Q13" i="13"/>
  <c r="P13" i="13"/>
  <c r="O13" i="13"/>
  <c r="N13" i="13"/>
  <c r="W12" i="13"/>
  <c r="V12" i="13"/>
  <c r="U12" i="13"/>
  <c r="T12" i="13"/>
  <c r="S12" i="13"/>
  <c r="R12" i="13"/>
  <c r="Q12" i="13"/>
  <c r="P12" i="13"/>
  <c r="O12" i="13"/>
  <c r="N12" i="13"/>
  <c r="W11" i="13"/>
  <c r="V11" i="13"/>
  <c r="U11" i="13"/>
  <c r="T11" i="13"/>
  <c r="S11" i="13"/>
  <c r="R11" i="13"/>
  <c r="Q11" i="13"/>
  <c r="P11" i="13"/>
  <c r="O11" i="13"/>
  <c r="N11" i="13"/>
  <c r="W10" i="13"/>
  <c r="V10" i="13"/>
  <c r="U10" i="13"/>
  <c r="T10" i="13"/>
  <c r="S10" i="13"/>
  <c r="R10" i="13"/>
  <c r="Q10" i="13"/>
  <c r="P10" i="13"/>
  <c r="O10" i="13"/>
  <c r="N10" i="13"/>
  <c r="W9" i="13"/>
  <c r="V9" i="13"/>
  <c r="U9" i="13"/>
  <c r="T9" i="13"/>
  <c r="S9" i="13"/>
  <c r="R9" i="13"/>
  <c r="Q9" i="13"/>
  <c r="P9" i="13"/>
  <c r="O9" i="13"/>
  <c r="N9" i="13"/>
  <c r="W8" i="13"/>
  <c r="V8" i="13"/>
  <c r="U8" i="13"/>
  <c r="T8" i="13"/>
  <c r="S8" i="13"/>
  <c r="R8" i="13"/>
  <c r="Q8" i="13"/>
  <c r="P8" i="13"/>
  <c r="O8" i="13"/>
  <c r="N8" i="13"/>
  <c r="W7" i="13"/>
  <c r="V7" i="13"/>
  <c r="U7" i="13"/>
  <c r="T7" i="13"/>
  <c r="S7" i="13"/>
  <c r="R7" i="13"/>
  <c r="Q7" i="13"/>
  <c r="P7" i="13"/>
  <c r="O7" i="13"/>
  <c r="N7" i="13"/>
  <c r="W6" i="13"/>
  <c r="V6" i="13"/>
  <c r="U6" i="13"/>
  <c r="T6" i="13"/>
  <c r="S6" i="13"/>
  <c r="R6" i="13"/>
  <c r="Q6" i="13"/>
  <c r="P6" i="13"/>
  <c r="O6" i="13"/>
  <c r="N6" i="13"/>
  <c r="W5" i="13"/>
  <c r="V5" i="13"/>
  <c r="U5" i="13"/>
  <c r="T5" i="13"/>
  <c r="S5" i="13"/>
  <c r="R5" i="13"/>
  <c r="Q5" i="13"/>
  <c r="P5" i="13"/>
  <c r="O5" i="13"/>
  <c r="N5" i="13"/>
  <c r="W4" i="13"/>
  <c r="V4" i="13"/>
  <c r="U4" i="13"/>
  <c r="T4" i="13"/>
  <c r="S4" i="13"/>
  <c r="R4" i="13"/>
  <c r="Q4" i="13"/>
  <c r="P4" i="13"/>
  <c r="O4" i="13"/>
  <c r="N4" i="13"/>
  <c r="W3" i="13"/>
  <c r="V3" i="13"/>
  <c r="U3" i="13"/>
  <c r="T3" i="13"/>
  <c r="S3" i="13"/>
  <c r="R3" i="13"/>
  <c r="Q3" i="13"/>
  <c r="P3" i="13"/>
  <c r="O3" i="13"/>
  <c r="N3" i="13"/>
  <c r="W31" i="12"/>
  <c r="V31" i="12"/>
  <c r="U31" i="12"/>
  <c r="T31" i="12"/>
  <c r="S31" i="12"/>
  <c r="R31" i="12"/>
  <c r="Q31" i="12"/>
  <c r="P31" i="12"/>
  <c r="O31" i="12"/>
  <c r="N31" i="12"/>
  <c r="W30" i="12"/>
  <c r="V30" i="12"/>
  <c r="U30" i="12"/>
  <c r="T30" i="12"/>
  <c r="S30" i="12"/>
  <c r="R30" i="12"/>
  <c r="Q30" i="12"/>
  <c r="P30" i="12"/>
  <c r="O30" i="12"/>
  <c r="N30" i="12"/>
  <c r="W29" i="12"/>
  <c r="V29" i="12"/>
  <c r="U29" i="12"/>
  <c r="T29" i="12"/>
  <c r="S29" i="12"/>
  <c r="R29" i="12"/>
  <c r="Q29" i="12"/>
  <c r="P29" i="12"/>
  <c r="O29" i="12"/>
  <c r="N29" i="12"/>
  <c r="W28" i="12"/>
  <c r="V28" i="12"/>
  <c r="U28" i="12"/>
  <c r="T28" i="12"/>
  <c r="S28" i="12"/>
  <c r="R28" i="12"/>
  <c r="Q28" i="12"/>
  <c r="P28" i="12"/>
  <c r="O28" i="12"/>
  <c r="N28" i="12"/>
  <c r="W27" i="12"/>
  <c r="V27" i="12"/>
  <c r="U27" i="12"/>
  <c r="T27" i="12"/>
  <c r="S27" i="12"/>
  <c r="R27" i="12"/>
  <c r="Q27" i="12"/>
  <c r="P27" i="12"/>
  <c r="O27" i="12"/>
  <c r="N27" i="12"/>
  <c r="W26" i="12"/>
  <c r="V26" i="12"/>
  <c r="U26" i="12"/>
  <c r="T26" i="12"/>
  <c r="S26" i="12"/>
  <c r="R26" i="12"/>
  <c r="Q26" i="12"/>
  <c r="P26" i="12"/>
  <c r="O26" i="12"/>
  <c r="N26" i="12"/>
  <c r="W25" i="12"/>
  <c r="V25" i="12"/>
  <c r="U25" i="12"/>
  <c r="T25" i="12"/>
  <c r="S25" i="12"/>
  <c r="R25" i="12"/>
  <c r="Q25" i="12"/>
  <c r="P25" i="12"/>
  <c r="O25" i="12"/>
  <c r="N25" i="12"/>
  <c r="W24" i="12"/>
  <c r="V24" i="12"/>
  <c r="U24" i="12"/>
  <c r="T24" i="12"/>
  <c r="S24" i="12"/>
  <c r="R24" i="12"/>
  <c r="Q24" i="12"/>
  <c r="P24" i="12"/>
  <c r="O24" i="12"/>
  <c r="N24" i="12"/>
  <c r="W23" i="12"/>
  <c r="V23" i="12"/>
  <c r="U23" i="12"/>
  <c r="T23" i="12"/>
  <c r="S23" i="12"/>
  <c r="R23" i="12"/>
  <c r="Q23" i="12"/>
  <c r="P23" i="12"/>
  <c r="O23" i="12"/>
  <c r="N23" i="12"/>
  <c r="W22" i="12"/>
  <c r="V22" i="12"/>
  <c r="U22" i="12"/>
  <c r="T22" i="12"/>
  <c r="S22" i="12"/>
  <c r="R22" i="12"/>
  <c r="Q22" i="12"/>
  <c r="P22" i="12"/>
  <c r="O22" i="12"/>
  <c r="N22" i="12"/>
  <c r="W21" i="12"/>
  <c r="V21" i="12"/>
  <c r="U21" i="12"/>
  <c r="T21" i="12"/>
  <c r="S21" i="12"/>
  <c r="R21" i="12"/>
  <c r="Q21" i="12"/>
  <c r="P21" i="12"/>
  <c r="O21" i="12"/>
  <c r="N21" i="12"/>
  <c r="W20" i="12"/>
  <c r="V20" i="12"/>
  <c r="U20" i="12"/>
  <c r="T20" i="12"/>
  <c r="S20" i="12"/>
  <c r="R20" i="12"/>
  <c r="Q20" i="12"/>
  <c r="P20" i="12"/>
  <c r="O20" i="12"/>
  <c r="N20" i="12"/>
  <c r="W19" i="12"/>
  <c r="V19" i="12"/>
  <c r="U19" i="12"/>
  <c r="T19" i="12"/>
  <c r="S19" i="12"/>
  <c r="R19" i="12"/>
  <c r="Q19" i="12"/>
  <c r="P19" i="12"/>
  <c r="O19" i="12"/>
  <c r="N19" i="12"/>
  <c r="W18" i="12"/>
  <c r="V18" i="12"/>
  <c r="U18" i="12"/>
  <c r="T18" i="12"/>
  <c r="S18" i="12"/>
  <c r="R18" i="12"/>
  <c r="Q18" i="12"/>
  <c r="P18" i="12"/>
  <c r="O18" i="12"/>
  <c r="N18" i="12"/>
  <c r="W17" i="12"/>
  <c r="V17" i="12"/>
  <c r="U17" i="12"/>
  <c r="T17" i="12"/>
  <c r="S17" i="12"/>
  <c r="R17" i="12"/>
  <c r="Q17" i="12"/>
  <c r="P17" i="12"/>
  <c r="O17" i="12"/>
  <c r="N17" i="12"/>
  <c r="W16" i="12"/>
  <c r="V16" i="12"/>
  <c r="U16" i="12"/>
  <c r="T16" i="12"/>
  <c r="S16" i="12"/>
  <c r="R16" i="12"/>
  <c r="Q16" i="12"/>
  <c r="P16" i="12"/>
  <c r="O16" i="12"/>
  <c r="N16" i="12"/>
  <c r="W15" i="12"/>
  <c r="V15" i="12"/>
  <c r="U15" i="12"/>
  <c r="T15" i="12"/>
  <c r="S15" i="12"/>
  <c r="R15" i="12"/>
  <c r="Q15" i="12"/>
  <c r="P15" i="12"/>
  <c r="O15" i="12"/>
  <c r="N15" i="12"/>
  <c r="W14" i="12"/>
  <c r="V14" i="12"/>
  <c r="U14" i="12"/>
  <c r="T14" i="12"/>
  <c r="S14" i="12"/>
  <c r="R14" i="12"/>
  <c r="Q14" i="12"/>
  <c r="P14" i="12"/>
  <c r="O14" i="12"/>
  <c r="N14" i="12"/>
  <c r="W13" i="12"/>
  <c r="V13" i="12"/>
  <c r="U13" i="12"/>
  <c r="T13" i="12"/>
  <c r="S13" i="12"/>
  <c r="R13" i="12"/>
  <c r="Q13" i="12"/>
  <c r="P13" i="12"/>
  <c r="O13" i="12"/>
  <c r="N13" i="12"/>
  <c r="W12" i="12"/>
  <c r="V12" i="12"/>
  <c r="U12" i="12"/>
  <c r="T12" i="12"/>
  <c r="S12" i="12"/>
  <c r="R12" i="12"/>
  <c r="Q12" i="12"/>
  <c r="P12" i="12"/>
  <c r="O12" i="12"/>
  <c r="N12" i="12"/>
  <c r="W11" i="12"/>
  <c r="V11" i="12"/>
  <c r="U11" i="12"/>
  <c r="T11" i="12"/>
  <c r="S11" i="12"/>
  <c r="R11" i="12"/>
  <c r="Q11" i="12"/>
  <c r="P11" i="12"/>
  <c r="O11" i="12"/>
  <c r="N11" i="12"/>
  <c r="W10" i="12"/>
  <c r="V10" i="12"/>
  <c r="U10" i="12"/>
  <c r="T10" i="12"/>
  <c r="S10" i="12"/>
  <c r="R10" i="12"/>
  <c r="Q10" i="12"/>
  <c r="P10" i="12"/>
  <c r="O10" i="12"/>
  <c r="N10" i="12"/>
  <c r="W9" i="12"/>
  <c r="V9" i="12"/>
  <c r="U9" i="12"/>
  <c r="T9" i="12"/>
  <c r="S9" i="12"/>
  <c r="R9" i="12"/>
  <c r="Q9" i="12"/>
  <c r="P9" i="12"/>
  <c r="O9" i="12"/>
  <c r="N9" i="12"/>
  <c r="W8" i="12"/>
  <c r="V8" i="12"/>
  <c r="U8" i="12"/>
  <c r="T8" i="12"/>
  <c r="S8" i="12"/>
  <c r="R8" i="12"/>
  <c r="Q8" i="12"/>
  <c r="P8" i="12"/>
  <c r="O8" i="12"/>
  <c r="N8" i="12"/>
  <c r="W7" i="12"/>
  <c r="V7" i="12"/>
  <c r="U7" i="12"/>
  <c r="T7" i="12"/>
  <c r="S7" i="12"/>
  <c r="R7" i="12"/>
  <c r="Q7" i="12"/>
  <c r="P7" i="12"/>
  <c r="O7" i="12"/>
  <c r="N7" i="12"/>
  <c r="W6" i="12"/>
  <c r="V6" i="12"/>
  <c r="U6" i="12"/>
  <c r="T6" i="12"/>
  <c r="S6" i="12"/>
  <c r="R6" i="12"/>
  <c r="Q6" i="12"/>
  <c r="P6" i="12"/>
  <c r="O6" i="12"/>
  <c r="N6" i="12"/>
  <c r="W5" i="12"/>
  <c r="V5" i="12"/>
  <c r="U5" i="12"/>
  <c r="T5" i="12"/>
  <c r="S5" i="12"/>
  <c r="R5" i="12"/>
  <c r="Q5" i="12"/>
  <c r="P5" i="12"/>
  <c r="O5" i="12"/>
  <c r="N5" i="12"/>
  <c r="W4" i="12"/>
  <c r="V4" i="12"/>
  <c r="U4" i="12"/>
  <c r="T4" i="12"/>
  <c r="S4" i="12"/>
  <c r="R4" i="12"/>
  <c r="Q4" i="12"/>
  <c r="P4" i="12"/>
  <c r="O4" i="12"/>
  <c r="N4" i="12"/>
  <c r="W3" i="12"/>
  <c r="V3" i="12"/>
  <c r="U3" i="12"/>
  <c r="T3" i="12"/>
  <c r="S3" i="12"/>
  <c r="R3" i="12"/>
  <c r="Q3" i="12"/>
  <c r="P3" i="12"/>
  <c r="O3" i="12"/>
  <c r="N3" i="12"/>
  <c r="T31" i="11"/>
  <c r="S31" i="11"/>
  <c r="R31" i="11"/>
  <c r="Q31" i="11"/>
  <c r="P31" i="11"/>
  <c r="O31" i="11"/>
  <c r="N31" i="11"/>
  <c r="T30" i="11"/>
  <c r="S30" i="11"/>
  <c r="R30" i="11"/>
  <c r="Q30" i="11"/>
  <c r="P30" i="11"/>
  <c r="O30" i="11"/>
  <c r="N30" i="11"/>
  <c r="T29" i="11"/>
  <c r="S29" i="11"/>
  <c r="R29" i="11"/>
  <c r="Q29" i="11"/>
  <c r="P29" i="11"/>
  <c r="O29" i="11"/>
  <c r="N29" i="11"/>
  <c r="T28" i="11"/>
  <c r="S28" i="11"/>
  <c r="R28" i="11"/>
  <c r="Q28" i="11"/>
  <c r="P28" i="11"/>
  <c r="O28" i="11"/>
  <c r="N28" i="11"/>
  <c r="T27" i="11"/>
  <c r="S27" i="11"/>
  <c r="R27" i="11"/>
  <c r="Q27" i="11"/>
  <c r="P27" i="11"/>
  <c r="O27" i="11"/>
  <c r="N27" i="11"/>
  <c r="T26" i="11"/>
  <c r="S26" i="11"/>
  <c r="R26" i="11"/>
  <c r="Q26" i="11"/>
  <c r="P26" i="11"/>
  <c r="O26" i="11"/>
  <c r="N26" i="11"/>
  <c r="T25" i="11"/>
  <c r="S25" i="11"/>
  <c r="R25" i="11"/>
  <c r="Q25" i="11"/>
  <c r="P25" i="11"/>
  <c r="O25" i="11"/>
  <c r="N25" i="11"/>
  <c r="T24" i="11"/>
  <c r="S24" i="11"/>
  <c r="R24" i="11"/>
  <c r="Q24" i="11"/>
  <c r="P24" i="11"/>
  <c r="O24" i="11"/>
  <c r="N24" i="11"/>
  <c r="T23" i="11"/>
  <c r="S23" i="11"/>
  <c r="R23" i="11"/>
  <c r="Q23" i="11"/>
  <c r="P23" i="11"/>
  <c r="O23" i="11"/>
  <c r="N23" i="11"/>
  <c r="T22" i="11"/>
  <c r="S22" i="11"/>
  <c r="R22" i="11"/>
  <c r="Q22" i="11"/>
  <c r="P22" i="11"/>
  <c r="O22" i="11"/>
  <c r="N22" i="11"/>
  <c r="T21" i="11"/>
  <c r="S21" i="11"/>
  <c r="R21" i="11"/>
  <c r="Q21" i="11"/>
  <c r="P21" i="11"/>
  <c r="O21" i="11"/>
  <c r="N21" i="11"/>
  <c r="T20" i="11"/>
  <c r="S20" i="11"/>
  <c r="R20" i="11"/>
  <c r="Q20" i="11"/>
  <c r="P20" i="11"/>
  <c r="O20" i="11"/>
  <c r="N20" i="11"/>
  <c r="T19" i="11"/>
  <c r="S19" i="11"/>
  <c r="R19" i="11"/>
  <c r="Q19" i="11"/>
  <c r="P19" i="11"/>
  <c r="O19" i="11"/>
  <c r="N19" i="11"/>
  <c r="T18" i="11"/>
  <c r="S18" i="11"/>
  <c r="R18" i="11"/>
  <c r="Q18" i="11"/>
  <c r="P18" i="11"/>
  <c r="O18" i="11"/>
  <c r="N18" i="11"/>
  <c r="T17" i="11"/>
  <c r="S17" i="11"/>
  <c r="R17" i="11"/>
  <c r="Q17" i="11"/>
  <c r="P17" i="11"/>
  <c r="O17" i="11"/>
  <c r="N17" i="11"/>
  <c r="T16" i="11"/>
  <c r="S16" i="11"/>
  <c r="R16" i="11"/>
  <c r="Q16" i="11"/>
  <c r="P16" i="11"/>
  <c r="O16" i="11"/>
  <c r="N16" i="11"/>
  <c r="T15" i="11"/>
  <c r="S15" i="11"/>
  <c r="R15" i="11"/>
  <c r="Q15" i="11"/>
  <c r="P15" i="11"/>
  <c r="O15" i="11"/>
  <c r="N15" i="11"/>
  <c r="T14" i="11"/>
  <c r="S14" i="11"/>
  <c r="R14" i="11"/>
  <c r="Q14" i="11"/>
  <c r="P14" i="11"/>
  <c r="O14" i="11"/>
  <c r="N14" i="11"/>
  <c r="T13" i="11"/>
  <c r="S13" i="11"/>
  <c r="R13" i="11"/>
  <c r="Q13" i="11"/>
  <c r="P13" i="11"/>
  <c r="O13" i="11"/>
  <c r="N13" i="11"/>
  <c r="T12" i="11"/>
  <c r="S12" i="11"/>
  <c r="R12" i="11"/>
  <c r="Q12" i="11"/>
  <c r="P12" i="11"/>
  <c r="O12" i="11"/>
  <c r="N12" i="11"/>
  <c r="T11" i="11"/>
  <c r="S11" i="11"/>
  <c r="R11" i="11"/>
  <c r="Q11" i="11"/>
  <c r="P11" i="11"/>
  <c r="O11" i="11"/>
  <c r="N11" i="11"/>
  <c r="T10" i="11"/>
  <c r="S10" i="11"/>
  <c r="R10" i="11"/>
  <c r="Q10" i="11"/>
  <c r="P10" i="11"/>
  <c r="O10" i="11"/>
  <c r="N10" i="11"/>
  <c r="T9" i="11"/>
  <c r="S9" i="11"/>
  <c r="R9" i="11"/>
  <c r="Q9" i="11"/>
  <c r="P9" i="11"/>
  <c r="O9" i="11"/>
  <c r="N9" i="11"/>
  <c r="T8" i="11"/>
  <c r="S8" i="11"/>
  <c r="R8" i="11"/>
  <c r="Q8" i="11"/>
  <c r="P8" i="11"/>
  <c r="O8" i="11"/>
  <c r="N8" i="11"/>
  <c r="T7" i="11"/>
  <c r="S7" i="11"/>
  <c r="R7" i="11"/>
  <c r="Q7" i="11"/>
  <c r="P7" i="11"/>
  <c r="O7" i="11"/>
  <c r="N7" i="11"/>
  <c r="T6" i="11"/>
  <c r="S6" i="11"/>
  <c r="R6" i="11"/>
  <c r="Q6" i="11"/>
  <c r="P6" i="11"/>
  <c r="O6" i="11"/>
  <c r="N6" i="11"/>
  <c r="T5" i="11"/>
  <c r="S5" i="11"/>
  <c r="R5" i="11"/>
  <c r="Q5" i="11"/>
  <c r="P5" i="11"/>
  <c r="O5" i="11"/>
  <c r="N5" i="11"/>
  <c r="T4" i="11"/>
  <c r="S4" i="11"/>
  <c r="R4" i="11"/>
  <c r="Q4" i="11"/>
  <c r="P4" i="11"/>
  <c r="O4" i="11"/>
  <c r="N4" i="11"/>
  <c r="T3" i="11"/>
  <c r="S3" i="11"/>
  <c r="R3" i="11"/>
  <c r="Q3" i="11"/>
  <c r="P3" i="11"/>
  <c r="O3" i="11"/>
  <c r="N3" i="11"/>
  <c r="Y191" i="9"/>
  <c r="X191" i="9"/>
  <c r="W191" i="9"/>
  <c r="V191" i="9"/>
  <c r="U191" i="9"/>
  <c r="T191" i="9"/>
  <c r="S191" i="9"/>
  <c r="R191" i="9"/>
  <c r="Q191" i="9"/>
  <c r="P191" i="9"/>
  <c r="O191" i="9"/>
  <c r="N191" i="9"/>
  <c r="Y190" i="9"/>
  <c r="X190" i="9"/>
  <c r="W190" i="9"/>
  <c r="V190" i="9"/>
  <c r="U190" i="9"/>
  <c r="T190" i="9"/>
  <c r="S190" i="9"/>
  <c r="R190" i="9"/>
  <c r="Q190" i="9"/>
  <c r="P190" i="9"/>
  <c r="O190" i="9"/>
  <c r="N190" i="9"/>
  <c r="Y189" i="9"/>
  <c r="X189" i="9"/>
  <c r="W189" i="9"/>
  <c r="V189" i="9"/>
  <c r="U189" i="9"/>
  <c r="T189" i="9"/>
  <c r="S189" i="9"/>
  <c r="R189" i="9"/>
  <c r="Q189" i="9"/>
  <c r="P189" i="9"/>
  <c r="O189" i="9"/>
  <c r="N189" i="9"/>
  <c r="Y188" i="9"/>
  <c r="X188" i="9"/>
  <c r="W188" i="9"/>
  <c r="V188" i="9"/>
  <c r="U188" i="9"/>
  <c r="T188" i="9"/>
  <c r="S188" i="9"/>
  <c r="R188" i="9"/>
  <c r="Q188" i="9"/>
  <c r="P188" i="9"/>
  <c r="O188" i="9"/>
  <c r="N188" i="9"/>
  <c r="Y187" i="9"/>
  <c r="X187" i="9"/>
  <c r="W187" i="9"/>
  <c r="V187" i="9"/>
  <c r="U187" i="9"/>
  <c r="T187" i="9"/>
  <c r="S187" i="9"/>
  <c r="R187" i="9"/>
  <c r="Q187" i="9"/>
  <c r="P187" i="9"/>
  <c r="O187" i="9"/>
  <c r="N187" i="9"/>
  <c r="Y186" i="9"/>
  <c r="X186" i="9"/>
  <c r="W186" i="9"/>
  <c r="V186" i="9"/>
  <c r="U186" i="9"/>
  <c r="T186" i="9"/>
  <c r="S186" i="9"/>
  <c r="R186" i="9"/>
  <c r="Q186" i="9"/>
  <c r="P186" i="9"/>
  <c r="O186" i="9"/>
  <c r="N186" i="9"/>
  <c r="Y185" i="9"/>
  <c r="X185" i="9"/>
  <c r="W185" i="9"/>
  <c r="V185" i="9"/>
  <c r="U185" i="9"/>
  <c r="T185" i="9"/>
  <c r="S185" i="9"/>
  <c r="R185" i="9"/>
  <c r="Q185" i="9"/>
  <c r="P185" i="9"/>
  <c r="O185" i="9"/>
  <c r="N185" i="9"/>
  <c r="Y184" i="9"/>
  <c r="X184" i="9"/>
  <c r="W184" i="9"/>
  <c r="V184" i="9"/>
  <c r="U184" i="9"/>
  <c r="T184" i="9"/>
  <c r="S184" i="9"/>
  <c r="R184" i="9"/>
  <c r="Q184" i="9"/>
  <c r="P184" i="9"/>
  <c r="O184" i="9"/>
  <c r="N184" i="9"/>
  <c r="Y183" i="9"/>
  <c r="X183" i="9"/>
  <c r="W183" i="9"/>
  <c r="V183" i="9"/>
  <c r="U183" i="9"/>
  <c r="T183" i="9"/>
  <c r="S183" i="9"/>
  <c r="R183" i="9"/>
  <c r="Q183" i="9"/>
  <c r="P183" i="9"/>
  <c r="O183" i="9"/>
  <c r="N183" i="9"/>
  <c r="Y182" i="9"/>
  <c r="X182" i="9"/>
  <c r="W182" i="9"/>
  <c r="V182" i="9"/>
  <c r="U182" i="9"/>
  <c r="T182" i="9"/>
  <c r="S182" i="9"/>
  <c r="R182" i="9"/>
  <c r="Q182" i="9"/>
  <c r="P182" i="9"/>
  <c r="O182" i="9"/>
  <c r="N182" i="9"/>
  <c r="Y181" i="9"/>
  <c r="X181" i="9"/>
  <c r="W181" i="9"/>
  <c r="V181" i="9"/>
  <c r="U181" i="9"/>
  <c r="T181" i="9"/>
  <c r="S181" i="9"/>
  <c r="R181" i="9"/>
  <c r="Q181" i="9"/>
  <c r="P181" i="9"/>
  <c r="O181" i="9"/>
  <c r="N181" i="9"/>
  <c r="Y180" i="9"/>
  <c r="X180" i="9"/>
  <c r="W180" i="9"/>
  <c r="V180" i="9"/>
  <c r="U180" i="9"/>
  <c r="T180" i="9"/>
  <c r="S180" i="9"/>
  <c r="R180" i="9"/>
  <c r="Q180" i="9"/>
  <c r="P180" i="9"/>
  <c r="O180" i="9"/>
  <c r="N180" i="9"/>
  <c r="Y179" i="9"/>
  <c r="X179" i="9"/>
  <c r="W179" i="9"/>
  <c r="V179" i="9"/>
  <c r="U179" i="9"/>
  <c r="T179" i="9"/>
  <c r="S179" i="9"/>
  <c r="R179" i="9"/>
  <c r="Q179" i="9"/>
  <c r="P179" i="9"/>
  <c r="O179" i="9"/>
  <c r="N179" i="9"/>
  <c r="Y178" i="9"/>
  <c r="X178" i="9"/>
  <c r="W178" i="9"/>
  <c r="V178" i="9"/>
  <c r="U178" i="9"/>
  <c r="T178" i="9"/>
  <c r="S178" i="9"/>
  <c r="R178" i="9"/>
  <c r="Q178" i="9"/>
  <c r="P178" i="9"/>
  <c r="O178" i="9"/>
  <c r="N178" i="9"/>
  <c r="Y177" i="9"/>
  <c r="X177" i="9"/>
  <c r="W177" i="9"/>
  <c r="V177" i="9"/>
  <c r="U177" i="9"/>
  <c r="T177" i="9"/>
  <c r="S177" i="9"/>
  <c r="R177" i="9"/>
  <c r="Q177" i="9"/>
  <c r="P177" i="9"/>
  <c r="O177" i="9"/>
  <c r="N177" i="9"/>
  <c r="Y176" i="9"/>
  <c r="X176" i="9"/>
  <c r="W176" i="9"/>
  <c r="V176" i="9"/>
  <c r="U176" i="9"/>
  <c r="T176" i="9"/>
  <c r="S176" i="9"/>
  <c r="R176" i="9"/>
  <c r="Q176" i="9"/>
  <c r="P176" i="9"/>
  <c r="O176" i="9"/>
  <c r="N176" i="9"/>
  <c r="Y175" i="9"/>
  <c r="X175" i="9"/>
  <c r="W175" i="9"/>
  <c r="V175" i="9"/>
  <c r="U175" i="9"/>
  <c r="T175" i="9"/>
  <c r="S175" i="9"/>
  <c r="R175" i="9"/>
  <c r="Q175" i="9"/>
  <c r="P175" i="9"/>
  <c r="O175" i="9"/>
  <c r="N175" i="9"/>
  <c r="Y174" i="9"/>
  <c r="X174" i="9"/>
  <c r="W174" i="9"/>
  <c r="V174" i="9"/>
  <c r="U174" i="9"/>
  <c r="T174" i="9"/>
  <c r="S174" i="9"/>
  <c r="R174" i="9"/>
  <c r="Q174" i="9"/>
  <c r="P174" i="9"/>
  <c r="O174" i="9"/>
  <c r="N174" i="9"/>
  <c r="Y173" i="9"/>
  <c r="X173" i="9"/>
  <c r="W173" i="9"/>
  <c r="V173" i="9"/>
  <c r="U173" i="9"/>
  <c r="T173" i="9"/>
  <c r="S173" i="9"/>
  <c r="R173" i="9"/>
  <c r="Q173" i="9"/>
  <c r="P173" i="9"/>
  <c r="O173" i="9"/>
  <c r="N173" i="9"/>
  <c r="Y172" i="9"/>
  <c r="X172" i="9"/>
  <c r="W172" i="9"/>
  <c r="V172" i="9"/>
  <c r="U172" i="9"/>
  <c r="T172" i="9"/>
  <c r="S172" i="9"/>
  <c r="R172" i="9"/>
  <c r="Q172" i="9"/>
  <c r="P172" i="9"/>
  <c r="O172" i="9"/>
  <c r="N172" i="9"/>
  <c r="Y171" i="9"/>
  <c r="X171" i="9"/>
  <c r="W171" i="9"/>
  <c r="V171" i="9"/>
  <c r="U171" i="9"/>
  <c r="T171" i="9"/>
  <c r="S171" i="9"/>
  <c r="R171" i="9"/>
  <c r="Q171" i="9"/>
  <c r="P171" i="9"/>
  <c r="O171" i="9"/>
  <c r="N171" i="9"/>
  <c r="Y170" i="9"/>
  <c r="X170" i="9"/>
  <c r="W170" i="9"/>
  <c r="V170" i="9"/>
  <c r="U170" i="9"/>
  <c r="T170" i="9"/>
  <c r="S170" i="9"/>
  <c r="R170" i="9"/>
  <c r="Q170" i="9"/>
  <c r="P170" i="9"/>
  <c r="O170" i="9"/>
  <c r="N170" i="9"/>
  <c r="Y169" i="9"/>
  <c r="X169" i="9"/>
  <c r="W169" i="9"/>
  <c r="V169" i="9"/>
  <c r="U169" i="9"/>
  <c r="T169" i="9"/>
  <c r="S169" i="9"/>
  <c r="R169" i="9"/>
  <c r="Q169" i="9"/>
  <c r="P169" i="9"/>
  <c r="O169" i="9"/>
  <c r="N169" i="9"/>
  <c r="Y168" i="9"/>
  <c r="X168" i="9"/>
  <c r="W168" i="9"/>
  <c r="V168" i="9"/>
  <c r="U168" i="9"/>
  <c r="T168" i="9"/>
  <c r="S168" i="9"/>
  <c r="R168" i="9"/>
  <c r="Q168" i="9"/>
  <c r="P168" i="9"/>
  <c r="O168" i="9"/>
  <c r="N168" i="9"/>
  <c r="Y167" i="9"/>
  <c r="X167" i="9"/>
  <c r="W167" i="9"/>
  <c r="V167" i="9"/>
  <c r="U167" i="9"/>
  <c r="T167" i="9"/>
  <c r="S167" i="9"/>
  <c r="R167" i="9"/>
  <c r="Q167" i="9"/>
  <c r="P167" i="9"/>
  <c r="O167" i="9"/>
  <c r="N167" i="9"/>
  <c r="Y166" i="9"/>
  <c r="X166" i="9"/>
  <c r="W166" i="9"/>
  <c r="V166" i="9"/>
  <c r="U166" i="9"/>
  <c r="T166" i="9"/>
  <c r="S166" i="9"/>
  <c r="R166" i="9"/>
  <c r="Q166" i="9"/>
  <c r="P166" i="9"/>
  <c r="O166" i="9"/>
  <c r="N166" i="9"/>
  <c r="Y165" i="9"/>
  <c r="X165" i="9"/>
  <c r="W165" i="9"/>
  <c r="V165" i="9"/>
  <c r="U165" i="9"/>
  <c r="T165" i="9"/>
  <c r="S165" i="9"/>
  <c r="R165" i="9"/>
  <c r="Q165" i="9"/>
  <c r="P165" i="9"/>
  <c r="O165" i="9"/>
  <c r="N165" i="9"/>
  <c r="Y164" i="9"/>
  <c r="X164" i="9"/>
  <c r="W164" i="9"/>
  <c r="V164" i="9"/>
  <c r="U164" i="9"/>
  <c r="T164" i="9"/>
  <c r="S164" i="9"/>
  <c r="R164" i="9"/>
  <c r="Q164" i="9"/>
  <c r="P164" i="9"/>
  <c r="O164" i="9"/>
  <c r="N164" i="9"/>
  <c r="Y163" i="9"/>
  <c r="X163" i="9"/>
  <c r="W163" i="9"/>
  <c r="V163" i="9"/>
  <c r="U163" i="9"/>
  <c r="T163" i="9"/>
  <c r="S163" i="9"/>
  <c r="R163" i="9"/>
  <c r="Q163" i="9"/>
  <c r="P163" i="9"/>
  <c r="O163" i="9"/>
  <c r="N163" i="9"/>
  <c r="Y159" i="9"/>
  <c r="X159" i="9"/>
  <c r="W159" i="9"/>
  <c r="V159" i="9"/>
  <c r="U159" i="9"/>
  <c r="T159" i="9"/>
  <c r="S159" i="9"/>
  <c r="R159" i="9"/>
  <c r="Q159" i="9"/>
  <c r="P159" i="9"/>
  <c r="O159" i="9"/>
  <c r="N159" i="9"/>
  <c r="Y158" i="9"/>
  <c r="X158" i="9"/>
  <c r="W158" i="9"/>
  <c r="V158" i="9"/>
  <c r="U158" i="9"/>
  <c r="T158" i="9"/>
  <c r="S158" i="9"/>
  <c r="R158" i="9"/>
  <c r="Q158" i="9"/>
  <c r="P158" i="9"/>
  <c r="O158" i="9"/>
  <c r="N158" i="9"/>
  <c r="Y157" i="9"/>
  <c r="X157" i="9"/>
  <c r="W157" i="9"/>
  <c r="V157" i="9"/>
  <c r="U157" i="9"/>
  <c r="T157" i="9"/>
  <c r="S157" i="9"/>
  <c r="R157" i="9"/>
  <c r="Q157" i="9"/>
  <c r="P157" i="9"/>
  <c r="O157" i="9"/>
  <c r="N157" i="9"/>
  <c r="Y156" i="9"/>
  <c r="X156" i="9"/>
  <c r="W156" i="9"/>
  <c r="V156" i="9"/>
  <c r="U156" i="9"/>
  <c r="T156" i="9"/>
  <c r="S156" i="9"/>
  <c r="R156" i="9"/>
  <c r="Q156" i="9"/>
  <c r="P156" i="9"/>
  <c r="O156" i="9"/>
  <c r="N156" i="9"/>
  <c r="Y155" i="9"/>
  <c r="X155" i="9"/>
  <c r="W155" i="9"/>
  <c r="V155" i="9"/>
  <c r="U155" i="9"/>
  <c r="T155" i="9"/>
  <c r="S155" i="9"/>
  <c r="R155" i="9"/>
  <c r="Q155" i="9"/>
  <c r="P155" i="9"/>
  <c r="O155" i="9"/>
  <c r="N155" i="9"/>
  <c r="Y154" i="9"/>
  <c r="X154" i="9"/>
  <c r="W154" i="9"/>
  <c r="V154" i="9"/>
  <c r="U154" i="9"/>
  <c r="T154" i="9"/>
  <c r="S154" i="9"/>
  <c r="R154" i="9"/>
  <c r="Q154" i="9"/>
  <c r="P154" i="9"/>
  <c r="O154" i="9"/>
  <c r="N154" i="9"/>
  <c r="Y153" i="9"/>
  <c r="X153" i="9"/>
  <c r="W153" i="9"/>
  <c r="V153" i="9"/>
  <c r="U153" i="9"/>
  <c r="T153" i="9"/>
  <c r="S153" i="9"/>
  <c r="R153" i="9"/>
  <c r="Q153" i="9"/>
  <c r="P153" i="9"/>
  <c r="O153" i="9"/>
  <c r="N153" i="9"/>
  <c r="Y152" i="9"/>
  <c r="X152" i="9"/>
  <c r="W152" i="9"/>
  <c r="V152" i="9"/>
  <c r="U152" i="9"/>
  <c r="T152" i="9"/>
  <c r="S152" i="9"/>
  <c r="R152" i="9"/>
  <c r="Q152" i="9"/>
  <c r="P152" i="9"/>
  <c r="O152" i="9"/>
  <c r="N152" i="9"/>
  <c r="Y151" i="9"/>
  <c r="X151" i="9"/>
  <c r="W151" i="9"/>
  <c r="V151" i="9"/>
  <c r="U151" i="9"/>
  <c r="T151" i="9"/>
  <c r="S151" i="9"/>
  <c r="R151" i="9"/>
  <c r="Q151" i="9"/>
  <c r="P151" i="9"/>
  <c r="O151" i="9"/>
  <c r="N151" i="9"/>
  <c r="Y150" i="9"/>
  <c r="X150" i="9"/>
  <c r="W150" i="9"/>
  <c r="V150" i="9"/>
  <c r="U150" i="9"/>
  <c r="T150" i="9"/>
  <c r="S150" i="9"/>
  <c r="R150" i="9"/>
  <c r="Q150" i="9"/>
  <c r="P150" i="9"/>
  <c r="O150" i="9"/>
  <c r="N150" i="9"/>
  <c r="Y149" i="9"/>
  <c r="X149" i="9"/>
  <c r="W149" i="9"/>
  <c r="V149" i="9"/>
  <c r="U149" i="9"/>
  <c r="T149" i="9"/>
  <c r="S149" i="9"/>
  <c r="R149" i="9"/>
  <c r="Q149" i="9"/>
  <c r="P149" i="9"/>
  <c r="O149" i="9"/>
  <c r="N149" i="9"/>
  <c r="Y148" i="9"/>
  <c r="X148" i="9"/>
  <c r="W148" i="9"/>
  <c r="V148" i="9"/>
  <c r="U148" i="9"/>
  <c r="T148" i="9"/>
  <c r="S148" i="9"/>
  <c r="R148" i="9"/>
  <c r="Q148" i="9"/>
  <c r="P148" i="9"/>
  <c r="O148" i="9"/>
  <c r="N148" i="9"/>
  <c r="Y147" i="9"/>
  <c r="X147" i="9"/>
  <c r="W147" i="9"/>
  <c r="V147" i="9"/>
  <c r="U147" i="9"/>
  <c r="T147" i="9"/>
  <c r="S147" i="9"/>
  <c r="R147" i="9"/>
  <c r="Q147" i="9"/>
  <c r="P147" i="9"/>
  <c r="O147" i="9"/>
  <c r="N147" i="9"/>
  <c r="Y146" i="9"/>
  <c r="X146" i="9"/>
  <c r="W146" i="9"/>
  <c r="V146" i="9"/>
  <c r="U146" i="9"/>
  <c r="T146" i="9"/>
  <c r="S146" i="9"/>
  <c r="R146" i="9"/>
  <c r="Q146" i="9"/>
  <c r="P146" i="9"/>
  <c r="O146" i="9"/>
  <c r="N146" i="9"/>
  <c r="Y145" i="9"/>
  <c r="X145" i="9"/>
  <c r="W145" i="9"/>
  <c r="V145" i="9"/>
  <c r="U145" i="9"/>
  <c r="T145" i="9"/>
  <c r="S145" i="9"/>
  <c r="R145" i="9"/>
  <c r="Q145" i="9"/>
  <c r="P145" i="9"/>
  <c r="O145" i="9"/>
  <c r="N145" i="9"/>
  <c r="Y144" i="9"/>
  <c r="X144" i="9"/>
  <c r="W144" i="9"/>
  <c r="V144" i="9"/>
  <c r="U144" i="9"/>
  <c r="T144" i="9"/>
  <c r="S144" i="9"/>
  <c r="R144" i="9"/>
  <c r="Q144" i="9"/>
  <c r="P144" i="9"/>
  <c r="O144" i="9"/>
  <c r="N144" i="9"/>
  <c r="Y143" i="9"/>
  <c r="X143" i="9"/>
  <c r="W143" i="9"/>
  <c r="V143" i="9"/>
  <c r="U143" i="9"/>
  <c r="T143" i="9"/>
  <c r="S143" i="9"/>
  <c r="R143" i="9"/>
  <c r="Q143" i="9"/>
  <c r="P143" i="9"/>
  <c r="O143" i="9"/>
  <c r="N143" i="9"/>
  <c r="Y142" i="9"/>
  <c r="X142" i="9"/>
  <c r="W142" i="9"/>
  <c r="V142" i="9"/>
  <c r="U142" i="9"/>
  <c r="T142" i="9"/>
  <c r="S142" i="9"/>
  <c r="R142" i="9"/>
  <c r="Q142" i="9"/>
  <c r="P142" i="9"/>
  <c r="O142" i="9"/>
  <c r="N142" i="9"/>
  <c r="Y141" i="9"/>
  <c r="X141" i="9"/>
  <c r="W141" i="9"/>
  <c r="V141" i="9"/>
  <c r="U141" i="9"/>
  <c r="T141" i="9"/>
  <c r="S141" i="9"/>
  <c r="R141" i="9"/>
  <c r="Q141" i="9"/>
  <c r="P141" i="9"/>
  <c r="O141" i="9"/>
  <c r="N141" i="9"/>
  <c r="Y140" i="9"/>
  <c r="X140" i="9"/>
  <c r="W140" i="9"/>
  <c r="V140" i="9"/>
  <c r="U140" i="9"/>
  <c r="T140" i="9"/>
  <c r="S140" i="9"/>
  <c r="R140" i="9"/>
  <c r="Q140" i="9"/>
  <c r="P140" i="9"/>
  <c r="O140" i="9"/>
  <c r="N140" i="9"/>
  <c r="Y139" i="9"/>
  <c r="X139" i="9"/>
  <c r="W139" i="9"/>
  <c r="V139" i="9"/>
  <c r="U139" i="9"/>
  <c r="T139" i="9"/>
  <c r="S139" i="9"/>
  <c r="R139" i="9"/>
  <c r="Q139" i="9"/>
  <c r="P139" i="9"/>
  <c r="O139" i="9"/>
  <c r="N139" i="9"/>
  <c r="Y138" i="9"/>
  <c r="X138" i="9"/>
  <c r="W138" i="9"/>
  <c r="V138" i="9"/>
  <c r="U138" i="9"/>
  <c r="T138" i="9"/>
  <c r="S138" i="9"/>
  <c r="R138" i="9"/>
  <c r="Q138" i="9"/>
  <c r="P138" i="9"/>
  <c r="O138" i="9"/>
  <c r="N138" i="9"/>
  <c r="Y137" i="9"/>
  <c r="X137" i="9"/>
  <c r="W137" i="9"/>
  <c r="V137" i="9"/>
  <c r="U137" i="9"/>
  <c r="T137" i="9"/>
  <c r="S137" i="9"/>
  <c r="R137" i="9"/>
  <c r="Q137" i="9"/>
  <c r="P137" i="9"/>
  <c r="O137" i="9"/>
  <c r="N137" i="9"/>
  <c r="Y136" i="9"/>
  <c r="X136" i="9"/>
  <c r="W136" i="9"/>
  <c r="V136" i="9"/>
  <c r="U136" i="9"/>
  <c r="T136" i="9"/>
  <c r="S136" i="9"/>
  <c r="R136" i="9"/>
  <c r="Q136" i="9"/>
  <c r="P136" i="9"/>
  <c r="O136" i="9"/>
  <c r="N136" i="9"/>
  <c r="Y135" i="9"/>
  <c r="X135" i="9"/>
  <c r="W135" i="9"/>
  <c r="V135" i="9"/>
  <c r="U135" i="9"/>
  <c r="T135" i="9"/>
  <c r="S135" i="9"/>
  <c r="R135" i="9"/>
  <c r="Q135" i="9"/>
  <c r="P135" i="9"/>
  <c r="O135" i="9"/>
  <c r="N135" i="9"/>
  <c r="Y134" i="9"/>
  <c r="X134" i="9"/>
  <c r="W134" i="9"/>
  <c r="V134" i="9"/>
  <c r="U134" i="9"/>
  <c r="T134" i="9"/>
  <c r="S134" i="9"/>
  <c r="R134" i="9"/>
  <c r="Q134" i="9"/>
  <c r="P134" i="9"/>
  <c r="O134" i="9"/>
  <c r="N134" i="9"/>
  <c r="Y133" i="9"/>
  <c r="X133" i="9"/>
  <c r="W133" i="9"/>
  <c r="V133" i="9"/>
  <c r="U133" i="9"/>
  <c r="T133" i="9"/>
  <c r="S133" i="9"/>
  <c r="R133" i="9"/>
  <c r="Q133" i="9"/>
  <c r="P133" i="9"/>
  <c r="O133" i="9"/>
  <c r="N133" i="9"/>
  <c r="Y132" i="9"/>
  <c r="X132" i="9"/>
  <c r="W132" i="9"/>
  <c r="V132" i="9"/>
  <c r="U132" i="9"/>
  <c r="T132" i="9"/>
  <c r="S132" i="9"/>
  <c r="R132" i="9"/>
  <c r="Q132" i="9"/>
  <c r="P132" i="9"/>
  <c r="O132" i="9"/>
  <c r="N132" i="9"/>
  <c r="Y131" i="9"/>
  <c r="X131" i="9"/>
  <c r="W131" i="9"/>
  <c r="V131" i="9"/>
  <c r="U131" i="9"/>
  <c r="T131" i="9"/>
  <c r="S131" i="9"/>
  <c r="R131" i="9"/>
  <c r="Q131" i="9"/>
  <c r="P131" i="9"/>
  <c r="O131" i="9"/>
  <c r="N131" i="9"/>
  <c r="Y127" i="9"/>
  <c r="X127" i="9"/>
  <c r="W127" i="9"/>
  <c r="V127" i="9"/>
  <c r="U127" i="9"/>
  <c r="T127" i="9"/>
  <c r="S127" i="9"/>
  <c r="R127" i="9"/>
  <c r="Q127" i="9"/>
  <c r="P127" i="9"/>
  <c r="O127" i="9"/>
  <c r="N127" i="9"/>
  <c r="Y126" i="9"/>
  <c r="X126" i="9"/>
  <c r="W126" i="9"/>
  <c r="V126" i="9"/>
  <c r="U126" i="9"/>
  <c r="T126" i="9"/>
  <c r="S126" i="9"/>
  <c r="R126" i="9"/>
  <c r="Q126" i="9"/>
  <c r="P126" i="9"/>
  <c r="O126" i="9"/>
  <c r="N126" i="9"/>
  <c r="Y125" i="9"/>
  <c r="X125" i="9"/>
  <c r="W125" i="9"/>
  <c r="V125" i="9"/>
  <c r="U125" i="9"/>
  <c r="T125" i="9"/>
  <c r="S125" i="9"/>
  <c r="R125" i="9"/>
  <c r="Q125" i="9"/>
  <c r="P125" i="9"/>
  <c r="O125" i="9"/>
  <c r="N125" i="9"/>
  <c r="Y124" i="9"/>
  <c r="X124" i="9"/>
  <c r="W124" i="9"/>
  <c r="V124" i="9"/>
  <c r="U124" i="9"/>
  <c r="T124" i="9"/>
  <c r="S124" i="9"/>
  <c r="R124" i="9"/>
  <c r="Q124" i="9"/>
  <c r="P124" i="9"/>
  <c r="O124" i="9"/>
  <c r="N124" i="9"/>
  <c r="Y123" i="9"/>
  <c r="X123" i="9"/>
  <c r="W123" i="9"/>
  <c r="V123" i="9"/>
  <c r="U123" i="9"/>
  <c r="T123" i="9"/>
  <c r="S123" i="9"/>
  <c r="R123" i="9"/>
  <c r="Q123" i="9"/>
  <c r="P123" i="9"/>
  <c r="O123" i="9"/>
  <c r="N123" i="9"/>
  <c r="Y122" i="9"/>
  <c r="X122" i="9"/>
  <c r="W122" i="9"/>
  <c r="V122" i="9"/>
  <c r="U122" i="9"/>
  <c r="T122" i="9"/>
  <c r="S122" i="9"/>
  <c r="R122" i="9"/>
  <c r="Q122" i="9"/>
  <c r="P122" i="9"/>
  <c r="O122" i="9"/>
  <c r="N122" i="9"/>
  <c r="Y121" i="9"/>
  <c r="X121" i="9"/>
  <c r="W121" i="9"/>
  <c r="V121" i="9"/>
  <c r="U121" i="9"/>
  <c r="T121" i="9"/>
  <c r="S121" i="9"/>
  <c r="R121" i="9"/>
  <c r="Q121" i="9"/>
  <c r="P121" i="9"/>
  <c r="O121" i="9"/>
  <c r="N121" i="9"/>
  <c r="Y120" i="9"/>
  <c r="X120" i="9"/>
  <c r="W120" i="9"/>
  <c r="V120" i="9"/>
  <c r="U120" i="9"/>
  <c r="T120" i="9"/>
  <c r="S120" i="9"/>
  <c r="R120" i="9"/>
  <c r="Q120" i="9"/>
  <c r="P120" i="9"/>
  <c r="O120" i="9"/>
  <c r="N120" i="9"/>
  <c r="Y119" i="9"/>
  <c r="X119" i="9"/>
  <c r="W119" i="9"/>
  <c r="V119" i="9"/>
  <c r="U119" i="9"/>
  <c r="T119" i="9"/>
  <c r="S119" i="9"/>
  <c r="R119" i="9"/>
  <c r="Q119" i="9"/>
  <c r="P119" i="9"/>
  <c r="O119" i="9"/>
  <c r="N119" i="9"/>
  <c r="Y118" i="9"/>
  <c r="X118" i="9"/>
  <c r="W118" i="9"/>
  <c r="V118" i="9"/>
  <c r="U118" i="9"/>
  <c r="T118" i="9"/>
  <c r="S118" i="9"/>
  <c r="R118" i="9"/>
  <c r="Q118" i="9"/>
  <c r="P118" i="9"/>
  <c r="O118" i="9"/>
  <c r="N118" i="9"/>
  <c r="Y117" i="9"/>
  <c r="X117" i="9"/>
  <c r="W117" i="9"/>
  <c r="V117" i="9"/>
  <c r="U117" i="9"/>
  <c r="T117" i="9"/>
  <c r="S117" i="9"/>
  <c r="R117" i="9"/>
  <c r="Q117" i="9"/>
  <c r="P117" i="9"/>
  <c r="O117" i="9"/>
  <c r="N117" i="9"/>
  <c r="Y116" i="9"/>
  <c r="X116" i="9"/>
  <c r="W116" i="9"/>
  <c r="V116" i="9"/>
  <c r="U116" i="9"/>
  <c r="T116" i="9"/>
  <c r="S116" i="9"/>
  <c r="R116" i="9"/>
  <c r="Q116" i="9"/>
  <c r="P116" i="9"/>
  <c r="O116" i="9"/>
  <c r="N116" i="9"/>
  <c r="Y115" i="9"/>
  <c r="X115" i="9"/>
  <c r="W115" i="9"/>
  <c r="V115" i="9"/>
  <c r="U115" i="9"/>
  <c r="T115" i="9"/>
  <c r="S115" i="9"/>
  <c r="R115" i="9"/>
  <c r="Q115" i="9"/>
  <c r="P115" i="9"/>
  <c r="O115" i="9"/>
  <c r="N115" i="9"/>
  <c r="Y114" i="9"/>
  <c r="X114" i="9"/>
  <c r="W114" i="9"/>
  <c r="V114" i="9"/>
  <c r="U114" i="9"/>
  <c r="T114" i="9"/>
  <c r="S114" i="9"/>
  <c r="R114" i="9"/>
  <c r="Q114" i="9"/>
  <c r="P114" i="9"/>
  <c r="O114" i="9"/>
  <c r="N114" i="9"/>
  <c r="Y113" i="9"/>
  <c r="X113" i="9"/>
  <c r="W113" i="9"/>
  <c r="V113" i="9"/>
  <c r="U113" i="9"/>
  <c r="T113" i="9"/>
  <c r="S113" i="9"/>
  <c r="R113" i="9"/>
  <c r="Q113" i="9"/>
  <c r="P113" i="9"/>
  <c r="O113" i="9"/>
  <c r="N113" i="9"/>
  <c r="Y112" i="9"/>
  <c r="X112" i="9"/>
  <c r="W112" i="9"/>
  <c r="V112" i="9"/>
  <c r="U112" i="9"/>
  <c r="T112" i="9"/>
  <c r="S112" i="9"/>
  <c r="R112" i="9"/>
  <c r="Q112" i="9"/>
  <c r="P112" i="9"/>
  <c r="O112" i="9"/>
  <c r="N112" i="9"/>
  <c r="Y111" i="9"/>
  <c r="X111" i="9"/>
  <c r="W111" i="9"/>
  <c r="V111" i="9"/>
  <c r="U111" i="9"/>
  <c r="T111" i="9"/>
  <c r="S111" i="9"/>
  <c r="R111" i="9"/>
  <c r="Q111" i="9"/>
  <c r="P111" i="9"/>
  <c r="O111" i="9"/>
  <c r="N111" i="9"/>
  <c r="Y110" i="9"/>
  <c r="X110" i="9"/>
  <c r="W110" i="9"/>
  <c r="V110" i="9"/>
  <c r="U110" i="9"/>
  <c r="T110" i="9"/>
  <c r="S110" i="9"/>
  <c r="R110" i="9"/>
  <c r="Q110" i="9"/>
  <c r="P110" i="9"/>
  <c r="O110" i="9"/>
  <c r="N110" i="9"/>
  <c r="Y109" i="9"/>
  <c r="X109" i="9"/>
  <c r="W109" i="9"/>
  <c r="V109" i="9"/>
  <c r="U109" i="9"/>
  <c r="T109" i="9"/>
  <c r="S109" i="9"/>
  <c r="R109" i="9"/>
  <c r="Q109" i="9"/>
  <c r="P109" i="9"/>
  <c r="O109" i="9"/>
  <c r="N109" i="9"/>
  <c r="Y108" i="9"/>
  <c r="X108" i="9"/>
  <c r="W108" i="9"/>
  <c r="V108" i="9"/>
  <c r="U108" i="9"/>
  <c r="T108" i="9"/>
  <c r="S108" i="9"/>
  <c r="R108" i="9"/>
  <c r="Q108" i="9"/>
  <c r="P108" i="9"/>
  <c r="O108" i="9"/>
  <c r="N108" i="9"/>
  <c r="Y107" i="9"/>
  <c r="X107" i="9"/>
  <c r="W107" i="9"/>
  <c r="V107" i="9"/>
  <c r="U107" i="9"/>
  <c r="T107" i="9"/>
  <c r="S107" i="9"/>
  <c r="R107" i="9"/>
  <c r="Q107" i="9"/>
  <c r="P107" i="9"/>
  <c r="O107" i="9"/>
  <c r="N107" i="9"/>
  <c r="Y106" i="9"/>
  <c r="X106" i="9"/>
  <c r="W106" i="9"/>
  <c r="V106" i="9"/>
  <c r="U106" i="9"/>
  <c r="T106" i="9"/>
  <c r="S106" i="9"/>
  <c r="R106" i="9"/>
  <c r="Q106" i="9"/>
  <c r="P106" i="9"/>
  <c r="O106" i="9"/>
  <c r="N106" i="9"/>
  <c r="Y105" i="9"/>
  <c r="X105" i="9"/>
  <c r="W105" i="9"/>
  <c r="V105" i="9"/>
  <c r="U105" i="9"/>
  <c r="T105" i="9"/>
  <c r="S105" i="9"/>
  <c r="R105" i="9"/>
  <c r="Q105" i="9"/>
  <c r="P105" i="9"/>
  <c r="O105" i="9"/>
  <c r="N105" i="9"/>
  <c r="Y104" i="9"/>
  <c r="X104" i="9"/>
  <c r="W104" i="9"/>
  <c r="V104" i="9"/>
  <c r="U104" i="9"/>
  <c r="T104" i="9"/>
  <c r="S104" i="9"/>
  <c r="R104" i="9"/>
  <c r="Q104" i="9"/>
  <c r="P104" i="9"/>
  <c r="O104" i="9"/>
  <c r="N104" i="9"/>
  <c r="Y103" i="9"/>
  <c r="X103" i="9"/>
  <c r="W103" i="9"/>
  <c r="V103" i="9"/>
  <c r="U103" i="9"/>
  <c r="T103" i="9"/>
  <c r="S103" i="9"/>
  <c r="R103" i="9"/>
  <c r="Q103" i="9"/>
  <c r="P103" i="9"/>
  <c r="O103" i="9"/>
  <c r="N103" i="9"/>
  <c r="Y102" i="9"/>
  <c r="X102" i="9"/>
  <c r="W102" i="9"/>
  <c r="V102" i="9"/>
  <c r="U102" i="9"/>
  <c r="T102" i="9"/>
  <c r="S102" i="9"/>
  <c r="R102" i="9"/>
  <c r="Q102" i="9"/>
  <c r="P102" i="9"/>
  <c r="O102" i="9"/>
  <c r="N102" i="9"/>
  <c r="Y101" i="9"/>
  <c r="X101" i="9"/>
  <c r="W101" i="9"/>
  <c r="V101" i="9"/>
  <c r="U101" i="9"/>
  <c r="T101" i="9"/>
  <c r="S101" i="9"/>
  <c r="R101" i="9"/>
  <c r="Q101" i="9"/>
  <c r="P101" i="9"/>
  <c r="O101" i="9"/>
  <c r="N101" i="9"/>
  <c r="Y100" i="9"/>
  <c r="X100" i="9"/>
  <c r="W100" i="9"/>
  <c r="V100" i="9"/>
  <c r="U100" i="9"/>
  <c r="T100" i="9"/>
  <c r="S100" i="9"/>
  <c r="R100" i="9"/>
  <c r="Q100" i="9"/>
  <c r="P100" i="9"/>
  <c r="O100" i="9"/>
  <c r="N100" i="9"/>
  <c r="Y99" i="9"/>
  <c r="X99" i="9"/>
  <c r="W99" i="9"/>
  <c r="V99" i="9"/>
  <c r="U99" i="9"/>
  <c r="T99" i="9"/>
  <c r="S99" i="9"/>
  <c r="R99" i="9"/>
  <c r="Q99" i="9"/>
  <c r="P99" i="9"/>
  <c r="O99" i="9"/>
  <c r="N99" i="9"/>
  <c r="Y95" i="9"/>
  <c r="X95" i="9"/>
  <c r="W95" i="9"/>
  <c r="V95" i="9"/>
  <c r="U95" i="9"/>
  <c r="T95" i="9"/>
  <c r="S95" i="9"/>
  <c r="R95" i="9"/>
  <c r="Q95" i="9"/>
  <c r="P95" i="9"/>
  <c r="O95" i="9"/>
  <c r="N95" i="9"/>
  <c r="Y94" i="9"/>
  <c r="X94" i="9"/>
  <c r="W94" i="9"/>
  <c r="V94" i="9"/>
  <c r="U94" i="9"/>
  <c r="T94" i="9"/>
  <c r="S94" i="9"/>
  <c r="R94" i="9"/>
  <c r="Q94" i="9"/>
  <c r="P94" i="9"/>
  <c r="O94" i="9"/>
  <c r="N94" i="9"/>
  <c r="Y93" i="9"/>
  <c r="X93" i="9"/>
  <c r="W93" i="9"/>
  <c r="V93" i="9"/>
  <c r="U93" i="9"/>
  <c r="T93" i="9"/>
  <c r="S93" i="9"/>
  <c r="R93" i="9"/>
  <c r="Q93" i="9"/>
  <c r="P93" i="9"/>
  <c r="O93" i="9"/>
  <c r="N93" i="9"/>
  <c r="Y92" i="9"/>
  <c r="X92" i="9"/>
  <c r="W92" i="9"/>
  <c r="V92" i="9"/>
  <c r="U92" i="9"/>
  <c r="T92" i="9"/>
  <c r="S92" i="9"/>
  <c r="R92" i="9"/>
  <c r="Q92" i="9"/>
  <c r="P92" i="9"/>
  <c r="O92" i="9"/>
  <c r="N92" i="9"/>
  <c r="Y91" i="9"/>
  <c r="X91" i="9"/>
  <c r="W91" i="9"/>
  <c r="V91" i="9"/>
  <c r="U91" i="9"/>
  <c r="T91" i="9"/>
  <c r="S91" i="9"/>
  <c r="R91" i="9"/>
  <c r="Q91" i="9"/>
  <c r="P91" i="9"/>
  <c r="O91" i="9"/>
  <c r="N91" i="9"/>
  <c r="Y90" i="9"/>
  <c r="X90" i="9"/>
  <c r="W90" i="9"/>
  <c r="V90" i="9"/>
  <c r="U90" i="9"/>
  <c r="T90" i="9"/>
  <c r="S90" i="9"/>
  <c r="R90" i="9"/>
  <c r="Q90" i="9"/>
  <c r="P90" i="9"/>
  <c r="O90" i="9"/>
  <c r="N90" i="9"/>
  <c r="Y89" i="9"/>
  <c r="X89" i="9"/>
  <c r="W89" i="9"/>
  <c r="V89" i="9"/>
  <c r="U89" i="9"/>
  <c r="T89" i="9"/>
  <c r="S89" i="9"/>
  <c r="R89" i="9"/>
  <c r="Q89" i="9"/>
  <c r="P89" i="9"/>
  <c r="O89" i="9"/>
  <c r="N89" i="9"/>
  <c r="Y88" i="9"/>
  <c r="X88" i="9"/>
  <c r="W88" i="9"/>
  <c r="V88" i="9"/>
  <c r="U88" i="9"/>
  <c r="T88" i="9"/>
  <c r="S88" i="9"/>
  <c r="R88" i="9"/>
  <c r="Q88" i="9"/>
  <c r="P88" i="9"/>
  <c r="O88" i="9"/>
  <c r="N88" i="9"/>
  <c r="Y87" i="9"/>
  <c r="X87" i="9"/>
  <c r="W87" i="9"/>
  <c r="V87" i="9"/>
  <c r="U87" i="9"/>
  <c r="T87" i="9"/>
  <c r="S87" i="9"/>
  <c r="R87" i="9"/>
  <c r="Q87" i="9"/>
  <c r="P87" i="9"/>
  <c r="O87" i="9"/>
  <c r="N87" i="9"/>
  <c r="Y86" i="9"/>
  <c r="X86" i="9"/>
  <c r="W86" i="9"/>
  <c r="V86" i="9"/>
  <c r="U86" i="9"/>
  <c r="T86" i="9"/>
  <c r="S86" i="9"/>
  <c r="R86" i="9"/>
  <c r="Q86" i="9"/>
  <c r="P86" i="9"/>
  <c r="O86" i="9"/>
  <c r="N86" i="9"/>
  <c r="Y85" i="9"/>
  <c r="X85" i="9"/>
  <c r="W85" i="9"/>
  <c r="V85" i="9"/>
  <c r="U85" i="9"/>
  <c r="T85" i="9"/>
  <c r="S85" i="9"/>
  <c r="R85" i="9"/>
  <c r="Q85" i="9"/>
  <c r="P85" i="9"/>
  <c r="O85" i="9"/>
  <c r="N85" i="9"/>
  <c r="Y84" i="9"/>
  <c r="X84" i="9"/>
  <c r="W84" i="9"/>
  <c r="V84" i="9"/>
  <c r="U84" i="9"/>
  <c r="T84" i="9"/>
  <c r="S84" i="9"/>
  <c r="R84" i="9"/>
  <c r="Q84" i="9"/>
  <c r="P84" i="9"/>
  <c r="O84" i="9"/>
  <c r="N84" i="9"/>
  <c r="Y83" i="9"/>
  <c r="X83" i="9"/>
  <c r="W83" i="9"/>
  <c r="V83" i="9"/>
  <c r="U83" i="9"/>
  <c r="T83" i="9"/>
  <c r="S83" i="9"/>
  <c r="R83" i="9"/>
  <c r="Q83" i="9"/>
  <c r="P83" i="9"/>
  <c r="O83" i="9"/>
  <c r="N83" i="9"/>
  <c r="Y82" i="9"/>
  <c r="X82" i="9"/>
  <c r="W82" i="9"/>
  <c r="V82" i="9"/>
  <c r="U82" i="9"/>
  <c r="T82" i="9"/>
  <c r="S82" i="9"/>
  <c r="R82" i="9"/>
  <c r="Q82" i="9"/>
  <c r="P82" i="9"/>
  <c r="O82" i="9"/>
  <c r="N82" i="9"/>
  <c r="Y81" i="9"/>
  <c r="X81" i="9"/>
  <c r="W81" i="9"/>
  <c r="V81" i="9"/>
  <c r="U81" i="9"/>
  <c r="T81" i="9"/>
  <c r="S81" i="9"/>
  <c r="R81" i="9"/>
  <c r="Q81" i="9"/>
  <c r="P81" i="9"/>
  <c r="O81" i="9"/>
  <c r="N81" i="9"/>
  <c r="Y80" i="9"/>
  <c r="X80" i="9"/>
  <c r="W80" i="9"/>
  <c r="V80" i="9"/>
  <c r="U80" i="9"/>
  <c r="T80" i="9"/>
  <c r="S80" i="9"/>
  <c r="R80" i="9"/>
  <c r="Q80" i="9"/>
  <c r="P80" i="9"/>
  <c r="O80" i="9"/>
  <c r="N80" i="9"/>
  <c r="Y79" i="9"/>
  <c r="X79" i="9"/>
  <c r="W79" i="9"/>
  <c r="V79" i="9"/>
  <c r="U79" i="9"/>
  <c r="T79" i="9"/>
  <c r="S79" i="9"/>
  <c r="R79" i="9"/>
  <c r="Q79" i="9"/>
  <c r="P79" i="9"/>
  <c r="O79" i="9"/>
  <c r="N79" i="9"/>
  <c r="Y78" i="9"/>
  <c r="X78" i="9"/>
  <c r="W78" i="9"/>
  <c r="V78" i="9"/>
  <c r="U78" i="9"/>
  <c r="T78" i="9"/>
  <c r="S78" i="9"/>
  <c r="R78" i="9"/>
  <c r="Q78" i="9"/>
  <c r="P78" i="9"/>
  <c r="O78" i="9"/>
  <c r="N78" i="9"/>
  <c r="Y77" i="9"/>
  <c r="X77" i="9"/>
  <c r="W77" i="9"/>
  <c r="V77" i="9"/>
  <c r="U77" i="9"/>
  <c r="T77" i="9"/>
  <c r="S77" i="9"/>
  <c r="R77" i="9"/>
  <c r="Q77" i="9"/>
  <c r="P77" i="9"/>
  <c r="O77" i="9"/>
  <c r="N77" i="9"/>
  <c r="Y76" i="9"/>
  <c r="X76" i="9"/>
  <c r="W76" i="9"/>
  <c r="V76" i="9"/>
  <c r="U76" i="9"/>
  <c r="T76" i="9"/>
  <c r="S76" i="9"/>
  <c r="R76" i="9"/>
  <c r="Q76" i="9"/>
  <c r="P76" i="9"/>
  <c r="O76" i="9"/>
  <c r="N76" i="9"/>
  <c r="Y75" i="9"/>
  <c r="X75" i="9"/>
  <c r="W75" i="9"/>
  <c r="V75" i="9"/>
  <c r="U75" i="9"/>
  <c r="T75" i="9"/>
  <c r="S75" i="9"/>
  <c r="R75" i="9"/>
  <c r="Q75" i="9"/>
  <c r="P75" i="9"/>
  <c r="O75" i="9"/>
  <c r="N75" i="9"/>
  <c r="Y74" i="9"/>
  <c r="X74" i="9"/>
  <c r="W74" i="9"/>
  <c r="V74" i="9"/>
  <c r="U74" i="9"/>
  <c r="T74" i="9"/>
  <c r="S74" i="9"/>
  <c r="R74" i="9"/>
  <c r="Q74" i="9"/>
  <c r="P74" i="9"/>
  <c r="O74" i="9"/>
  <c r="N74" i="9"/>
  <c r="Y73" i="9"/>
  <c r="X73" i="9"/>
  <c r="W73" i="9"/>
  <c r="V73" i="9"/>
  <c r="U73" i="9"/>
  <c r="T73" i="9"/>
  <c r="S73" i="9"/>
  <c r="R73" i="9"/>
  <c r="Q73" i="9"/>
  <c r="P73" i="9"/>
  <c r="O73" i="9"/>
  <c r="N73" i="9"/>
  <c r="Y72" i="9"/>
  <c r="X72" i="9"/>
  <c r="W72" i="9"/>
  <c r="V72" i="9"/>
  <c r="U72" i="9"/>
  <c r="T72" i="9"/>
  <c r="S72" i="9"/>
  <c r="R72" i="9"/>
  <c r="Q72" i="9"/>
  <c r="P72" i="9"/>
  <c r="O72" i="9"/>
  <c r="N72" i="9"/>
  <c r="Y71" i="9"/>
  <c r="X71" i="9"/>
  <c r="W71" i="9"/>
  <c r="V71" i="9"/>
  <c r="U71" i="9"/>
  <c r="T71" i="9"/>
  <c r="S71" i="9"/>
  <c r="R71" i="9"/>
  <c r="Q71" i="9"/>
  <c r="P71" i="9"/>
  <c r="O71" i="9"/>
  <c r="N71" i="9"/>
  <c r="Y70" i="9"/>
  <c r="X70" i="9"/>
  <c r="W70" i="9"/>
  <c r="V70" i="9"/>
  <c r="U70" i="9"/>
  <c r="T70" i="9"/>
  <c r="S70" i="9"/>
  <c r="R70" i="9"/>
  <c r="Q70" i="9"/>
  <c r="P70" i="9"/>
  <c r="O70" i="9"/>
  <c r="N70" i="9"/>
  <c r="Y69" i="9"/>
  <c r="X69" i="9"/>
  <c r="W69" i="9"/>
  <c r="V69" i="9"/>
  <c r="U69" i="9"/>
  <c r="T69" i="9"/>
  <c r="S69" i="9"/>
  <c r="R69" i="9"/>
  <c r="Q69" i="9"/>
  <c r="P69" i="9"/>
  <c r="O69" i="9"/>
  <c r="N69" i="9"/>
  <c r="Y68" i="9"/>
  <c r="X68" i="9"/>
  <c r="W68" i="9"/>
  <c r="V68" i="9"/>
  <c r="U68" i="9"/>
  <c r="T68" i="9"/>
  <c r="S68" i="9"/>
  <c r="R68" i="9"/>
  <c r="Q68" i="9"/>
  <c r="P68" i="9"/>
  <c r="O68" i="9"/>
  <c r="N68" i="9"/>
  <c r="Y67" i="9"/>
  <c r="X67" i="9"/>
  <c r="W67" i="9"/>
  <c r="V67" i="9"/>
  <c r="U67" i="9"/>
  <c r="T67" i="9"/>
  <c r="S67" i="9"/>
  <c r="R67" i="9"/>
  <c r="Q67" i="9"/>
  <c r="P67" i="9"/>
  <c r="O67" i="9"/>
  <c r="N67" i="9"/>
  <c r="Y63" i="9"/>
  <c r="X63" i="9"/>
  <c r="W63" i="9"/>
  <c r="V63" i="9"/>
  <c r="U63" i="9"/>
  <c r="T63" i="9"/>
  <c r="S63" i="9"/>
  <c r="R63" i="9"/>
  <c r="Q63" i="9"/>
  <c r="P63" i="9"/>
  <c r="O63" i="9"/>
  <c r="N63" i="9"/>
  <c r="Y62" i="9"/>
  <c r="X62" i="9"/>
  <c r="W62" i="9"/>
  <c r="V62" i="9"/>
  <c r="U62" i="9"/>
  <c r="T62" i="9"/>
  <c r="S62" i="9"/>
  <c r="R62" i="9"/>
  <c r="Q62" i="9"/>
  <c r="P62" i="9"/>
  <c r="O62" i="9"/>
  <c r="N62" i="9"/>
  <c r="Y61" i="9"/>
  <c r="X61" i="9"/>
  <c r="W61" i="9"/>
  <c r="V61" i="9"/>
  <c r="U61" i="9"/>
  <c r="T61" i="9"/>
  <c r="S61" i="9"/>
  <c r="R61" i="9"/>
  <c r="Q61" i="9"/>
  <c r="P61" i="9"/>
  <c r="O61" i="9"/>
  <c r="N61" i="9"/>
  <c r="Y60" i="9"/>
  <c r="X60" i="9"/>
  <c r="W60" i="9"/>
  <c r="V60" i="9"/>
  <c r="U60" i="9"/>
  <c r="T60" i="9"/>
  <c r="S60" i="9"/>
  <c r="R60" i="9"/>
  <c r="Q60" i="9"/>
  <c r="P60" i="9"/>
  <c r="O60" i="9"/>
  <c r="N60" i="9"/>
  <c r="Y59" i="9"/>
  <c r="X59" i="9"/>
  <c r="W59" i="9"/>
  <c r="V59" i="9"/>
  <c r="U59" i="9"/>
  <c r="T59" i="9"/>
  <c r="S59" i="9"/>
  <c r="R59" i="9"/>
  <c r="Q59" i="9"/>
  <c r="P59" i="9"/>
  <c r="O59" i="9"/>
  <c r="N59" i="9"/>
  <c r="Y58" i="9"/>
  <c r="X58" i="9"/>
  <c r="W58" i="9"/>
  <c r="V58" i="9"/>
  <c r="U58" i="9"/>
  <c r="T58" i="9"/>
  <c r="S58" i="9"/>
  <c r="R58" i="9"/>
  <c r="Q58" i="9"/>
  <c r="P58" i="9"/>
  <c r="O58" i="9"/>
  <c r="N58" i="9"/>
  <c r="Y57" i="9"/>
  <c r="X57" i="9"/>
  <c r="W57" i="9"/>
  <c r="V57" i="9"/>
  <c r="U57" i="9"/>
  <c r="T57" i="9"/>
  <c r="S57" i="9"/>
  <c r="R57" i="9"/>
  <c r="Q57" i="9"/>
  <c r="P57" i="9"/>
  <c r="O57" i="9"/>
  <c r="N57" i="9"/>
  <c r="Y56" i="9"/>
  <c r="X56" i="9"/>
  <c r="W56" i="9"/>
  <c r="V56" i="9"/>
  <c r="U56" i="9"/>
  <c r="T56" i="9"/>
  <c r="S56" i="9"/>
  <c r="R56" i="9"/>
  <c r="Q56" i="9"/>
  <c r="P56" i="9"/>
  <c r="O56" i="9"/>
  <c r="N56" i="9"/>
  <c r="Y55" i="9"/>
  <c r="X55" i="9"/>
  <c r="W55" i="9"/>
  <c r="V55" i="9"/>
  <c r="U55" i="9"/>
  <c r="T55" i="9"/>
  <c r="S55" i="9"/>
  <c r="R55" i="9"/>
  <c r="Q55" i="9"/>
  <c r="P55" i="9"/>
  <c r="O55" i="9"/>
  <c r="N55" i="9"/>
  <c r="Y54" i="9"/>
  <c r="X54" i="9"/>
  <c r="W54" i="9"/>
  <c r="V54" i="9"/>
  <c r="U54" i="9"/>
  <c r="T54" i="9"/>
  <c r="S54" i="9"/>
  <c r="R54" i="9"/>
  <c r="Q54" i="9"/>
  <c r="P54" i="9"/>
  <c r="O54" i="9"/>
  <c r="N54" i="9"/>
  <c r="Y53" i="9"/>
  <c r="X53" i="9"/>
  <c r="W53" i="9"/>
  <c r="V53" i="9"/>
  <c r="U53" i="9"/>
  <c r="T53" i="9"/>
  <c r="S53" i="9"/>
  <c r="R53" i="9"/>
  <c r="Q53" i="9"/>
  <c r="P53" i="9"/>
  <c r="O53" i="9"/>
  <c r="N53" i="9"/>
  <c r="Y52" i="9"/>
  <c r="X52" i="9"/>
  <c r="W52" i="9"/>
  <c r="V52" i="9"/>
  <c r="U52" i="9"/>
  <c r="T52" i="9"/>
  <c r="S52" i="9"/>
  <c r="R52" i="9"/>
  <c r="Q52" i="9"/>
  <c r="P52" i="9"/>
  <c r="O52" i="9"/>
  <c r="N52" i="9"/>
  <c r="Y51" i="9"/>
  <c r="X51" i="9"/>
  <c r="W51" i="9"/>
  <c r="V51" i="9"/>
  <c r="U51" i="9"/>
  <c r="T51" i="9"/>
  <c r="S51" i="9"/>
  <c r="R51" i="9"/>
  <c r="Q51" i="9"/>
  <c r="P51" i="9"/>
  <c r="O51" i="9"/>
  <c r="N51" i="9"/>
  <c r="Y50" i="9"/>
  <c r="X50" i="9"/>
  <c r="W50" i="9"/>
  <c r="V50" i="9"/>
  <c r="U50" i="9"/>
  <c r="T50" i="9"/>
  <c r="S50" i="9"/>
  <c r="R50" i="9"/>
  <c r="Q50" i="9"/>
  <c r="P50" i="9"/>
  <c r="O50" i="9"/>
  <c r="N50" i="9"/>
  <c r="Y49" i="9"/>
  <c r="X49" i="9"/>
  <c r="W49" i="9"/>
  <c r="V49" i="9"/>
  <c r="U49" i="9"/>
  <c r="T49" i="9"/>
  <c r="S49" i="9"/>
  <c r="R49" i="9"/>
  <c r="Q49" i="9"/>
  <c r="P49" i="9"/>
  <c r="O49" i="9"/>
  <c r="N49" i="9"/>
  <c r="Y48" i="9"/>
  <c r="X48" i="9"/>
  <c r="W48" i="9"/>
  <c r="V48" i="9"/>
  <c r="U48" i="9"/>
  <c r="T48" i="9"/>
  <c r="S48" i="9"/>
  <c r="R48" i="9"/>
  <c r="Q48" i="9"/>
  <c r="P48" i="9"/>
  <c r="O48" i="9"/>
  <c r="N48" i="9"/>
  <c r="Y47" i="9"/>
  <c r="X47" i="9"/>
  <c r="W47" i="9"/>
  <c r="V47" i="9"/>
  <c r="U47" i="9"/>
  <c r="T47" i="9"/>
  <c r="S47" i="9"/>
  <c r="R47" i="9"/>
  <c r="Q47" i="9"/>
  <c r="P47" i="9"/>
  <c r="O47" i="9"/>
  <c r="N47" i="9"/>
  <c r="Y46" i="9"/>
  <c r="X46" i="9"/>
  <c r="W46" i="9"/>
  <c r="V46" i="9"/>
  <c r="U46" i="9"/>
  <c r="T46" i="9"/>
  <c r="S46" i="9"/>
  <c r="R46" i="9"/>
  <c r="Q46" i="9"/>
  <c r="P46" i="9"/>
  <c r="O46" i="9"/>
  <c r="N46" i="9"/>
  <c r="Y45" i="9"/>
  <c r="X45" i="9"/>
  <c r="W45" i="9"/>
  <c r="V45" i="9"/>
  <c r="U45" i="9"/>
  <c r="T45" i="9"/>
  <c r="S45" i="9"/>
  <c r="R45" i="9"/>
  <c r="Q45" i="9"/>
  <c r="P45" i="9"/>
  <c r="O45" i="9"/>
  <c r="N45" i="9"/>
  <c r="Y44" i="9"/>
  <c r="X44" i="9"/>
  <c r="W44" i="9"/>
  <c r="V44" i="9"/>
  <c r="U44" i="9"/>
  <c r="T44" i="9"/>
  <c r="S44" i="9"/>
  <c r="R44" i="9"/>
  <c r="Q44" i="9"/>
  <c r="P44" i="9"/>
  <c r="O44" i="9"/>
  <c r="N44" i="9"/>
  <c r="Y43" i="9"/>
  <c r="X43" i="9"/>
  <c r="W43" i="9"/>
  <c r="V43" i="9"/>
  <c r="U43" i="9"/>
  <c r="T43" i="9"/>
  <c r="S43" i="9"/>
  <c r="R43" i="9"/>
  <c r="Q43" i="9"/>
  <c r="P43" i="9"/>
  <c r="O43" i="9"/>
  <c r="N43" i="9"/>
  <c r="Y42" i="9"/>
  <c r="X42" i="9"/>
  <c r="W42" i="9"/>
  <c r="V42" i="9"/>
  <c r="U42" i="9"/>
  <c r="T42" i="9"/>
  <c r="S42" i="9"/>
  <c r="R42" i="9"/>
  <c r="Q42" i="9"/>
  <c r="P42" i="9"/>
  <c r="O42" i="9"/>
  <c r="N42" i="9"/>
  <c r="Y41" i="9"/>
  <c r="X41" i="9"/>
  <c r="W41" i="9"/>
  <c r="V41" i="9"/>
  <c r="U41" i="9"/>
  <c r="T41" i="9"/>
  <c r="S41" i="9"/>
  <c r="R41" i="9"/>
  <c r="Q41" i="9"/>
  <c r="P41" i="9"/>
  <c r="O41" i="9"/>
  <c r="N41" i="9"/>
  <c r="Y40" i="9"/>
  <c r="X40" i="9"/>
  <c r="W40" i="9"/>
  <c r="V40" i="9"/>
  <c r="U40" i="9"/>
  <c r="T40" i="9"/>
  <c r="S40" i="9"/>
  <c r="R40" i="9"/>
  <c r="Q40" i="9"/>
  <c r="P40" i="9"/>
  <c r="O40" i="9"/>
  <c r="N40" i="9"/>
  <c r="Y39" i="9"/>
  <c r="X39" i="9"/>
  <c r="W39" i="9"/>
  <c r="V39" i="9"/>
  <c r="U39" i="9"/>
  <c r="T39" i="9"/>
  <c r="S39" i="9"/>
  <c r="R39" i="9"/>
  <c r="Q39" i="9"/>
  <c r="P39" i="9"/>
  <c r="O39" i="9"/>
  <c r="N39" i="9"/>
  <c r="Y38" i="9"/>
  <c r="X38" i="9"/>
  <c r="W38" i="9"/>
  <c r="V38" i="9"/>
  <c r="U38" i="9"/>
  <c r="T38" i="9"/>
  <c r="S38" i="9"/>
  <c r="R38" i="9"/>
  <c r="Q38" i="9"/>
  <c r="P38" i="9"/>
  <c r="O38" i="9"/>
  <c r="N38" i="9"/>
  <c r="Y37" i="9"/>
  <c r="X37" i="9"/>
  <c r="W37" i="9"/>
  <c r="V37" i="9"/>
  <c r="U37" i="9"/>
  <c r="T37" i="9"/>
  <c r="S37" i="9"/>
  <c r="R37" i="9"/>
  <c r="Q37" i="9"/>
  <c r="P37" i="9"/>
  <c r="O37" i="9"/>
  <c r="N37" i="9"/>
  <c r="Y36" i="9"/>
  <c r="X36" i="9"/>
  <c r="W36" i="9"/>
  <c r="V36" i="9"/>
  <c r="U36" i="9"/>
  <c r="T36" i="9"/>
  <c r="S36" i="9"/>
  <c r="R36" i="9"/>
  <c r="Q36" i="9"/>
  <c r="P36" i="9"/>
  <c r="O36" i="9"/>
  <c r="N36" i="9"/>
  <c r="Y35" i="9"/>
  <c r="X35" i="9"/>
  <c r="W35" i="9"/>
  <c r="V35" i="9"/>
  <c r="U35" i="9"/>
  <c r="T35" i="9"/>
  <c r="S35" i="9"/>
  <c r="R35" i="9"/>
  <c r="Q35" i="9"/>
  <c r="P35" i="9"/>
  <c r="O35" i="9"/>
  <c r="N35" i="9"/>
  <c r="Y31" i="9"/>
  <c r="X31" i="9"/>
  <c r="W31" i="9"/>
  <c r="V31" i="9"/>
  <c r="U31" i="9"/>
  <c r="T31" i="9"/>
  <c r="S31" i="9"/>
  <c r="R31" i="9"/>
  <c r="Q31" i="9"/>
  <c r="P31" i="9"/>
  <c r="O31" i="9"/>
  <c r="N31" i="9"/>
  <c r="Y30" i="9"/>
  <c r="X30" i="9"/>
  <c r="W30" i="9"/>
  <c r="V30" i="9"/>
  <c r="U30" i="9"/>
  <c r="T30" i="9"/>
  <c r="S30" i="9"/>
  <c r="R30" i="9"/>
  <c r="Q30" i="9"/>
  <c r="P30" i="9"/>
  <c r="O30" i="9"/>
  <c r="N30" i="9"/>
  <c r="Y29" i="9"/>
  <c r="X29" i="9"/>
  <c r="W29" i="9"/>
  <c r="V29" i="9"/>
  <c r="U29" i="9"/>
  <c r="T29" i="9"/>
  <c r="S29" i="9"/>
  <c r="R29" i="9"/>
  <c r="Q29" i="9"/>
  <c r="P29" i="9"/>
  <c r="O29" i="9"/>
  <c r="N29" i="9"/>
  <c r="Y28" i="9"/>
  <c r="X28" i="9"/>
  <c r="W28" i="9"/>
  <c r="V28" i="9"/>
  <c r="U28" i="9"/>
  <c r="T28" i="9"/>
  <c r="S28" i="9"/>
  <c r="R28" i="9"/>
  <c r="Q28" i="9"/>
  <c r="P28" i="9"/>
  <c r="O28" i="9"/>
  <c r="N28" i="9"/>
  <c r="Y27" i="9"/>
  <c r="X27" i="9"/>
  <c r="W27" i="9"/>
  <c r="V27" i="9"/>
  <c r="U27" i="9"/>
  <c r="T27" i="9"/>
  <c r="S27" i="9"/>
  <c r="R27" i="9"/>
  <c r="Q27" i="9"/>
  <c r="P27" i="9"/>
  <c r="O27" i="9"/>
  <c r="N27" i="9"/>
  <c r="Y26" i="9"/>
  <c r="X26" i="9"/>
  <c r="W26" i="9"/>
  <c r="V26" i="9"/>
  <c r="U26" i="9"/>
  <c r="T26" i="9"/>
  <c r="S26" i="9"/>
  <c r="R26" i="9"/>
  <c r="Q26" i="9"/>
  <c r="P26" i="9"/>
  <c r="O26" i="9"/>
  <c r="N26" i="9"/>
  <c r="Y25" i="9"/>
  <c r="X25" i="9"/>
  <c r="W25" i="9"/>
  <c r="V25" i="9"/>
  <c r="U25" i="9"/>
  <c r="T25" i="9"/>
  <c r="S25" i="9"/>
  <c r="R25" i="9"/>
  <c r="Q25" i="9"/>
  <c r="P25" i="9"/>
  <c r="O25" i="9"/>
  <c r="N25" i="9"/>
  <c r="Y24" i="9"/>
  <c r="X24" i="9"/>
  <c r="W24" i="9"/>
  <c r="V24" i="9"/>
  <c r="U24" i="9"/>
  <c r="T24" i="9"/>
  <c r="S24" i="9"/>
  <c r="R24" i="9"/>
  <c r="Q24" i="9"/>
  <c r="P24" i="9"/>
  <c r="O24" i="9"/>
  <c r="N24" i="9"/>
  <c r="Y23" i="9"/>
  <c r="X23" i="9"/>
  <c r="W23" i="9"/>
  <c r="V23" i="9"/>
  <c r="U23" i="9"/>
  <c r="T23" i="9"/>
  <c r="S23" i="9"/>
  <c r="R23" i="9"/>
  <c r="Q23" i="9"/>
  <c r="P23" i="9"/>
  <c r="O23" i="9"/>
  <c r="N23" i="9"/>
  <c r="Y22" i="9"/>
  <c r="X22" i="9"/>
  <c r="W22" i="9"/>
  <c r="V22" i="9"/>
  <c r="U22" i="9"/>
  <c r="T22" i="9"/>
  <c r="S22" i="9"/>
  <c r="R22" i="9"/>
  <c r="Q22" i="9"/>
  <c r="P22" i="9"/>
  <c r="O22" i="9"/>
  <c r="N22" i="9"/>
  <c r="Y21" i="9"/>
  <c r="X21" i="9"/>
  <c r="W21" i="9"/>
  <c r="V21" i="9"/>
  <c r="U21" i="9"/>
  <c r="T21" i="9"/>
  <c r="S21" i="9"/>
  <c r="R21" i="9"/>
  <c r="Q21" i="9"/>
  <c r="P21" i="9"/>
  <c r="O21" i="9"/>
  <c r="N21" i="9"/>
  <c r="Y20" i="9"/>
  <c r="X20" i="9"/>
  <c r="W20" i="9"/>
  <c r="V20" i="9"/>
  <c r="U20" i="9"/>
  <c r="T20" i="9"/>
  <c r="S20" i="9"/>
  <c r="R20" i="9"/>
  <c r="Q20" i="9"/>
  <c r="P20" i="9"/>
  <c r="O20" i="9"/>
  <c r="N20" i="9"/>
  <c r="Y19" i="9"/>
  <c r="X19" i="9"/>
  <c r="W19" i="9"/>
  <c r="V19" i="9"/>
  <c r="U19" i="9"/>
  <c r="T19" i="9"/>
  <c r="S19" i="9"/>
  <c r="R19" i="9"/>
  <c r="Q19" i="9"/>
  <c r="P19" i="9"/>
  <c r="O19" i="9"/>
  <c r="N19" i="9"/>
  <c r="Y18" i="9"/>
  <c r="X18" i="9"/>
  <c r="W18" i="9"/>
  <c r="V18" i="9"/>
  <c r="U18" i="9"/>
  <c r="T18" i="9"/>
  <c r="S18" i="9"/>
  <c r="R18" i="9"/>
  <c r="Q18" i="9"/>
  <c r="P18" i="9"/>
  <c r="O18" i="9"/>
  <c r="N18" i="9"/>
  <c r="Y17" i="9"/>
  <c r="X17" i="9"/>
  <c r="W17" i="9"/>
  <c r="V17" i="9"/>
  <c r="U17" i="9"/>
  <c r="T17" i="9"/>
  <c r="S17" i="9"/>
  <c r="R17" i="9"/>
  <c r="Q17" i="9"/>
  <c r="P17" i="9"/>
  <c r="O17" i="9"/>
  <c r="N17" i="9"/>
  <c r="Y16" i="9"/>
  <c r="X16" i="9"/>
  <c r="W16" i="9"/>
  <c r="V16" i="9"/>
  <c r="U16" i="9"/>
  <c r="T16" i="9"/>
  <c r="S16" i="9"/>
  <c r="R16" i="9"/>
  <c r="Q16" i="9"/>
  <c r="P16" i="9"/>
  <c r="O16" i="9"/>
  <c r="N16" i="9"/>
  <c r="Y15" i="9"/>
  <c r="X15" i="9"/>
  <c r="W15" i="9"/>
  <c r="V15" i="9"/>
  <c r="U15" i="9"/>
  <c r="T15" i="9"/>
  <c r="S15" i="9"/>
  <c r="R15" i="9"/>
  <c r="Q15" i="9"/>
  <c r="P15" i="9"/>
  <c r="O15" i="9"/>
  <c r="N15" i="9"/>
  <c r="Y14" i="9"/>
  <c r="X14" i="9"/>
  <c r="W14" i="9"/>
  <c r="V14" i="9"/>
  <c r="U14" i="9"/>
  <c r="T14" i="9"/>
  <c r="S14" i="9"/>
  <c r="R14" i="9"/>
  <c r="Q14" i="9"/>
  <c r="P14" i="9"/>
  <c r="O14" i="9"/>
  <c r="N14" i="9"/>
  <c r="Y13" i="9"/>
  <c r="X13" i="9"/>
  <c r="W13" i="9"/>
  <c r="V13" i="9"/>
  <c r="U13" i="9"/>
  <c r="T13" i="9"/>
  <c r="S13" i="9"/>
  <c r="R13" i="9"/>
  <c r="Q13" i="9"/>
  <c r="P13" i="9"/>
  <c r="O13" i="9"/>
  <c r="N13" i="9"/>
  <c r="Y12" i="9"/>
  <c r="X12" i="9"/>
  <c r="W12" i="9"/>
  <c r="V12" i="9"/>
  <c r="U12" i="9"/>
  <c r="T12" i="9"/>
  <c r="S12" i="9"/>
  <c r="R12" i="9"/>
  <c r="Q12" i="9"/>
  <c r="P12" i="9"/>
  <c r="O12" i="9"/>
  <c r="N12" i="9"/>
  <c r="Y11" i="9"/>
  <c r="X11" i="9"/>
  <c r="W11" i="9"/>
  <c r="V11" i="9"/>
  <c r="U11" i="9"/>
  <c r="T11" i="9"/>
  <c r="S11" i="9"/>
  <c r="R11" i="9"/>
  <c r="Q11" i="9"/>
  <c r="P11" i="9"/>
  <c r="O11" i="9"/>
  <c r="N11" i="9"/>
  <c r="Y10" i="9"/>
  <c r="X10" i="9"/>
  <c r="W10" i="9"/>
  <c r="V10" i="9"/>
  <c r="U10" i="9"/>
  <c r="T10" i="9"/>
  <c r="S10" i="9"/>
  <c r="R10" i="9"/>
  <c r="Q10" i="9"/>
  <c r="P10" i="9"/>
  <c r="O10" i="9"/>
  <c r="N10" i="9"/>
  <c r="Y9" i="9"/>
  <c r="X9" i="9"/>
  <c r="W9" i="9"/>
  <c r="V9" i="9"/>
  <c r="U9" i="9"/>
  <c r="T9" i="9"/>
  <c r="S9" i="9"/>
  <c r="R9" i="9"/>
  <c r="Q9" i="9"/>
  <c r="P9" i="9"/>
  <c r="O9" i="9"/>
  <c r="N9" i="9"/>
  <c r="Y8" i="9"/>
  <c r="X8" i="9"/>
  <c r="W8" i="9"/>
  <c r="V8" i="9"/>
  <c r="U8" i="9"/>
  <c r="T8" i="9"/>
  <c r="S8" i="9"/>
  <c r="R8" i="9"/>
  <c r="Q8" i="9"/>
  <c r="P8" i="9"/>
  <c r="O8" i="9"/>
  <c r="N8" i="9"/>
  <c r="Y7" i="9"/>
  <c r="X7" i="9"/>
  <c r="W7" i="9"/>
  <c r="V7" i="9"/>
  <c r="U7" i="9"/>
  <c r="T7" i="9"/>
  <c r="S7" i="9"/>
  <c r="R7" i="9"/>
  <c r="Q7" i="9"/>
  <c r="P7" i="9"/>
  <c r="O7" i="9"/>
  <c r="N7" i="9"/>
  <c r="Y6" i="9"/>
  <c r="X6" i="9"/>
  <c r="W6" i="9"/>
  <c r="V6" i="9"/>
  <c r="U6" i="9"/>
  <c r="T6" i="9"/>
  <c r="S6" i="9"/>
  <c r="R6" i="9"/>
  <c r="Q6" i="9"/>
  <c r="P6" i="9"/>
  <c r="O6" i="9"/>
  <c r="N6" i="9"/>
  <c r="Y5" i="9"/>
  <c r="X5" i="9"/>
  <c r="W5" i="9"/>
  <c r="V5" i="9"/>
  <c r="U5" i="9"/>
  <c r="T5" i="9"/>
  <c r="S5" i="9"/>
  <c r="R5" i="9"/>
  <c r="Q5" i="9"/>
  <c r="P5" i="9"/>
  <c r="O5" i="9"/>
  <c r="N5" i="9"/>
  <c r="Y4" i="9"/>
  <c r="X4" i="9"/>
  <c r="W4" i="9"/>
  <c r="V4" i="9"/>
  <c r="U4" i="9"/>
  <c r="T4" i="9"/>
  <c r="S4" i="9"/>
  <c r="R4" i="9"/>
  <c r="Q4" i="9"/>
  <c r="P4" i="9"/>
  <c r="O4" i="9"/>
  <c r="N4" i="9"/>
  <c r="Y3" i="9"/>
  <c r="X3" i="9"/>
  <c r="W3" i="9"/>
  <c r="V3" i="9"/>
  <c r="U3" i="9"/>
  <c r="T3" i="9"/>
  <c r="S3" i="9"/>
  <c r="R3" i="9"/>
  <c r="Q3" i="9"/>
  <c r="P3" i="9"/>
  <c r="O3" i="9"/>
  <c r="N3" i="9"/>
  <c r="B30" i="8" l="1"/>
  <c r="B13" i="8"/>
  <c r="B14" i="8"/>
  <c r="B15" i="8"/>
  <c r="B16" i="8"/>
  <c r="B17" i="8"/>
  <c r="B18" i="8"/>
  <c r="B19" i="8"/>
  <c r="B35" i="8"/>
  <c r="B34" i="8"/>
  <c r="B29" i="8"/>
  <c r="B28" i="8"/>
  <c r="B24" i="8"/>
  <c r="B23" i="8"/>
  <c r="B12" i="8"/>
  <c r="B11" i="8"/>
  <c r="B10" i="8"/>
  <c r="B9" i="8"/>
  <c r="B8" i="8"/>
  <c r="B7" i="8"/>
  <c r="B6" i="8"/>
  <c r="B5" i="8"/>
  <c r="B4" i="8"/>
  <c r="B3" i="8"/>
  <c r="B2" i="8"/>
  <c r="B21" i="7"/>
  <c r="B20" i="7"/>
  <c r="B19" i="7"/>
  <c r="B37" i="7"/>
  <c r="B32" i="7"/>
  <c r="B31" i="7"/>
  <c r="B36" i="7"/>
  <c r="B30" i="7"/>
  <c r="B26" i="7"/>
  <c r="B25" i="7"/>
  <c r="B18" i="7"/>
  <c r="B17" i="7"/>
  <c r="B16" i="7"/>
  <c r="B12" i="7"/>
  <c r="B11" i="7"/>
  <c r="B10" i="7"/>
  <c r="B9" i="7"/>
  <c r="B8" i="7"/>
  <c r="B7" i="7"/>
  <c r="B6" i="7"/>
  <c r="B5" i="7"/>
  <c r="B4" i="7"/>
  <c r="B3" i="7"/>
  <c r="B2" i="7"/>
  <c r="B37" i="6"/>
  <c r="B25" i="6"/>
  <c r="B34" i="6"/>
  <c r="B30" i="6"/>
  <c r="B29" i="6"/>
  <c r="B24" i="6"/>
  <c r="B23" i="6"/>
  <c r="B19" i="6"/>
  <c r="B18" i="6"/>
  <c r="B17" i="6"/>
  <c r="B16" i="6"/>
  <c r="B15" i="6"/>
  <c r="B14" i="6"/>
  <c r="B13" i="6"/>
  <c r="B12" i="6"/>
  <c r="B11" i="6"/>
  <c r="B10" i="6"/>
  <c r="B9" i="6"/>
  <c r="B8" i="6"/>
  <c r="B7" i="6"/>
  <c r="B6" i="6"/>
  <c r="B5" i="6"/>
  <c r="B4" i="6"/>
  <c r="B3" i="6"/>
  <c r="B2" i="6"/>
  <c r="B22" i="5"/>
  <c r="B28" i="5"/>
  <c r="B35" i="5"/>
  <c r="B34" i="5"/>
  <c r="B33" i="5"/>
  <c r="B32" i="5"/>
  <c r="B27" i="5"/>
  <c r="B26" i="5"/>
  <c r="B21" i="5"/>
  <c r="B20" i="5"/>
  <c r="B19" i="5"/>
  <c r="B18" i="5"/>
  <c r="B14" i="5"/>
  <c r="B13" i="5"/>
  <c r="B12" i="5"/>
  <c r="B8" i="5"/>
  <c r="B7" i="5"/>
  <c r="B6" i="5"/>
  <c r="B5" i="5"/>
  <c r="B4" i="5"/>
  <c r="B3" i="5"/>
  <c r="B2" i="5"/>
  <c r="B19" i="4"/>
  <c r="B18" i="4"/>
  <c r="B17" i="4"/>
  <c r="B16" i="4"/>
  <c r="B15" i="4"/>
  <c r="B26" i="4"/>
  <c r="B39" i="4"/>
  <c r="B36" i="4"/>
  <c r="B37" i="4"/>
  <c r="B38" i="4"/>
  <c r="B32" i="4"/>
  <c r="B31" i="4"/>
  <c r="B25" i="4"/>
  <c r="B24" i="4"/>
  <c r="B23" i="4"/>
  <c r="B14" i="4"/>
  <c r="B13" i="4"/>
  <c r="B9" i="4"/>
  <c r="B8" i="4"/>
  <c r="B7" i="4"/>
  <c r="B6" i="4"/>
  <c r="B5" i="4"/>
  <c r="B4" i="4"/>
  <c r="B3" i="4"/>
  <c r="B2" i="4"/>
  <c r="B13" i="3"/>
  <c r="B14" i="3"/>
  <c r="B15" i="3"/>
  <c r="B16" i="3"/>
  <c r="B17" i="3"/>
  <c r="B18" i="3"/>
  <c r="B19" i="3"/>
  <c r="B35" i="3"/>
  <c r="B34" i="3"/>
  <c r="B30" i="3"/>
  <c r="B29" i="3"/>
  <c r="B28" i="3"/>
  <c r="B24" i="3"/>
  <c r="B23" i="3"/>
  <c r="B12" i="3"/>
  <c r="B11" i="3"/>
  <c r="B10" i="3"/>
  <c r="B9" i="3"/>
  <c r="B8" i="3"/>
  <c r="B7" i="3"/>
  <c r="B6" i="3"/>
  <c r="B5" i="3"/>
  <c r="B4" i="3"/>
  <c r="B3" i="3"/>
  <c r="B2" i="3"/>
  <c r="B26" i="2"/>
  <c r="B40" i="2"/>
  <c r="B39" i="2"/>
  <c r="B38" i="2"/>
  <c r="B33" i="2"/>
  <c r="B34" i="2"/>
  <c r="B32" i="2"/>
  <c r="B27" i="2"/>
  <c r="B28" i="2"/>
  <c r="B18" i="2"/>
  <c r="B19" i="2"/>
  <c r="B20" i="2"/>
  <c r="B21" i="2"/>
  <c r="B22" i="2"/>
  <c r="B17" i="2"/>
  <c r="B16" i="2"/>
  <c r="B3" i="2"/>
  <c r="B4" i="2"/>
  <c r="B5" i="2"/>
  <c r="B6" i="2"/>
  <c r="B7" i="2"/>
  <c r="B8" i="2"/>
  <c r="B9" i="2"/>
  <c r="B10" i="2"/>
  <c r="B11" i="2"/>
  <c r="B12" i="2"/>
  <c r="B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Miroslav Sala</author>
  </authors>
  <commentList>
    <comment ref="J2" authorId="0" shapeId="0" xr:uid="{DC299F58-C233-487D-853A-0FEB412210AF}">
      <text>
        <r>
          <rPr>
            <b/>
            <sz val="9"/>
            <color indexed="81"/>
            <rFont val="Tahoma"/>
            <family val="2"/>
          </rPr>
          <t>Miroslav Sala:</t>
        </r>
        <r>
          <rPr>
            <sz val="9"/>
            <color indexed="81"/>
            <rFont val="Tahoma"/>
            <family val="2"/>
          </rPr>
          <t xml:space="preserve">
Enthusiasts / experts
Boat is matter of status
Own sometimes more boats
Younger people
Like their boats but will switch to new brand next time
</t>
        </r>
      </text>
    </comment>
    <comment ref="K2" authorId="0" shapeId="0" xr:uid="{A416EDE7-F0C0-4929-BE0E-43674EDFA77A}">
      <text>
        <r>
          <rPr>
            <b/>
            <sz val="9"/>
            <color indexed="81"/>
            <rFont val="Tahoma"/>
            <family val="2"/>
          </rPr>
          <t>Miroslav Sala:</t>
        </r>
        <r>
          <rPr>
            <sz val="9"/>
            <color indexed="81"/>
            <rFont val="Tahoma"/>
            <family val="2"/>
          </rPr>
          <t xml:space="preserve">
Beginners
Rely on expert opinion
Lower number of boats on average than population</t>
        </r>
      </text>
    </comment>
    <comment ref="L2" authorId="0" shapeId="0" xr:uid="{B8C95589-8E08-4A5B-98C2-F6F9931A8F9A}">
      <text>
        <r>
          <rPr>
            <b/>
            <sz val="9"/>
            <color indexed="81"/>
            <rFont val="Tahoma"/>
            <family val="2"/>
          </rPr>
          <t>Miroslav Sala:</t>
        </r>
        <r>
          <rPr>
            <sz val="9"/>
            <color indexed="81"/>
            <rFont val="Tahoma"/>
            <family val="2"/>
          </rPr>
          <t xml:space="preserve">
Occassional boaters
Having boat is not matter of status / adventure 
Boat less often during the boating season
Unhappy with boat they bought
(wouldn't recommend it further)</t>
        </r>
      </text>
    </comment>
    <comment ref="M2" authorId="0" shapeId="0" xr:uid="{926A7CD1-8EAA-480A-A51B-08910F1AE4FC}">
      <text>
        <r>
          <rPr>
            <b/>
            <sz val="9"/>
            <color indexed="81"/>
            <rFont val="Tahoma"/>
            <family val="2"/>
          </rPr>
          <t>Miroslav Sala:</t>
        </r>
        <r>
          <rPr>
            <sz val="9"/>
            <color indexed="81"/>
            <rFont val="Tahoma"/>
            <family val="2"/>
          </rPr>
          <t xml:space="preserve">
Occassional boaters that like to look stylish</t>
        </r>
      </text>
    </comment>
    <comment ref="N2" authorId="0" shapeId="0" xr:uid="{71E4C10A-7742-466B-A4A2-7ABEF7C168AD}">
      <text>
        <r>
          <rPr>
            <b/>
            <sz val="9"/>
            <color indexed="81"/>
            <rFont val="Tahoma"/>
            <family val="2"/>
          </rPr>
          <t>Miroslav Sala:</t>
        </r>
        <r>
          <rPr>
            <sz val="9"/>
            <color indexed="81"/>
            <rFont val="Tahoma"/>
            <family val="2"/>
          </rPr>
          <t xml:space="preserve">
Older customers beginners
Do not put weight on status
Don't want latest and greatest or powerful boat
</t>
        </r>
      </text>
    </comment>
    <comment ref="O2" authorId="0" shapeId="0" xr:uid="{39540CA5-B3AD-45C6-87AD-BA59C4BCCC4E}">
      <text>
        <r>
          <rPr>
            <b/>
            <sz val="9"/>
            <color indexed="81"/>
            <rFont val="Tahoma"/>
            <family val="2"/>
          </rPr>
          <t>Miroslav Sala:</t>
        </r>
        <r>
          <rPr>
            <sz val="9"/>
            <color indexed="81"/>
            <rFont val="Tahoma"/>
            <family val="2"/>
          </rPr>
          <t xml:space="preserve">
Older experienced boaters currently having more boats on average than population average
Don't pay attention to speed or status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Miroslav Sala</author>
  </authors>
  <commentList>
    <comment ref="I2" authorId="0" shapeId="0" xr:uid="{BA45E7E4-6106-43D0-8B2C-E93F462AE474}">
      <text>
        <r>
          <rPr>
            <b/>
            <sz val="9"/>
            <color indexed="81"/>
            <rFont val="Tahoma"/>
            <family val="2"/>
          </rPr>
          <t>Miroslav Sala:</t>
        </r>
        <r>
          <rPr>
            <sz val="9"/>
            <color indexed="81"/>
            <rFont val="Tahoma"/>
            <family val="2"/>
          </rPr>
          <t xml:space="preserve">
Enthusiasts / experts / status seekers
Boat is matter of status
Like speed, brands that impress, horse power
Like boating alone but also socialize with friends and family
Own sometimes more boats
Younger people
Like their boats but will switch to new brand next time
</t>
        </r>
      </text>
    </comment>
    <comment ref="J2" authorId="0" shapeId="0" xr:uid="{00103982-D038-467C-95FD-670F781A255D}">
      <text>
        <r>
          <rPr>
            <b/>
            <sz val="9"/>
            <color indexed="81"/>
            <rFont val="Tahoma"/>
            <family val="2"/>
          </rPr>
          <t>Miroslav Sala:</t>
        </r>
        <r>
          <rPr>
            <sz val="9"/>
            <color indexed="81"/>
            <rFont val="Tahoma"/>
            <family val="2"/>
          </rPr>
          <t xml:space="preserve">
Again status seekers but not that enthusiastic</t>
        </r>
      </text>
    </comment>
    <comment ref="K2" authorId="0" shapeId="0" xr:uid="{3D08F05C-3A9C-4C94-8916-C720CEA6D114}">
      <text>
        <r>
          <rPr>
            <b/>
            <sz val="9"/>
            <color indexed="81"/>
            <rFont val="Tahoma"/>
            <family val="2"/>
          </rPr>
          <t>Miroslav Sala:</t>
        </r>
        <r>
          <rPr>
            <sz val="9"/>
            <color indexed="81"/>
            <rFont val="Tahoma"/>
            <family val="2"/>
          </rPr>
          <t xml:space="preserve">
Older dudes that don't have boat as status thing, have other things to do </t>
        </r>
      </text>
    </comment>
    <comment ref="L2" authorId="0" shapeId="0" xr:uid="{862029AE-2FE3-46BC-8653-CEDDFC3BA4A8}">
      <text>
        <r>
          <rPr>
            <b/>
            <sz val="9"/>
            <color indexed="81"/>
            <rFont val="Tahoma"/>
            <family val="2"/>
          </rPr>
          <t>Miroslav Sala:</t>
        </r>
        <r>
          <rPr>
            <sz val="9"/>
            <color indexed="81"/>
            <rFont val="Tahoma"/>
            <family val="2"/>
          </rPr>
          <t xml:space="preserve">
Beginners, rely on expert advice, happy with their choice, not that often on the boat yet</t>
        </r>
      </text>
    </comment>
    <comment ref="M2" authorId="0" shapeId="0" xr:uid="{DB8417CF-CDB2-4E69-A33C-ACF299466082}">
      <text>
        <r>
          <rPr>
            <b/>
            <sz val="9"/>
            <color indexed="81"/>
            <rFont val="Tahoma"/>
            <family val="2"/>
          </rPr>
          <t>Miroslav Sala:</t>
        </r>
        <r>
          <rPr>
            <sz val="9"/>
            <color indexed="81"/>
            <rFont val="Tahoma"/>
            <family val="2"/>
          </rPr>
          <t xml:space="preserve">
Enthusiasts that do not seek status, but are often on the boat</t>
        </r>
      </text>
    </comment>
  </commentList>
</comments>
</file>

<file path=xl/sharedStrings.xml><?xml version="1.0" encoding="utf-8"?>
<sst xmlns="http://schemas.openxmlformats.org/spreadsheetml/2006/main" count="9676" uniqueCount="325">
  <si>
    <t>When buying a boat, I do a lot of shopping around and visit multiple dealers</t>
  </si>
  <si>
    <t>When buying a bot, getting the lowest P is more important than brand</t>
  </si>
  <si>
    <t>The brand of the boat I buy says a lot about who I am</t>
  </si>
  <si>
    <t>I only consider buying a boat from a reputable brand</t>
  </si>
  <si>
    <t>I am willing to pay a premium for a brand with a reputation for high quality</t>
  </si>
  <si>
    <t>Owning a boat is a way of rewarding myself for hard work</t>
  </si>
  <si>
    <t>Owning a boat gives me a sense of achievement</t>
  </si>
  <si>
    <t>When buying a boat, functionality is more important than style</t>
  </si>
  <si>
    <t>I see my boat as status symbol</t>
  </si>
  <si>
    <t>When buying a boat, I rely more on expert opinion than my own</t>
  </si>
  <si>
    <t>I tend to perform minor boat repairs and maintenance on my own</t>
  </si>
  <si>
    <t>When it comes to boating, I tend to prefer a basic boat with little to no frills</t>
  </si>
  <si>
    <t>When buying accessories for my boat, I tend to buy the latest and greatest</t>
  </si>
  <si>
    <t>When buying a boat, I tend to buy the latest and greatest</t>
  </si>
  <si>
    <t>I am serious about the technology on my boat</t>
  </si>
  <si>
    <t>People tend to come to me for advice about boating</t>
  </si>
  <si>
    <t>I consider myself more knowledgeable about boating than the rest of my boating peers</t>
  </si>
  <si>
    <t>Boating gives me a feeling of adventure</t>
  </si>
  <si>
    <t>Boating allows me to experience nature</t>
  </si>
  <si>
    <t>When not on my boat, I often find myself doing boating related activities</t>
  </si>
  <si>
    <t>Boating helps me escape from everyday life and relax</t>
  </si>
  <si>
    <t>Boating helps me stay active</t>
  </si>
  <si>
    <t>Boating allows me to excel in the sports that I am passionate about</t>
  </si>
  <si>
    <t>Boating gives me an outlet to socialize with family/friends</t>
  </si>
  <si>
    <t>Being in charge of my boat is what is most important to me</t>
  </si>
  <si>
    <t>Having a powerful boat is what is most important to me</t>
  </si>
  <si>
    <t>Boating is the number one thing I do with my spare time</t>
  </si>
  <si>
    <t>Boating is my true passion in life</t>
  </si>
  <si>
    <t>Boating is one of many things I do in my spare time</t>
  </si>
  <si>
    <t>Component 4 - Experts</t>
  </si>
  <si>
    <t>Component 5 - Price conscious</t>
  </si>
  <si>
    <t>Component 1 - Early birds/crazy about boats/ experts</t>
  </si>
  <si>
    <t>Component 2 - Getting away with boat</t>
  </si>
  <si>
    <t>Component 3 - brand lovers</t>
  </si>
  <si>
    <t xml:space="preserve">Component 1 - </t>
  </si>
  <si>
    <t>Component 3 - price conscious</t>
  </si>
  <si>
    <t xml:space="preserve">Component 4 - </t>
  </si>
  <si>
    <t xml:space="preserve">Component 3 - </t>
  </si>
  <si>
    <t>Component 4 - Brand/Quality</t>
  </si>
  <si>
    <t>Component 1 - Getting away with boat</t>
  </si>
  <si>
    <t>Component 2 - Expert</t>
  </si>
  <si>
    <t>Component 3 - High quality + brand</t>
  </si>
  <si>
    <t>Component 4 - Status</t>
  </si>
  <si>
    <t xml:space="preserve">Component 5 - </t>
  </si>
  <si>
    <t>Component 5 - Expertise</t>
  </si>
  <si>
    <t>Component 4 - Price conscious</t>
  </si>
  <si>
    <t>Component 3 - Brand</t>
  </si>
  <si>
    <t>Component 3 - Price conscious</t>
  </si>
  <si>
    <t>Component 4 - Expertise</t>
  </si>
  <si>
    <t>Comp.1</t>
  </si>
  <si>
    <t>Comp.2</t>
  </si>
  <si>
    <t>Comp.3</t>
  </si>
  <si>
    <t>Comp.4</t>
  </si>
  <si>
    <t>Comp.5</t>
  </si>
  <si>
    <t>Comp.6</t>
  </si>
  <si>
    <t>Comp.7</t>
  </si>
  <si>
    <t>Comp.8</t>
  </si>
  <si>
    <t>Comp.9</t>
  </si>
  <si>
    <t>Comp.10</t>
  </si>
  <si>
    <t>Comp.11</t>
  </si>
  <si>
    <t>Comp.12</t>
  </si>
  <si>
    <t>RANKComp.11</t>
  </si>
  <si>
    <t>RANKComp.12</t>
  </si>
  <si>
    <t>QUESTION</t>
  </si>
  <si>
    <t>METHOD</t>
  </si>
  <si>
    <t>VARIANCE - VARIMAX - 70%</t>
  </si>
  <si>
    <t>Sum of RANKComp.1</t>
  </si>
  <si>
    <t>Grand Total</t>
  </si>
  <si>
    <t>Sum of RANKComp.2</t>
  </si>
  <si>
    <t>Sum of RANKComp.3</t>
  </si>
  <si>
    <t>Sum of RANKComp.4</t>
  </si>
  <si>
    <t>Sum of RANKComp.5</t>
  </si>
  <si>
    <t>Sum of RANKComp.6</t>
  </si>
  <si>
    <t>Sum of RANKComp.7</t>
  </si>
  <si>
    <t>Sum of RANKComp.8</t>
  </si>
  <si>
    <t>Sum of RANKComp.9</t>
  </si>
  <si>
    <t>Sum of RANKComp.10</t>
  </si>
  <si>
    <t>Sum of RANKComp.11</t>
  </si>
  <si>
    <t>Sum of RANKComp.12</t>
  </si>
  <si>
    <t>NA</t>
  </si>
  <si>
    <t>Boat Enthusiast?</t>
  </si>
  <si>
    <t>Early adopter?</t>
  </si>
  <si>
    <t>Adventurer?</t>
  </si>
  <si>
    <t>Do you value Status?</t>
  </si>
  <si>
    <t>Cheapo?</t>
  </si>
  <si>
    <t>could add up to cheapo / DIY</t>
  </si>
  <si>
    <t>Status?</t>
  </si>
  <si>
    <t>Do you rely on expert opinion?</t>
  </si>
  <si>
    <t>Possibly cheapo of geek</t>
  </si>
  <si>
    <t>Cheapo</t>
  </si>
  <si>
    <t>Cheapo possibly or deal hunter</t>
  </si>
  <si>
    <t>VARIMAX</t>
  </si>
  <si>
    <t>Q1.28</t>
  </si>
  <si>
    <t>Q1.14</t>
  </si>
  <si>
    <t>Q1.20</t>
  </si>
  <si>
    <t>Q1.27</t>
  </si>
  <si>
    <t>Q1.3</t>
  </si>
  <si>
    <t>Q1.7</t>
  </si>
  <si>
    <t>Q1.15</t>
  </si>
  <si>
    <t>Q1.16</t>
  </si>
  <si>
    <t>Q1.13</t>
  </si>
  <si>
    <t>Q1.25</t>
  </si>
  <si>
    <t>Q1.6</t>
  </si>
  <si>
    <t>Q1.26</t>
  </si>
  <si>
    <t>Q1.9</t>
  </si>
  <si>
    <t>Q1.17</t>
  </si>
  <si>
    <t>Q1.22</t>
  </si>
  <si>
    <t>Q1.23</t>
  </si>
  <si>
    <t>Q1.5</t>
  </si>
  <si>
    <t>Q1.18</t>
  </si>
  <si>
    <t>Q1.24</t>
  </si>
  <si>
    <t>Q1.21</t>
  </si>
  <si>
    <t>Q1.19</t>
  </si>
  <si>
    <t>Q1.29</t>
  </si>
  <si>
    <t>Q1.4</t>
  </si>
  <si>
    <t>Q1.1</t>
  </si>
  <si>
    <t>Q1.11</t>
  </si>
  <si>
    <t>Q1.10</t>
  </si>
  <si>
    <t>Q1.8</t>
  </si>
  <si>
    <t>Q1.2</t>
  </si>
  <si>
    <t>Q1.12</t>
  </si>
  <si>
    <t>QUANTIMAX</t>
  </si>
  <si>
    <t>PROMAX</t>
  </si>
  <si>
    <t>Oblimin</t>
  </si>
  <si>
    <t>simplimax</t>
  </si>
  <si>
    <t>Cluster</t>
  </si>
  <si>
    <t>OVERSIMPLIFIED</t>
  </si>
  <si>
    <t>Blend with adventurer and call the guy "escaper from routine"</t>
  </si>
  <si>
    <t>Escaper</t>
  </si>
  <si>
    <t>Enthusiast</t>
  </si>
  <si>
    <t>Status</t>
  </si>
  <si>
    <t>Do you have boat expertize?</t>
  </si>
  <si>
    <t>Deal hunter</t>
  </si>
  <si>
    <t>Brand importance vs Price conscious</t>
  </si>
  <si>
    <t>Brand aware</t>
  </si>
  <si>
    <t>DIY</t>
  </si>
  <si>
    <t>Tech geek</t>
  </si>
  <si>
    <t>Brand consciousness</t>
  </si>
  <si>
    <t>Brand preference</t>
  </si>
  <si>
    <t>Not enthusiast</t>
  </si>
  <si>
    <t>Cheapo2</t>
  </si>
  <si>
    <t>Expert</t>
  </si>
  <si>
    <t>Expert opinion?</t>
  </si>
  <si>
    <t>Style2</t>
  </si>
  <si>
    <t>Enthusiast / passionate about boats</t>
  </si>
  <si>
    <t>include</t>
  </si>
  <si>
    <t>Price conscious</t>
  </si>
  <si>
    <t>Q2</t>
  </si>
  <si>
    <t>Q2.Cluster</t>
  </si>
  <si>
    <t>Q3</t>
  </si>
  <si>
    <t>Q4</t>
  </si>
  <si>
    <t>Q5</t>
  </si>
  <si>
    <t>Q6</t>
  </si>
  <si>
    <t>Q7.1</t>
  </si>
  <si>
    <t>Q7.2</t>
  </si>
  <si>
    <t>Q7.3</t>
  </si>
  <si>
    <t>Q7.4</t>
  </si>
  <si>
    <t>Q8</t>
  </si>
  <si>
    <t>Q9.1</t>
  </si>
  <si>
    <t>Q9.2</t>
  </si>
  <si>
    <t>Q9.3</t>
  </si>
  <si>
    <t>Q9.4</t>
  </si>
  <si>
    <t>Q9.5</t>
  </si>
  <si>
    <t>Q10</t>
  </si>
  <si>
    <t>Q11</t>
  </si>
  <si>
    <t>Q12</t>
  </si>
  <si>
    <t>Q13</t>
  </si>
  <si>
    <t>Q14</t>
  </si>
  <si>
    <t>Q15</t>
  </si>
  <si>
    <t>Q16</t>
  </si>
  <si>
    <t>Q16.1</t>
  </si>
  <si>
    <t>Q16.2</t>
  </si>
  <si>
    <t>Q16.3</t>
  </si>
  <si>
    <t>Q16.4</t>
  </si>
  <si>
    <t>Q16.5</t>
  </si>
  <si>
    <t>Q16.6</t>
  </si>
  <si>
    <t>Q16.7</t>
  </si>
  <si>
    <t>Q16.8</t>
  </si>
  <si>
    <t>Q16.9</t>
  </si>
  <si>
    <t>Q16.10</t>
  </si>
  <si>
    <t>Q16.11</t>
  </si>
  <si>
    <t>Q16.12</t>
  </si>
  <si>
    <t>Q16.13</t>
  </si>
  <si>
    <t>Q16.14</t>
  </si>
  <si>
    <t>Q16.15</t>
  </si>
  <si>
    <t>Q16.16</t>
  </si>
  <si>
    <t>Q16.17</t>
  </si>
  <si>
    <t>Q16.18</t>
  </si>
  <si>
    <t>Q16.19</t>
  </si>
  <si>
    <t>Q16.20</t>
  </si>
  <si>
    <t>Q16.21</t>
  </si>
  <si>
    <t>Q16.22</t>
  </si>
  <si>
    <t>Q16.23</t>
  </si>
  <si>
    <t>Q16.24</t>
  </si>
  <si>
    <t>Q16.25</t>
  </si>
  <si>
    <t>Q16.26</t>
  </si>
  <si>
    <t>Q16.27</t>
  </si>
  <si>
    <t>Q17</t>
  </si>
  <si>
    <t>Q18</t>
  </si>
  <si>
    <t>Segment1</t>
  </si>
  <si>
    <t>Segment2</t>
  </si>
  <si>
    <t>Segment3</t>
  </si>
  <si>
    <t>Segment4</t>
  </si>
  <si>
    <t>Segment5</t>
  </si>
  <si>
    <t>Segment6</t>
  </si>
  <si>
    <t>ClusterProfileRatios</t>
  </si>
  <si>
    <t>How many powerboats do you currently own?</t>
  </si>
  <si>
    <t>How likely are you to buy a new boat in the future?</t>
  </si>
  <si>
    <t>How much did yo upay for your boat?</t>
  </si>
  <si>
    <t>Horse power of your boat's engine?</t>
  </si>
  <si>
    <t>Length of you boat?</t>
  </si>
  <si>
    <t>Boating alone</t>
  </si>
  <si>
    <t>Boating with spouse</t>
  </si>
  <si>
    <t>Boating with my family incl kids</t>
  </si>
  <si>
    <t>Boating with my friends</t>
  </si>
  <si>
    <t>Your experience regarding boating?</t>
  </si>
  <si>
    <t>Fishing</t>
  </si>
  <si>
    <t>Swimming</t>
  </si>
  <si>
    <t>Cruising</t>
  </si>
  <si>
    <t>Watersports?</t>
  </si>
  <si>
    <t>Entertaining / socializing when boating?</t>
  </si>
  <si>
    <t>How many days during boating season do you use your boat?</t>
  </si>
  <si>
    <t>Marital status? - cannot be really compared</t>
  </si>
  <si>
    <t>Current employment status?</t>
  </si>
  <si>
    <t>Your age?</t>
  </si>
  <si>
    <t>Brand equity - has best in class customer service</t>
  </si>
  <si>
    <t>Brand equity - boats with superior interior</t>
  </si>
  <si>
    <t>Brand equity - boats with superior exterior</t>
  </si>
  <si>
    <t>Brand equity - offers boats that look cool</t>
  </si>
  <si>
    <t>Brand equity -is brand that gives me peace of mind</t>
  </si>
  <si>
    <t>Brand equity - is brand that impresses others</t>
  </si>
  <si>
    <t xml:space="preserve">How likely to recommend that brand? </t>
  </si>
  <si>
    <t>Would you buy that brand again if oyu were to buy boat again?</t>
  </si>
  <si>
    <t>Household income</t>
  </si>
  <si>
    <t>Anglers</t>
  </si>
  <si>
    <t>Gear Guys - young, interested in tech &amp; specs</t>
  </si>
  <si>
    <t>Merry Mates - boating = family</t>
  </si>
  <si>
    <t>Luxurious Leisurers = boat is status symbol</t>
  </si>
  <si>
    <t>Water Weekenders - outing with family and friends</t>
  </si>
  <si>
    <t>Escape Seekers</t>
  </si>
  <si>
    <t>Nautical Natives - boating experts</t>
  </si>
  <si>
    <t>Personas:</t>
  </si>
  <si>
    <t>Status seeker</t>
  </si>
  <si>
    <t>Brand aware guy</t>
  </si>
  <si>
    <t>Personas</t>
  </si>
  <si>
    <t xml:space="preserve">c(19,10,28,5,9,11,2) </t>
  </si>
  <si>
    <t>c(22,10,28,5,9,11,2)</t>
  </si>
  <si>
    <t>c(20,10,29,3,11)</t>
  </si>
  <si>
    <t>cheapos beginners</t>
  </si>
  <si>
    <t>c(28,25,27,14,20,8,3,12,13,5,9,11,2,30,24)</t>
  </si>
  <si>
    <t>Makes me feel I made smart decision</t>
  </si>
  <si>
    <t>is low price</t>
  </si>
  <si>
    <t>Offers the best boat for water sports</t>
  </si>
  <si>
    <t>best boat for socializing</t>
  </si>
  <si>
    <t>c(22,10,28,5,9,11,2,16,25,24)</t>
  </si>
  <si>
    <t>Status guy</t>
  </si>
  <si>
    <t>?</t>
  </si>
  <si>
    <t>c(28,14,20,8,3,12,5,11,9,2,30,25)</t>
  </si>
  <si>
    <t>Old antistatus guys</t>
  </si>
  <si>
    <t>Gender</t>
  </si>
  <si>
    <t>Heritage of the brand</t>
  </si>
  <si>
    <t>Beginner and more likely woman</t>
  </si>
  <si>
    <t>Experts</t>
  </si>
  <si>
    <t>Status &amp; passionate guy</t>
  </si>
  <si>
    <t>Beginner</t>
  </si>
  <si>
    <t>Status &amp; enthusiast</t>
  </si>
  <si>
    <t>Ocassionals unhappy</t>
  </si>
  <si>
    <t xml:space="preserve">Expert </t>
  </si>
  <si>
    <t>Older guys</t>
  </si>
  <si>
    <t>Older, a bit expert, anti status guy</t>
  </si>
  <si>
    <t>c(28,19,15,8,5,12,11,9,2,30)</t>
  </si>
  <si>
    <t>Old grumpy experts</t>
  </si>
  <si>
    <t>Beginner enthusiast</t>
  </si>
  <si>
    <t>Beginner unhappy</t>
  </si>
  <si>
    <t>https://tevgeniou.github.io/Data_Analytics_Case_MarketSegmentation_LuxuryGoods/doc/Report.html</t>
  </si>
  <si>
    <t>c(28,14,20,8,13,12,11,2,5,9,30,25)</t>
  </si>
  <si>
    <t>Older anti-status guys</t>
  </si>
  <si>
    <t>Status guys price sensitive</t>
  </si>
  <si>
    <t>Status guy not price sensitive</t>
  </si>
  <si>
    <t>Ocassional</t>
  </si>
  <si>
    <t>Passion &amp; status</t>
  </si>
  <si>
    <t>Status only</t>
  </si>
  <si>
    <t>Status &amp; Enthusiast</t>
  </si>
  <si>
    <t>Ocassionals</t>
  </si>
  <si>
    <t>Status &amp; non enthusiasts</t>
  </si>
  <si>
    <t>c(22,10,28,5,9,11)</t>
  </si>
  <si>
    <t>Status expert cheapo</t>
  </si>
  <si>
    <t>Status &amp; non-cheapo</t>
  </si>
  <si>
    <t>Anti status enthusiast</t>
  </si>
  <si>
    <t>Antistatus non enthusiast</t>
  </si>
  <si>
    <t>Antistatus expert</t>
  </si>
  <si>
    <t>c(22,10,28,5,9)</t>
  </si>
  <si>
    <t>Status non enthusiast</t>
  </si>
  <si>
    <t>Status enthusiast younger</t>
  </si>
  <si>
    <t>Antistatus older guys</t>
  </si>
  <si>
    <t>Cheapo antistatus guy</t>
  </si>
  <si>
    <t>Antistatus enthusiasts</t>
  </si>
  <si>
    <t>A bit status</t>
  </si>
  <si>
    <t>Space for socializing</t>
  </si>
  <si>
    <t>Cool looking, latest and greatest</t>
  </si>
  <si>
    <t>Young looking elegant</t>
  </si>
  <si>
    <t>Premium design and higher price (they are willing to pay)</t>
  </si>
  <si>
    <t>Powerful engine</t>
  </si>
  <si>
    <t>Latest tech</t>
  </si>
  <si>
    <t>For this guys - marketing cooperation with boat stores (brochures / videos) as they rely on expert opinion</t>
  </si>
  <si>
    <t>Not market to these guys</t>
  </si>
  <si>
    <t>Same as segment 1</t>
  </si>
  <si>
    <t>Q17 &amp; 18 - opportunity for us if he doesn't have our boat</t>
  </si>
  <si>
    <t>Smaller space for socializing</t>
  </si>
  <si>
    <t>cheaper</t>
  </si>
  <si>
    <t>slower / less horse power</t>
  </si>
  <si>
    <t>older guys - more conservative looking boats</t>
  </si>
  <si>
    <t>just take out frills (meaning tech)</t>
  </si>
  <si>
    <t>Older anti-status laics</t>
  </si>
  <si>
    <t>Older anti-status experts</t>
  </si>
  <si>
    <t>Sun</t>
  </si>
  <si>
    <t>Mon</t>
  </si>
  <si>
    <t>Tue</t>
  </si>
  <si>
    <t>Wed</t>
  </si>
  <si>
    <t>Thu</t>
  </si>
  <si>
    <t>Fri</t>
  </si>
  <si>
    <t>Sat</t>
  </si>
  <si>
    <t>Hotel</t>
  </si>
  <si>
    <t>Total</t>
  </si>
  <si>
    <t>Airbnb white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</si>
</sst>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3" x14ac:knownFonts="1">
    <font>
      <sz val="11"/>
      <color theme="1"/>
      <name val="Calibri"/>
      <family val="2"/>
      <scheme val="minor"/>
    </font>
    <font>
      <sz val="11"/>
      <color theme="0"/>
      <name val="Calibri"/>
      <family val="2"/>
      <scheme val="minor"/>
    </font>
    <font>
      <b/>
      <sz val="7"/>
      <color rgb="FF000000"/>
      <name val="Segoe UI"/>
      <family val="2"/>
    </font>
    <font>
      <sz val="7"/>
      <color theme="1"/>
      <name val="Segoe UI"/>
      <family val="2"/>
    </font>
    <font>
      <i/>
      <sz val="7"/>
      <color rgb="FFB0B0B0"/>
      <name val="Segoe UI"/>
      <family val="2"/>
    </font>
    <font>
      <sz val="11"/>
      <color rgb="FFFF0000"/>
      <name val="Calibri"/>
      <family val="2"/>
      <scheme val="minor"/>
    </font>
    <font>
      <b/>
      <sz val="11"/>
      <color theme="1"/>
      <name val="Calibri"/>
      <family val="2"/>
      <scheme val="minor"/>
    </font>
    <font>
      <sz val="9"/>
      <name val="Segoe UI"/>
      <family val="2"/>
    </font>
    <font>
      <b/>
      <sz val="16"/>
      <color theme="1"/>
      <name val="Calibri"/>
      <family val="2"/>
      <scheme val="minor"/>
    </font>
    <font>
      <b/>
      <sz val="18"/>
      <color theme="1"/>
      <name val="Calibri"/>
      <family val="2"/>
      <scheme val="minor"/>
    </font>
    <font>
      <sz val="7"/>
      <color rgb="FF000000"/>
      <name val="Segoe UI"/>
      <family val="2"/>
    </font>
    <font>
      <sz val="9"/>
      <color indexed="81"/>
      <name val="Tahoma"/>
      <family val="2"/>
    </font>
    <font>
      <b/>
      <sz val="9"/>
      <color indexed="81"/>
      <name val="Tahoma"/>
      <family val="2"/>
    </font>
  </fonts>
  <fills count="10">
    <fill>
      <patternFill patternType="none"/>
    </fill>
    <fill>
      <patternFill patternType="gray125"/>
    </fill>
    <fill>
      <patternFill patternType="solid">
        <fgColor rgb="FF002060"/>
        <bgColor indexed="64"/>
      </patternFill>
    </fill>
    <fill>
      <patternFill patternType="solid">
        <fgColor rgb="FFFF0000"/>
        <bgColor indexed="64"/>
      </patternFill>
    </fill>
    <fill>
      <patternFill patternType="solid">
        <fgColor rgb="FFF4F8F9"/>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rgb="FFFFFFFF"/>
        <bgColor indexed="64"/>
      </patternFill>
    </fill>
  </fills>
  <borders count="2">
    <border>
      <left/>
      <right/>
      <top/>
      <bottom/>
      <diagonal/>
    </border>
    <border>
      <left/>
      <right style="medium">
        <color rgb="FFD6DADC"/>
      </right>
      <top/>
      <bottom style="medium">
        <color rgb="FFD6DADC"/>
      </bottom>
      <diagonal/>
    </border>
  </borders>
  <cellStyleXfs count="1">
    <xf numFmtId="0" fontId="0" fillId="0" borderId="0"/>
  </cellStyleXfs>
  <cellXfs count="31">
    <xf numFmtId="0" fontId="0" fillId="0" borderId="0" xfId="0"/>
    <xf numFmtId="0" fontId="1" fillId="2" borderId="0" xfId="0" applyFont="1" applyFill="1"/>
    <xf numFmtId="0" fontId="0" fillId="3" borderId="0" xfId="0" applyFill="1"/>
    <xf numFmtId="0" fontId="2" fillId="0" borderId="1" xfId="0" applyFont="1" applyBorder="1" applyAlignment="1">
      <alignment horizontal="left" vertical="center" wrapText="1"/>
    </xf>
    <xf numFmtId="0" fontId="2" fillId="4" borderId="1" xfId="0" applyFont="1" applyFill="1" applyBorder="1" applyAlignment="1">
      <alignment horizontal="right" vertical="center"/>
    </xf>
    <xf numFmtId="0" fontId="3" fillId="0" borderId="1" xfId="0" applyFont="1" applyBorder="1" applyAlignment="1">
      <alignment horizontal="right" vertical="center"/>
    </xf>
    <xf numFmtId="0" fontId="4" fillId="0" borderId="1" xfId="0" applyFont="1" applyBorder="1" applyAlignment="1">
      <alignment horizontal="right" vertical="center"/>
    </xf>
    <xf numFmtId="0" fontId="4" fillId="0" borderId="1" xfId="0" applyFont="1" applyBorder="1" applyAlignment="1">
      <alignment vertical="center"/>
    </xf>
    <xf numFmtId="0" fontId="3" fillId="0" borderId="1" xfId="0" applyFont="1" applyBorder="1" applyAlignment="1">
      <alignment vertical="center"/>
    </xf>
    <xf numFmtId="0" fontId="2" fillId="4" borderId="0" xfId="0" applyFont="1" applyFill="1" applyBorder="1" applyAlignment="1">
      <alignment horizontal="right" vertical="center"/>
    </xf>
    <xf numFmtId="0" fontId="0" fillId="0" borderId="0" xfId="0" applyNumberFormat="1"/>
    <xf numFmtId="0" fontId="0" fillId="0" borderId="0" xfId="0" pivotButton="1"/>
    <xf numFmtId="0" fontId="6" fillId="0" borderId="0" xfId="0" applyFont="1"/>
    <xf numFmtId="0" fontId="7" fillId="0" borderId="1" xfId="0" applyFont="1" applyBorder="1" applyAlignment="1">
      <alignment vertical="center"/>
    </xf>
    <xf numFmtId="0" fontId="7" fillId="5" borderId="1" xfId="0" applyFont="1" applyFill="1" applyBorder="1" applyAlignment="1">
      <alignment vertical="center"/>
    </xf>
    <xf numFmtId="0" fontId="8" fillId="0" borderId="0" xfId="0" applyFont="1"/>
    <xf numFmtId="0" fontId="9" fillId="0" borderId="0" xfId="0" applyFont="1"/>
    <xf numFmtId="0" fontId="9" fillId="6" borderId="0" xfId="0" applyFont="1" applyFill="1"/>
    <xf numFmtId="0" fontId="9" fillId="3" borderId="0" xfId="0" applyFont="1" applyFill="1"/>
    <xf numFmtId="0" fontId="7" fillId="7" borderId="1" xfId="0" applyFont="1" applyFill="1" applyBorder="1" applyAlignment="1">
      <alignment vertical="center"/>
    </xf>
    <xf numFmtId="0" fontId="2" fillId="6" borderId="1" xfId="0" applyFont="1" applyFill="1" applyBorder="1" applyAlignment="1">
      <alignment horizontal="left" vertical="center" wrapText="1"/>
    </xf>
    <xf numFmtId="0" fontId="2" fillId="6" borderId="1" xfId="0" applyFont="1" applyFill="1" applyBorder="1" applyAlignment="1">
      <alignment horizontal="right" vertical="center"/>
    </xf>
    <xf numFmtId="0" fontId="10" fillId="9" borderId="1" xfId="0" applyFont="1" applyFill="1" applyBorder="1" applyAlignment="1">
      <alignment horizontal="right" vertical="center"/>
    </xf>
    <xf numFmtId="0" fontId="10" fillId="9" borderId="0" xfId="0" applyFont="1" applyFill="1" applyBorder="1" applyAlignment="1">
      <alignment horizontal="right" vertical="center"/>
    </xf>
    <xf numFmtId="0" fontId="0" fillId="6" borderId="0" xfId="0" applyFill="1"/>
    <xf numFmtId="0" fontId="5" fillId="0" borderId="0" xfId="0" applyFont="1"/>
    <xf numFmtId="0" fontId="0" fillId="8" borderId="0" xfId="0" applyFill="1"/>
    <xf numFmtId="0" fontId="0" fillId="7" borderId="0" xfId="0" applyFill="1"/>
    <xf numFmtId="0" fontId="7" fillId="0" borderId="1" xfId="0" applyFont="1" applyBorder="1" applyAlignment="1">
      <alignment horizontal="right" vertical="center"/>
    </xf>
    <xf numFmtId="165" fontId="6" fillId="0" borderId="0" xfId="0" applyNumberFormat="1" applyFont="1"/>
    <xf numFmtId="2" fontId="0" fillId="0" borderId="0" xfId="0" applyNumberFormat="1"/>
  </cellXfs>
  <cellStyles count="1">
    <cellStyle name="Normal" xfId="0" builtinId="0"/>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cardo Ferreira" refreshedDate="43142.462715856484" createdVersion="6" refreshedVersion="6" minRefreshableVersion="3" recordCount="29" xr:uid="{00000000-000A-0000-FFFF-FFFF05000000}">
  <cacheSource type="worksheet">
    <worksheetSource ref="A2:Y31" sheet="Variance - 70%"/>
  </cacheSource>
  <cacheFields count="26">
    <cacheField name="QUESTION" numFmtId="0">
      <sharedItems containsSemiMixedTypes="0" containsString="0" containsNumber="1" containsInteger="1" minValue="1" maxValue="29" count="29">
        <n v="27"/>
        <n v="28"/>
        <n v="20"/>
        <n v="16"/>
        <n v="23"/>
        <n v="17"/>
        <n v="26"/>
        <n v="22"/>
        <n v="3"/>
        <n v="9"/>
        <n v="13"/>
        <n v="14"/>
        <n v="5"/>
        <n v="25"/>
        <n v="15"/>
        <n v="6"/>
        <n v="7"/>
        <n v="12"/>
        <n v="24"/>
        <n v="11"/>
        <n v="18"/>
        <n v="21"/>
        <n v="29"/>
        <n v="1"/>
        <n v="4"/>
        <n v="19"/>
        <n v="8"/>
        <n v="2"/>
        <n v="10"/>
      </sharedItems>
    </cacheField>
    <cacheField name="Comp.1" numFmtId="0">
      <sharedItems containsString="0" containsBlank="1" containsNumber="1" minValue="0.56000000000000005" maxValue="0.76"/>
    </cacheField>
    <cacheField name="Comp.2" numFmtId="0">
      <sharedItems containsString="0" containsBlank="1" containsNumber="1" minValue="0.63" maxValue="0.75"/>
    </cacheField>
    <cacheField name="Comp.3" numFmtId="0">
      <sharedItems containsString="0" containsBlank="1" containsNumber="1" minValue="0.56999999999999995" maxValue="0.83"/>
    </cacheField>
    <cacheField name="Comp.4" numFmtId="0">
      <sharedItems containsString="0" containsBlank="1" containsNumber="1" minValue="0.55000000000000004" maxValue="0.74"/>
    </cacheField>
    <cacheField name="Comp.5" numFmtId="0">
      <sharedItems containsString="0" containsBlank="1" containsNumber="1" minValue="0.63" maxValue="0.83"/>
    </cacheField>
    <cacheField name="Comp.6" numFmtId="0">
      <sharedItems containsString="0" containsBlank="1" containsNumber="1" minValue="0.88" maxValue="0.88"/>
    </cacheField>
    <cacheField name="Comp.7" numFmtId="0">
      <sharedItems containsString="0" containsBlank="1" containsNumber="1" minValue="0.84" maxValue="0.84"/>
    </cacheField>
    <cacheField name="Comp.8" numFmtId="0">
      <sharedItems containsString="0" containsBlank="1" containsNumber="1" minValue="0.92" maxValue="0.92"/>
    </cacheField>
    <cacheField name="Comp.9" numFmtId="0">
      <sharedItems containsString="0" containsBlank="1" containsNumber="1" minValue="0.95" maxValue="0.95"/>
    </cacheField>
    <cacheField name="Comp.10" numFmtId="0">
      <sharedItems containsString="0" containsBlank="1" containsNumber="1" minValue="0.94" maxValue="0.94"/>
    </cacheField>
    <cacheField name="Comp.11" numFmtId="0">
      <sharedItems containsString="0" containsBlank="1" containsNumber="1" minValue="0.9" maxValue="0.9"/>
    </cacheField>
    <cacheField name="Comp.12" numFmtId="0">
      <sharedItems containsString="0" containsBlank="1" containsNumber="1" minValue="0.77" maxValue="0.77"/>
    </cacheField>
    <cacheField name="RANKComp.1" numFmtId="0">
      <sharedItems containsSemiMixedTypes="0" containsString="0" containsNumber="1" containsInteger="1" minValue="0" maxValue="6" count="7">
        <n v="1"/>
        <n v="2"/>
        <n v="3"/>
        <n v="4"/>
        <n v="5"/>
        <n v="6"/>
        <n v="0"/>
      </sharedItems>
    </cacheField>
    <cacheField name="RANKComp.2" numFmtId="0">
      <sharedItems containsSemiMixedTypes="0" containsString="0" containsNumber="1" containsInteger="1" minValue="0" maxValue="3" count="4">
        <n v="0"/>
        <n v="1"/>
        <n v="2"/>
        <n v="3"/>
      </sharedItems>
    </cacheField>
    <cacheField name="RANKComp.3" numFmtId="0">
      <sharedItems containsSemiMixedTypes="0" containsString="0" containsNumber="1" containsInteger="1" minValue="0" maxValue="3"/>
    </cacheField>
    <cacheField name="RANKComp.4" numFmtId="0">
      <sharedItems containsSemiMixedTypes="0" containsString="0" containsNumber="1" containsInteger="1" minValue="0" maxValue="4"/>
    </cacheField>
    <cacheField name="RANKComp.5" numFmtId="0">
      <sharedItems containsSemiMixedTypes="0" containsString="0" containsNumber="1" containsInteger="1" minValue="0" maxValue="2"/>
    </cacheField>
    <cacheField name="RANKComp.6" numFmtId="0">
      <sharedItems containsSemiMixedTypes="0" containsString="0" containsNumber="1" containsInteger="1" minValue="0" maxValue="1"/>
    </cacheField>
    <cacheField name="RANKComp.7" numFmtId="0">
      <sharedItems containsSemiMixedTypes="0" containsString="0" containsNumber="1" containsInteger="1" minValue="0" maxValue="1"/>
    </cacheField>
    <cacheField name="RANKComp.8" numFmtId="0">
      <sharedItems containsSemiMixedTypes="0" containsString="0" containsNumber="1" containsInteger="1" minValue="0" maxValue="1"/>
    </cacheField>
    <cacheField name="RANKComp.9" numFmtId="0">
      <sharedItems containsSemiMixedTypes="0" containsString="0" containsNumber="1" containsInteger="1" minValue="0" maxValue="1"/>
    </cacheField>
    <cacheField name="RANKComp.10" numFmtId="0">
      <sharedItems containsSemiMixedTypes="0" containsString="0" containsNumber="1" containsInteger="1" minValue="0" maxValue="1"/>
    </cacheField>
    <cacheField name="RANKComp.11" numFmtId="0">
      <sharedItems containsSemiMixedTypes="0" containsString="0" containsNumber="1" containsInteger="1" minValue="0" maxValue="1"/>
    </cacheField>
    <cacheField name="RANKComp.12" numFmtId="0">
      <sharedItems containsSemiMixedTypes="0" containsString="0" containsNumber="1" containsInteger="1" minValue="0" maxValue="1"/>
    </cacheField>
    <cacheField name="METHOD" numFmtId="0">
      <sharedItems count="1">
        <s v="VARIANCE - VARIMAX - 7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9">
  <r>
    <x v="0"/>
    <n v="0.76"/>
    <m/>
    <m/>
    <m/>
    <m/>
    <m/>
    <m/>
    <m/>
    <m/>
    <m/>
    <m/>
    <m/>
    <x v="0"/>
    <x v="0"/>
    <n v="0"/>
    <n v="0"/>
    <n v="0"/>
    <n v="0"/>
    <n v="0"/>
    <n v="0"/>
    <n v="0"/>
    <n v="0"/>
    <n v="0"/>
    <n v="0"/>
    <x v="0"/>
  </r>
  <r>
    <x v="1"/>
    <n v="0.75"/>
    <m/>
    <m/>
    <m/>
    <m/>
    <m/>
    <m/>
    <m/>
    <m/>
    <m/>
    <m/>
    <m/>
    <x v="1"/>
    <x v="0"/>
    <n v="0"/>
    <n v="0"/>
    <n v="0"/>
    <n v="0"/>
    <n v="0"/>
    <n v="0"/>
    <n v="0"/>
    <n v="0"/>
    <n v="0"/>
    <n v="0"/>
    <x v="0"/>
  </r>
  <r>
    <x v="2"/>
    <n v="0.64"/>
    <m/>
    <m/>
    <m/>
    <m/>
    <m/>
    <m/>
    <m/>
    <m/>
    <m/>
    <m/>
    <m/>
    <x v="2"/>
    <x v="0"/>
    <n v="0"/>
    <n v="0"/>
    <n v="0"/>
    <n v="0"/>
    <n v="0"/>
    <n v="0"/>
    <n v="0"/>
    <n v="0"/>
    <n v="0"/>
    <n v="0"/>
    <x v="0"/>
  </r>
  <r>
    <x v="3"/>
    <n v="0.63"/>
    <m/>
    <m/>
    <m/>
    <m/>
    <m/>
    <m/>
    <m/>
    <m/>
    <m/>
    <m/>
    <m/>
    <x v="3"/>
    <x v="0"/>
    <n v="0"/>
    <n v="0"/>
    <n v="0"/>
    <n v="0"/>
    <n v="0"/>
    <n v="0"/>
    <n v="0"/>
    <n v="0"/>
    <n v="0"/>
    <n v="0"/>
    <x v="0"/>
  </r>
  <r>
    <x v="4"/>
    <n v="0.57999999999999996"/>
    <m/>
    <m/>
    <m/>
    <m/>
    <m/>
    <m/>
    <m/>
    <m/>
    <m/>
    <m/>
    <m/>
    <x v="4"/>
    <x v="0"/>
    <n v="0"/>
    <n v="0"/>
    <n v="0"/>
    <n v="0"/>
    <n v="0"/>
    <n v="0"/>
    <n v="0"/>
    <n v="0"/>
    <n v="0"/>
    <n v="0"/>
    <x v="0"/>
  </r>
  <r>
    <x v="5"/>
    <n v="0.56000000000000005"/>
    <m/>
    <m/>
    <m/>
    <m/>
    <m/>
    <m/>
    <m/>
    <m/>
    <m/>
    <m/>
    <m/>
    <x v="5"/>
    <x v="0"/>
    <n v="0"/>
    <n v="0"/>
    <n v="0"/>
    <n v="0"/>
    <n v="0"/>
    <n v="0"/>
    <n v="0"/>
    <n v="0"/>
    <n v="0"/>
    <n v="0"/>
    <x v="0"/>
  </r>
  <r>
    <x v="6"/>
    <m/>
    <m/>
    <m/>
    <m/>
    <m/>
    <m/>
    <m/>
    <m/>
    <m/>
    <m/>
    <m/>
    <m/>
    <x v="6"/>
    <x v="0"/>
    <n v="0"/>
    <n v="0"/>
    <n v="0"/>
    <n v="0"/>
    <n v="0"/>
    <n v="0"/>
    <n v="0"/>
    <n v="0"/>
    <n v="0"/>
    <n v="0"/>
    <x v="0"/>
  </r>
  <r>
    <x v="7"/>
    <m/>
    <m/>
    <m/>
    <m/>
    <m/>
    <m/>
    <m/>
    <m/>
    <m/>
    <m/>
    <m/>
    <m/>
    <x v="6"/>
    <x v="0"/>
    <n v="0"/>
    <n v="0"/>
    <n v="0"/>
    <n v="0"/>
    <n v="0"/>
    <n v="0"/>
    <n v="0"/>
    <n v="0"/>
    <n v="0"/>
    <n v="0"/>
    <x v="0"/>
  </r>
  <r>
    <x v="8"/>
    <m/>
    <m/>
    <m/>
    <n v="0.55000000000000004"/>
    <m/>
    <m/>
    <m/>
    <m/>
    <m/>
    <m/>
    <m/>
    <m/>
    <x v="6"/>
    <x v="0"/>
    <n v="0"/>
    <n v="1"/>
    <n v="0"/>
    <n v="0"/>
    <n v="0"/>
    <n v="0"/>
    <n v="0"/>
    <n v="0"/>
    <n v="0"/>
    <n v="0"/>
    <x v="0"/>
  </r>
  <r>
    <x v="9"/>
    <m/>
    <m/>
    <m/>
    <n v="0.64"/>
    <m/>
    <m/>
    <m/>
    <m/>
    <m/>
    <m/>
    <m/>
    <m/>
    <x v="6"/>
    <x v="0"/>
    <n v="0"/>
    <n v="2"/>
    <n v="0"/>
    <n v="0"/>
    <n v="0"/>
    <n v="0"/>
    <n v="0"/>
    <n v="0"/>
    <n v="0"/>
    <n v="0"/>
    <x v="0"/>
  </r>
  <r>
    <x v="10"/>
    <m/>
    <n v="0.75"/>
    <m/>
    <m/>
    <m/>
    <m/>
    <m/>
    <m/>
    <m/>
    <m/>
    <m/>
    <m/>
    <x v="6"/>
    <x v="1"/>
    <n v="0"/>
    <n v="0"/>
    <n v="0"/>
    <n v="0"/>
    <n v="0"/>
    <n v="0"/>
    <n v="0"/>
    <n v="0"/>
    <n v="0"/>
    <n v="0"/>
    <x v="0"/>
  </r>
  <r>
    <x v="11"/>
    <m/>
    <n v="0.75"/>
    <m/>
    <m/>
    <m/>
    <m/>
    <m/>
    <m/>
    <m/>
    <m/>
    <m/>
    <m/>
    <x v="6"/>
    <x v="2"/>
    <n v="0"/>
    <n v="0"/>
    <n v="0"/>
    <n v="0"/>
    <n v="0"/>
    <n v="0"/>
    <n v="0"/>
    <n v="0"/>
    <n v="0"/>
    <n v="0"/>
    <x v="0"/>
  </r>
  <r>
    <x v="12"/>
    <m/>
    <m/>
    <m/>
    <m/>
    <m/>
    <m/>
    <m/>
    <m/>
    <m/>
    <m/>
    <m/>
    <m/>
    <x v="6"/>
    <x v="0"/>
    <n v="0"/>
    <n v="0"/>
    <n v="0"/>
    <n v="0"/>
    <n v="0"/>
    <n v="0"/>
    <n v="0"/>
    <n v="0"/>
    <n v="0"/>
    <n v="0"/>
    <x v="0"/>
  </r>
  <r>
    <x v="13"/>
    <m/>
    <m/>
    <m/>
    <m/>
    <m/>
    <m/>
    <m/>
    <m/>
    <m/>
    <m/>
    <m/>
    <m/>
    <x v="6"/>
    <x v="0"/>
    <n v="0"/>
    <n v="0"/>
    <n v="0"/>
    <n v="0"/>
    <n v="0"/>
    <n v="0"/>
    <n v="0"/>
    <n v="0"/>
    <n v="0"/>
    <n v="0"/>
    <x v="0"/>
  </r>
  <r>
    <x v="14"/>
    <m/>
    <n v="0.63"/>
    <m/>
    <m/>
    <m/>
    <m/>
    <m/>
    <m/>
    <m/>
    <m/>
    <m/>
    <m/>
    <x v="6"/>
    <x v="3"/>
    <n v="0"/>
    <n v="0"/>
    <n v="0"/>
    <n v="0"/>
    <n v="0"/>
    <n v="0"/>
    <n v="0"/>
    <n v="0"/>
    <n v="0"/>
    <n v="0"/>
    <x v="0"/>
  </r>
  <r>
    <x v="15"/>
    <m/>
    <m/>
    <m/>
    <n v="0.62"/>
    <m/>
    <m/>
    <m/>
    <m/>
    <m/>
    <m/>
    <m/>
    <m/>
    <x v="6"/>
    <x v="0"/>
    <n v="0"/>
    <n v="3"/>
    <n v="0"/>
    <n v="0"/>
    <n v="0"/>
    <n v="0"/>
    <n v="0"/>
    <n v="0"/>
    <n v="0"/>
    <n v="0"/>
    <x v="0"/>
  </r>
  <r>
    <x v="16"/>
    <m/>
    <m/>
    <m/>
    <n v="0.74"/>
    <m/>
    <m/>
    <m/>
    <m/>
    <m/>
    <m/>
    <m/>
    <m/>
    <x v="6"/>
    <x v="0"/>
    <n v="0"/>
    <n v="4"/>
    <n v="0"/>
    <n v="0"/>
    <n v="0"/>
    <n v="0"/>
    <n v="0"/>
    <n v="0"/>
    <n v="0"/>
    <n v="0"/>
    <x v="0"/>
  </r>
  <r>
    <x v="17"/>
    <m/>
    <m/>
    <m/>
    <m/>
    <n v="0.63"/>
    <m/>
    <m/>
    <m/>
    <m/>
    <m/>
    <m/>
    <m/>
    <x v="6"/>
    <x v="0"/>
    <n v="0"/>
    <n v="0"/>
    <n v="1"/>
    <n v="0"/>
    <n v="0"/>
    <n v="0"/>
    <n v="0"/>
    <n v="0"/>
    <n v="0"/>
    <n v="0"/>
    <x v="0"/>
  </r>
  <r>
    <x v="18"/>
    <m/>
    <m/>
    <m/>
    <m/>
    <m/>
    <m/>
    <m/>
    <m/>
    <m/>
    <m/>
    <m/>
    <n v="0.77"/>
    <x v="6"/>
    <x v="0"/>
    <n v="0"/>
    <n v="0"/>
    <n v="0"/>
    <n v="0"/>
    <n v="0"/>
    <n v="0"/>
    <n v="0"/>
    <n v="0"/>
    <n v="0"/>
    <n v="1"/>
    <x v="0"/>
  </r>
  <r>
    <x v="19"/>
    <m/>
    <m/>
    <m/>
    <m/>
    <m/>
    <n v="0.88"/>
    <m/>
    <m/>
    <m/>
    <m/>
    <m/>
    <m/>
    <x v="6"/>
    <x v="0"/>
    <n v="0"/>
    <n v="0"/>
    <n v="0"/>
    <n v="1"/>
    <n v="0"/>
    <n v="0"/>
    <n v="0"/>
    <n v="0"/>
    <n v="0"/>
    <n v="0"/>
    <x v="0"/>
  </r>
  <r>
    <x v="20"/>
    <m/>
    <m/>
    <n v="0.72"/>
    <m/>
    <m/>
    <m/>
    <m/>
    <m/>
    <m/>
    <m/>
    <m/>
    <m/>
    <x v="6"/>
    <x v="0"/>
    <n v="1"/>
    <n v="0"/>
    <n v="0"/>
    <n v="0"/>
    <n v="0"/>
    <n v="0"/>
    <n v="0"/>
    <n v="0"/>
    <n v="0"/>
    <n v="0"/>
    <x v="0"/>
  </r>
  <r>
    <x v="21"/>
    <m/>
    <m/>
    <n v="0.56999999999999995"/>
    <m/>
    <m/>
    <m/>
    <m/>
    <m/>
    <m/>
    <m/>
    <m/>
    <m/>
    <x v="6"/>
    <x v="0"/>
    <n v="2"/>
    <n v="0"/>
    <n v="0"/>
    <n v="0"/>
    <n v="0"/>
    <n v="0"/>
    <n v="0"/>
    <n v="0"/>
    <n v="0"/>
    <n v="0"/>
    <x v="0"/>
  </r>
  <r>
    <x v="22"/>
    <m/>
    <m/>
    <m/>
    <m/>
    <m/>
    <m/>
    <m/>
    <m/>
    <m/>
    <m/>
    <n v="0.9"/>
    <m/>
    <x v="6"/>
    <x v="0"/>
    <n v="0"/>
    <n v="0"/>
    <n v="0"/>
    <n v="0"/>
    <n v="0"/>
    <n v="0"/>
    <n v="0"/>
    <n v="0"/>
    <n v="1"/>
    <n v="0"/>
    <x v="0"/>
  </r>
  <r>
    <x v="23"/>
    <m/>
    <m/>
    <m/>
    <m/>
    <m/>
    <m/>
    <m/>
    <m/>
    <m/>
    <n v="0.94"/>
    <m/>
    <m/>
    <x v="6"/>
    <x v="0"/>
    <n v="0"/>
    <n v="0"/>
    <n v="0"/>
    <n v="0"/>
    <n v="0"/>
    <n v="0"/>
    <n v="0"/>
    <n v="1"/>
    <n v="0"/>
    <n v="0"/>
    <x v="0"/>
  </r>
  <r>
    <x v="24"/>
    <m/>
    <m/>
    <m/>
    <m/>
    <m/>
    <m/>
    <n v="0.84"/>
    <m/>
    <m/>
    <m/>
    <m/>
    <m/>
    <x v="6"/>
    <x v="0"/>
    <n v="0"/>
    <n v="0"/>
    <n v="0"/>
    <n v="0"/>
    <n v="1"/>
    <n v="0"/>
    <n v="0"/>
    <n v="0"/>
    <n v="0"/>
    <n v="0"/>
    <x v="0"/>
  </r>
  <r>
    <x v="25"/>
    <m/>
    <m/>
    <n v="0.83"/>
    <m/>
    <m/>
    <m/>
    <m/>
    <m/>
    <m/>
    <m/>
    <m/>
    <m/>
    <x v="6"/>
    <x v="0"/>
    <n v="3"/>
    <n v="0"/>
    <n v="0"/>
    <n v="0"/>
    <n v="0"/>
    <n v="0"/>
    <n v="0"/>
    <n v="0"/>
    <n v="0"/>
    <n v="0"/>
    <x v="0"/>
  </r>
  <r>
    <x v="26"/>
    <m/>
    <m/>
    <m/>
    <m/>
    <m/>
    <m/>
    <m/>
    <m/>
    <n v="0.95"/>
    <m/>
    <m/>
    <m/>
    <x v="6"/>
    <x v="0"/>
    <n v="0"/>
    <n v="0"/>
    <n v="0"/>
    <n v="0"/>
    <n v="0"/>
    <n v="0"/>
    <n v="1"/>
    <n v="0"/>
    <n v="0"/>
    <n v="0"/>
    <x v="0"/>
  </r>
  <r>
    <x v="27"/>
    <m/>
    <m/>
    <m/>
    <m/>
    <n v="0.83"/>
    <m/>
    <m/>
    <m/>
    <m/>
    <m/>
    <m/>
    <m/>
    <x v="6"/>
    <x v="0"/>
    <n v="0"/>
    <n v="0"/>
    <n v="2"/>
    <n v="0"/>
    <n v="0"/>
    <n v="0"/>
    <n v="0"/>
    <n v="0"/>
    <n v="0"/>
    <n v="0"/>
    <x v="0"/>
  </r>
  <r>
    <x v="28"/>
    <m/>
    <m/>
    <m/>
    <m/>
    <m/>
    <m/>
    <m/>
    <n v="0.92"/>
    <m/>
    <m/>
    <m/>
    <m/>
    <x v="6"/>
    <x v="0"/>
    <n v="0"/>
    <n v="0"/>
    <n v="0"/>
    <n v="0"/>
    <n v="0"/>
    <n v="1"/>
    <n v="0"/>
    <n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N33" firstHeaderRow="0" firstDataRow="1" firstDataCol="2"/>
  <pivotFields count="26">
    <pivotField axis="axisRow" compact="0" outline="0" subtotalTop="0" showAll="0">
      <items count="30">
        <item x="23"/>
        <item x="27"/>
        <item x="8"/>
        <item x="24"/>
        <item x="12"/>
        <item x="15"/>
        <item x="16"/>
        <item x="26"/>
        <item x="9"/>
        <item x="28"/>
        <item x="19"/>
        <item x="17"/>
        <item x="10"/>
        <item x="11"/>
        <item x="14"/>
        <item x="3"/>
        <item x="5"/>
        <item x="20"/>
        <item x="25"/>
        <item x="2"/>
        <item x="21"/>
        <item x="7"/>
        <item x="4"/>
        <item x="18"/>
        <item x="13"/>
        <item x="6"/>
        <item x="0"/>
        <item x="1"/>
        <item x="22"/>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outline="0" subtotalTop="0" showAll="0">
      <items count="8">
        <item x="6"/>
        <item x="0"/>
        <item x="1"/>
        <item x="2"/>
        <item x="3"/>
        <item x="4"/>
        <item x="5"/>
        <item t="default"/>
      </items>
      <extLst>
        <ext xmlns:x14="http://schemas.microsoft.com/office/spreadsheetml/2009/9/main" uri="{2946ED86-A175-432a-8AC1-64E0C546D7DE}">
          <x14:pivotField fillDownLabels="1"/>
        </ext>
      </extLst>
    </pivotField>
    <pivotField dataField="1" compact="0" outline="0" subtotalTop="0" showAll="0">
      <items count="5">
        <item x="0"/>
        <item x="1"/>
        <item x="2"/>
        <item x="3"/>
        <item t="default"/>
      </items>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axis="axisRow" compact="0" outline="0" subtotalTop="0" showAll="0" defaultSubtotal="0">
      <items count="1">
        <item x="0"/>
      </items>
      <extLst>
        <ext xmlns:x14="http://schemas.microsoft.com/office/spreadsheetml/2009/9/main" uri="{2946ED86-A175-432a-8AC1-64E0C546D7DE}">
          <x14:pivotField fillDownLabels="1"/>
        </ext>
      </extLst>
    </pivotField>
  </pivotFields>
  <rowFields count="2">
    <field x="25"/>
    <field x="0"/>
  </rowFields>
  <rowItems count="3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t="grand">
      <x/>
    </i>
  </rowItems>
  <colFields count="1">
    <field x="-2"/>
  </colFields>
  <colItems count="12">
    <i>
      <x/>
    </i>
    <i i="1">
      <x v="1"/>
    </i>
    <i i="2">
      <x v="2"/>
    </i>
    <i i="3">
      <x v="3"/>
    </i>
    <i i="4">
      <x v="4"/>
    </i>
    <i i="5">
      <x v="5"/>
    </i>
    <i i="6">
      <x v="6"/>
    </i>
    <i i="7">
      <x v="7"/>
    </i>
    <i i="8">
      <x v="8"/>
    </i>
    <i i="9">
      <x v="9"/>
    </i>
    <i i="10">
      <x v="10"/>
    </i>
    <i i="11">
      <x v="11"/>
    </i>
  </colItems>
  <dataFields count="12">
    <dataField name="Sum of RANKComp.1" fld="13" baseField="0" baseItem="0"/>
    <dataField name="Sum of RANKComp.2" fld="14" baseField="0" baseItem="0"/>
    <dataField name="Sum of RANKComp.3" fld="15" baseField="0" baseItem="0"/>
    <dataField name="Sum of RANKComp.4" fld="16" baseField="0" baseItem="0"/>
    <dataField name="Sum of RANKComp.5" fld="17" baseField="0" baseItem="0"/>
    <dataField name="Sum of RANKComp.6" fld="18" baseField="0" baseItem="0"/>
    <dataField name="Sum of RANKComp.7" fld="19" baseField="0" baseItem="0"/>
    <dataField name="Sum of RANKComp.8" fld="20" baseField="0" baseItem="0"/>
    <dataField name="Sum of RANKComp.9" fld="21" baseField="0" baseItem="0"/>
    <dataField name="Sum of RANKComp.10" fld="22" baseField="0" baseItem="0"/>
    <dataField name="Sum of RANKComp.11" fld="23" baseField="0" baseItem="0"/>
    <dataField name="Sum of RANKComp.12" fld="24" baseField="0" baseItem="0"/>
  </dataFields>
  <conditionalFormats count="1">
    <conditionalFormat priority="1">
      <pivotAreas count="2">
        <pivotArea type="data" collapsedLevelsAreSubtotals="1" fieldPosition="0">
          <references count="2">
            <reference field="0" count="29">
              <x v="0"/>
              <x v="1"/>
              <x v="2"/>
              <x v="3"/>
              <x v="4"/>
              <x v="5"/>
              <x v="6"/>
              <x v="7"/>
              <x v="8"/>
              <x v="9"/>
              <x v="10"/>
              <x v="11"/>
              <x v="12"/>
              <x v="13"/>
              <x v="14"/>
              <x v="15"/>
              <x v="16"/>
              <x v="17"/>
              <x v="18"/>
              <x v="19"/>
              <x v="20"/>
              <x v="21"/>
              <x v="22"/>
              <x v="23"/>
              <x v="24"/>
              <x v="25"/>
              <x v="26"/>
              <x v="27"/>
              <x v="28"/>
            </reference>
            <reference field="25" count="1" selected="0">
              <x v="0"/>
            </reference>
          </references>
        </pivotArea>
        <pivotArea type="data" grandRow="1" outline="0" collapsedLevelsAreSubtotals="1"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0"/>
  <sheetViews>
    <sheetView workbookViewId="0">
      <selection activeCell="B48" sqref="B48"/>
    </sheetView>
  </sheetViews>
  <sheetFormatPr defaultRowHeight="14.4" x14ac:dyDescent="0.3"/>
  <cols>
    <col min="2" max="2" width="74.21875" customWidth="1"/>
  </cols>
  <sheetData>
    <row r="1" spans="1:2" x14ac:dyDescent="0.3">
      <c r="B1" s="1" t="s">
        <v>31</v>
      </c>
    </row>
    <row r="2" spans="1:2" x14ac:dyDescent="0.3">
      <c r="A2">
        <v>9</v>
      </c>
      <c r="B2" t="str">
        <f>+VLOOKUP(A2,List!$A$1:$B$29,2,FALSE)</f>
        <v>I see my boat as status symbol</v>
      </c>
    </row>
    <row r="3" spans="1:2" x14ac:dyDescent="0.3">
      <c r="A3">
        <v>26</v>
      </c>
      <c r="B3" t="str">
        <f>+VLOOKUP(A3,List!$A$1:$B$29,2,FALSE)</f>
        <v>Having a powerful boat is what is most important to me</v>
      </c>
    </row>
    <row r="4" spans="1:2" x14ac:dyDescent="0.3">
      <c r="A4">
        <v>3</v>
      </c>
      <c r="B4" t="str">
        <f>+VLOOKUP(A4,List!$A$1:$B$29,2,FALSE)</f>
        <v>The brand of the boat I buy says a lot about who I am</v>
      </c>
    </row>
    <row r="5" spans="1:2" x14ac:dyDescent="0.3">
      <c r="A5">
        <v>13</v>
      </c>
      <c r="B5" t="str">
        <f>+VLOOKUP(A5,List!$A$1:$B$29,2,FALSE)</f>
        <v>When buying a boat, I tend to buy the latest and greatest</v>
      </c>
    </row>
    <row r="6" spans="1:2" x14ac:dyDescent="0.3">
      <c r="A6">
        <v>27</v>
      </c>
      <c r="B6" t="str">
        <f>+VLOOKUP(A6,List!$A$1:$B$29,2,FALSE)</f>
        <v>Boating is the number one thing I do with my spare time</v>
      </c>
    </row>
    <row r="7" spans="1:2" x14ac:dyDescent="0.3">
      <c r="A7">
        <v>28</v>
      </c>
      <c r="B7" t="str">
        <f>+VLOOKUP(A7,List!$A$1:$B$29,2,FALSE)</f>
        <v>Boating is my true passion in life</v>
      </c>
    </row>
    <row r="8" spans="1:2" x14ac:dyDescent="0.3">
      <c r="A8">
        <v>14</v>
      </c>
      <c r="B8" t="str">
        <f>+VLOOKUP(A8,List!$A$1:$B$29,2,FALSE)</f>
        <v>When buying accessories for my boat, I tend to buy the latest and greatest</v>
      </c>
    </row>
    <row r="9" spans="1:2" x14ac:dyDescent="0.3">
      <c r="A9">
        <v>16</v>
      </c>
      <c r="B9" t="str">
        <f>+VLOOKUP(A9,List!$A$1:$B$29,2,FALSE)</f>
        <v>People tend to come to me for advice about boating</v>
      </c>
    </row>
    <row r="10" spans="1:2" x14ac:dyDescent="0.3">
      <c r="A10">
        <v>7</v>
      </c>
      <c r="B10" t="str">
        <f>+VLOOKUP(A10,List!$A$1:$B$29,2,FALSE)</f>
        <v>Owning a boat gives me a sense of achievement</v>
      </c>
    </row>
    <row r="11" spans="1:2" x14ac:dyDescent="0.3">
      <c r="A11">
        <v>17</v>
      </c>
      <c r="B11" t="str">
        <f>+VLOOKUP(A11,List!$A$1:$B$29,2,FALSE)</f>
        <v>I consider myself more knowledgeable about boating than the rest of my boating peers</v>
      </c>
    </row>
    <row r="12" spans="1:2" x14ac:dyDescent="0.3">
      <c r="A12">
        <v>20</v>
      </c>
      <c r="B12" t="str">
        <f>+VLOOKUP(A12,List!$A$1:$B$29,2,FALSE)</f>
        <v>When not on my boat, I often find myself doing boating related activities</v>
      </c>
    </row>
    <row r="15" spans="1:2" x14ac:dyDescent="0.3">
      <c r="B15" s="1" t="s">
        <v>32</v>
      </c>
    </row>
    <row r="16" spans="1:2" x14ac:dyDescent="0.3">
      <c r="A16">
        <v>7</v>
      </c>
      <c r="B16" t="str">
        <f>+VLOOKUP(A16,List!$A$1:$B$29,2,FALSE)</f>
        <v>Owning a boat gives me a sense of achievement</v>
      </c>
    </row>
    <row r="17" spans="1:2" x14ac:dyDescent="0.3">
      <c r="A17">
        <v>6</v>
      </c>
      <c r="B17" t="str">
        <f>+VLOOKUP(A17,List!$A$1:$B$29,2,FALSE)</f>
        <v>Owning a boat is a way of rewarding myself for hard work</v>
      </c>
    </row>
    <row r="18" spans="1:2" x14ac:dyDescent="0.3">
      <c r="A18">
        <v>22</v>
      </c>
      <c r="B18" t="str">
        <f>+VLOOKUP(A18,List!$A$1:$B$29,2,FALSE)</f>
        <v>Boating helps me stay active</v>
      </c>
    </row>
    <row r="19" spans="1:2" x14ac:dyDescent="0.3">
      <c r="A19">
        <v>18</v>
      </c>
      <c r="B19" t="str">
        <f>+VLOOKUP(A19,List!$A$1:$B$29,2,FALSE)</f>
        <v>Boating gives me a feeling of adventure</v>
      </c>
    </row>
    <row r="20" spans="1:2" x14ac:dyDescent="0.3">
      <c r="A20">
        <v>24</v>
      </c>
      <c r="B20" t="str">
        <f>+VLOOKUP(A20,List!$A$1:$B$29,2,FALSE)</f>
        <v>Boating gives me an outlet to socialize with family/friends</v>
      </c>
    </row>
    <row r="21" spans="1:2" x14ac:dyDescent="0.3">
      <c r="A21">
        <v>21</v>
      </c>
      <c r="B21" t="str">
        <f>+VLOOKUP(A21,List!$A$1:$B$29,2,FALSE)</f>
        <v>Boating helps me escape from everyday life and relax</v>
      </c>
    </row>
    <row r="22" spans="1:2" x14ac:dyDescent="0.3">
      <c r="A22">
        <v>19</v>
      </c>
      <c r="B22" t="str">
        <f>+VLOOKUP(A22,List!$A$1:$B$29,2,FALSE)</f>
        <v>Boating allows me to experience nature</v>
      </c>
    </row>
    <row r="25" spans="1:2" x14ac:dyDescent="0.3">
      <c r="B25" s="1" t="s">
        <v>33</v>
      </c>
    </row>
    <row r="26" spans="1:2" x14ac:dyDescent="0.3">
      <c r="A26">
        <v>5</v>
      </c>
      <c r="B26" t="str">
        <f>+VLOOKUP(A26,List!$A$1:$B$29,2,FALSE)</f>
        <v>I am willing to pay a premium for a brand with a reputation for high quality</v>
      </c>
    </row>
    <row r="27" spans="1:2" x14ac:dyDescent="0.3">
      <c r="A27">
        <v>15</v>
      </c>
      <c r="B27" t="str">
        <f>+VLOOKUP(A27,List!$A$1:$B$29,2,FALSE)</f>
        <v>I am serious about the technology on my boat</v>
      </c>
    </row>
    <row r="28" spans="1:2" x14ac:dyDescent="0.3">
      <c r="A28">
        <v>4</v>
      </c>
      <c r="B28" t="str">
        <f>+VLOOKUP(A28,List!$A$1:$B$29,2,FALSE)</f>
        <v>I only consider buying a boat from a reputable brand</v>
      </c>
    </row>
    <row r="31" spans="1:2" x14ac:dyDescent="0.3">
      <c r="B31" s="1" t="s">
        <v>29</v>
      </c>
    </row>
    <row r="32" spans="1:2" x14ac:dyDescent="0.3">
      <c r="A32">
        <v>16</v>
      </c>
      <c r="B32" t="str">
        <f>+VLOOKUP(A32,List!$A$1:$B$29,2,FALSE)</f>
        <v>People tend to come to me for advice about boating</v>
      </c>
    </row>
    <row r="33" spans="1:2" x14ac:dyDescent="0.3">
      <c r="A33">
        <v>17</v>
      </c>
      <c r="B33" t="str">
        <f>+VLOOKUP(A33,List!$A$1:$B$29,2,FALSE)</f>
        <v>I consider myself more knowledgeable about boating than the rest of my boating peers</v>
      </c>
    </row>
    <row r="34" spans="1:2" x14ac:dyDescent="0.3">
      <c r="A34">
        <v>11</v>
      </c>
      <c r="B34" t="str">
        <f>+VLOOKUP(A34,List!$A$1:$B$29,2,FALSE)</f>
        <v>I tend to perform minor boat repairs and maintenance on my own</v>
      </c>
    </row>
    <row r="37" spans="1:2" x14ac:dyDescent="0.3">
      <c r="B37" s="1" t="s">
        <v>30</v>
      </c>
    </row>
    <row r="38" spans="1:2" x14ac:dyDescent="0.3">
      <c r="A38">
        <v>2</v>
      </c>
      <c r="B38" t="str">
        <f>+VLOOKUP(A38,List!$A$1:$B$29,2,FALSE)</f>
        <v>When buying a bot, getting the lowest P is more important than brand</v>
      </c>
    </row>
    <row r="39" spans="1:2" x14ac:dyDescent="0.3">
      <c r="A39">
        <v>12</v>
      </c>
      <c r="B39" t="str">
        <f>+VLOOKUP(A39,List!$A$1:$B$29,2,FALSE)</f>
        <v>When it comes to boating, I tend to prefer a basic boat with little to no frills</v>
      </c>
    </row>
    <row r="40" spans="1:2" x14ac:dyDescent="0.3">
      <c r="A40">
        <v>8</v>
      </c>
      <c r="B40" t="str">
        <f>+VLOOKUP(A40,List!$A$1:$B$29,2,FALSE)</f>
        <v>When buying a boat, functionality is more important than style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5"/>
  <sheetViews>
    <sheetView topLeftCell="A16" workbookViewId="0">
      <selection activeCell="B22" sqref="B22"/>
    </sheetView>
  </sheetViews>
  <sheetFormatPr defaultRowHeight="14.4" x14ac:dyDescent="0.3"/>
  <cols>
    <col min="2" max="2" width="74.21875" customWidth="1"/>
  </cols>
  <sheetData>
    <row r="1" spans="1:2" x14ac:dyDescent="0.3">
      <c r="B1" s="1" t="s">
        <v>34</v>
      </c>
    </row>
    <row r="2" spans="1:2" x14ac:dyDescent="0.3">
      <c r="A2">
        <v>28</v>
      </c>
      <c r="B2" t="str">
        <f>+VLOOKUP(A2,List!$A$1:$B$29,2,FALSE)</f>
        <v>Boating is my true passion in life</v>
      </c>
    </row>
    <row r="3" spans="1:2" x14ac:dyDescent="0.3">
      <c r="A3">
        <v>14</v>
      </c>
      <c r="B3" t="str">
        <f>+VLOOKUP(A3,List!$A$1:$B$29,2,FALSE)</f>
        <v>When buying accessories for my boat, I tend to buy the latest and greatest</v>
      </c>
    </row>
    <row r="4" spans="1:2" x14ac:dyDescent="0.3">
      <c r="A4">
        <v>20</v>
      </c>
      <c r="B4" t="str">
        <f>+VLOOKUP(A4,List!$A$1:$B$29,2,FALSE)</f>
        <v>When not on my boat, I often find myself doing boating related activities</v>
      </c>
    </row>
    <row r="5" spans="1:2" x14ac:dyDescent="0.3">
      <c r="A5">
        <v>27</v>
      </c>
      <c r="B5" t="str">
        <f>+VLOOKUP(A5,List!$A$1:$B$29,2,FALSE)</f>
        <v>Boating is the number one thing I do with my spare time</v>
      </c>
    </row>
    <row r="6" spans="1:2" x14ac:dyDescent="0.3">
      <c r="A6">
        <v>3</v>
      </c>
      <c r="B6" t="str">
        <f>+VLOOKUP(A6,List!$A$1:$B$29,2,FALSE)</f>
        <v>The brand of the boat I buy says a lot about who I am</v>
      </c>
    </row>
    <row r="7" spans="1:2" x14ac:dyDescent="0.3">
      <c r="A7">
        <v>7</v>
      </c>
      <c r="B7" t="str">
        <f>+VLOOKUP(A7,List!$A$1:$B$29,2,FALSE)</f>
        <v>Owning a boat gives me a sense of achievement</v>
      </c>
    </row>
    <row r="8" spans="1:2" x14ac:dyDescent="0.3">
      <c r="A8">
        <v>15</v>
      </c>
      <c r="B8" t="str">
        <f>+VLOOKUP(A8,List!$A$1:$B$29,2,FALSE)</f>
        <v>I am serious about the technology on my boat</v>
      </c>
    </row>
    <row r="9" spans="1:2" x14ac:dyDescent="0.3">
      <c r="A9">
        <v>16</v>
      </c>
      <c r="B9" t="str">
        <f>+VLOOKUP(A9,List!$A$1:$B$29,2,FALSE)</f>
        <v>People tend to come to me for advice about boating</v>
      </c>
    </row>
    <row r="10" spans="1:2" x14ac:dyDescent="0.3">
      <c r="A10">
        <v>13</v>
      </c>
      <c r="B10" t="str">
        <f>+VLOOKUP(A10,List!$A$1:$B$29,2,FALSE)</f>
        <v>When buying a boat, I tend to buy the latest and greatest</v>
      </c>
    </row>
    <row r="11" spans="1:2" x14ac:dyDescent="0.3">
      <c r="A11">
        <v>25</v>
      </c>
      <c r="B11" t="str">
        <f>+VLOOKUP(A11,List!$A$1:$B$29,2,FALSE)</f>
        <v>Being in charge of my boat is what is most important to me</v>
      </c>
    </row>
    <row r="12" spans="1:2" x14ac:dyDescent="0.3">
      <c r="A12">
        <v>6</v>
      </c>
      <c r="B12" t="str">
        <f>+VLOOKUP(A12,List!$A$1:$B$29,2,FALSE)</f>
        <v>Owning a boat is a way of rewarding myself for hard work</v>
      </c>
    </row>
    <row r="13" spans="1:2" x14ac:dyDescent="0.3">
      <c r="A13">
        <v>26</v>
      </c>
      <c r="B13" t="str">
        <f>+VLOOKUP(A13,List!$A$1:$B$29,2,FALSE)</f>
        <v>Having a powerful boat is what is most important to me</v>
      </c>
    </row>
    <row r="14" spans="1:2" x14ac:dyDescent="0.3">
      <c r="A14">
        <v>9</v>
      </c>
      <c r="B14" t="str">
        <f>+VLOOKUP(A14,List!$A$1:$B$29,2,FALSE)</f>
        <v>I see my boat as status symbol</v>
      </c>
    </row>
    <row r="15" spans="1:2" x14ac:dyDescent="0.3">
      <c r="A15">
        <v>17</v>
      </c>
      <c r="B15" t="str">
        <f>+VLOOKUP(A15,List!$A$1:$B$29,2,FALSE)</f>
        <v>I consider myself more knowledgeable about boating than the rest of my boating peers</v>
      </c>
    </row>
    <row r="16" spans="1:2" x14ac:dyDescent="0.3">
      <c r="A16">
        <v>22</v>
      </c>
      <c r="B16" t="str">
        <f>+VLOOKUP(A16,List!$A$1:$B$29,2,FALSE)</f>
        <v>Boating helps me stay active</v>
      </c>
    </row>
    <row r="17" spans="1:2" x14ac:dyDescent="0.3">
      <c r="A17">
        <v>23</v>
      </c>
      <c r="B17" t="str">
        <f>+VLOOKUP(A17,List!$A$1:$B$29,2,FALSE)</f>
        <v>Boating allows me to excel in the sports that I am passionate about</v>
      </c>
    </row>
    <row r="18" spans="1:2" x14ac:dyDescent="0.3">
      <c r="A18">
        <v>5</v>
      </c>
      <c r="B18" t="str">
        <f>+VLOOKUP(A18,List!$A$1:$B$29,2,FALSE)</f>
        <v>I am willing to pay a premium for a brand with a reputation for high quality</v>
      </c>
    </row>
    <row r="19" spans="1:2" x14ac:dyDescent="0.3">
      <c r="A19">
        <v>18</v>
      </c>
      <c r="B19" t="str">
        <f>+VLOOKUP(A19,List!$A$1:$B$29,2,FALSE)</f>
        <v>Boating gives me a feeling of adventure</v>
      </c>
    </row>
    <row r="22" spans="1:2" x14ac:dyDescent="0.3">
      <c r="B22" s="1" t="s">
        <v>32</v>
      </c>
    </row>
    <row r="23" spans="1:2" x14ac:dyDescent="0.3">
      <c r="A23">
        <v>21</v>
      </c>
      <c r="B23" t="str">
        <f>+VLOOKUP(A23,List!$A$1:$B$29,2,FALSE)</f>
        <v>Boating helps me escape from everyday life and relax</v>
      </c>
    </row>
    <row r="24" spans="1:2" x14ac:dyDescent="0.3">
      <c r="A24">
        <v>19</v>
      </c>
      <c r="B24" t="str">
        <f>+VLOOKUP(A24,List!$A$1:$B$29,2,FALSE)</f>
        <v>Boating allows me to experience nature</v>
      </c>
    </row>
    <row r="27" spans="1:2" x14ac:dyDescent="0.3">
      <c r="B27" s="1" t="s">
        <v>35</v>
      </c>
    </row>
    <row r="28" spans="1:2" x14ac:dyDescent="0.3">
      <c r="A28">
        <v>8</v>
      </c>
      <c r="B28" t="str">
        <f>+VLOOKUP(A28,List!$A$1:$B$29,2,FALSE)</f>
        <v>When buying a boat, functionality is more important than style</v>
      </c>
    </row>
    <row r="29" spans="1:2" x14ac:dyDescent="0.3">
      <c r="A29">
        <v>2</v>
      </c>
      <c r="B29" t="str">
        <f>+VLOOKUP(A29,List!$A$1:$B$29,2,FALSE)</f>
        <v>When buying a bot, getting the lowest P is more important than brand</v>
      </c>
    </row>
    <row r="30" spans="1:2" x14ac:dyDescent="0.3">
      <c r="A30">
        <v>12</v>
      </c>
      <c r="B30" t="str">
        <f>+VLOOKUP(A30,List!$A$1:$B$29,2,FALSE)</f>
        <v>When it comes to boating, I tend to prefer a basic boat with little to no frills</v>
      </c>
    </row>
    <row r="33" spans="1:2" x14ac:dyDescent="0.3">
      <c r="B33" s="1" t="s">
        <v>36</v>
      </c>
    </row>
    <row r="34" spans="1:2" x14ac:dyDescent="0.3">
      <c r="A34">
        <v>11</v>
      </c>
      <c r="B34" t="str">
        <f>+VLOOKUP(A34,List!$A$1:$B$29,2,FALSE)</f>
        <v>I tend to perform minor boat repairs and maintenance on my own</v>
      </c>
    </row>
    <row r="35" spans="1:2" x14ac:dyDescent="0.3">
      <c r="A35">
        <v>10</v>
      </c>
      <c r="B35" t="str">
        <f>+VLOOKUP(A35,List!$A$1:$B$29,2,FALSE)</f>
        <v>When buying a boat, I rely more on expert opinion than my own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9"/>
  <sheetViews>
    <sheetView workbookViewId="0">
      <selection activeCell="B16" sqref="B16"/>
    </sheetView>
  </sheetViews>
  <sheetFormatPr defaultRowHeight="14.4" x14ac:dyDescent="0.3"/>
  <cols>
    <col min="2" max="2" width="74.21875" customWidth="1"/>
  </cols>
  <sheetData>
    <row r="1" spans="1:2" x14ac:dyDescent="0.3">
      <c r="B1" s="1" t="s">
        <v>34</v>
      </c>
    </row>
    <row r="2" spans="1:2" x14ac:dyDescent="0.3">
      <c r="A2">
        <v>9</v>
      </c>
      <c r="B2" t="str">
        <f>+VLOOKUP(A2,List!$A$1:$B$29,2,FALSE)</f>
        <v>I see my boat as status symbol</v>
      </c>
    </row>
    <row r="3" spans="1:2" x14ac:dyDescent="0.3">
      <c r="A3">
        <v>26</v>
      </c>
      <c r="B3" t="str">
        <f>+VLOOKUP(A3,List!$A$1:$B$29,2,FALSE)</f>
        <v>Having a powerful boat is what is most important to me</v>
      </c>
    </row>
    <row r="4" spans="1:2" x14ac:dyDescent="0.3">
      <c r="A4">
        <v>3</v>
      </c>
      <c r="B4" t="str">
        <f>+VLOOKUP(A4,List!$A$1:$B$29,2,FALSE)</f>
        <v>The brand of the boat I buy says a lot about who I am</v>
      </c>
    </row>
    <row r="5" spans="1:2" x14ac:dyDescent="0.3">
      <c r="A5">
        <v>13</v>
      </c>
      <c r="B5" t="str">
        <f>+VLOOKUP(A5,List!$A$1:$B$29,2,FALSE)</f>
        <v>When buying a boat, I tend to buy the latest and greatest</v>
      </c>
    </row>
    <row r="6" spans="1:2" x14ac:dyDescent="0.3">
      <c r="A6">
        <v>27</v>
      </c>
      <c r="B6" t="str">
        <f>+VLOOKUP(A6,List!$A$1:$B$29,2,FALSE)</f>
        <v>Boating is the number one thing I do with my spare time</v>
      </c>
    </row>
    <row r="7" spans="1:2" x14ac:dyDescent="0.3">
      <c r="A7">
        <v>14</v>
      </c>
      <c r="B7" t="str">
        <f>+VLOOKUP(A7,List!$A$1:$B$29,2,FALSE)</f>
        <v>When buying accessories for my boat, I tend to buy the latest and greatest</v>
      </c>
    </row>
    <row r="8" spans="1:2" x14ac:dyDescent="0.3">
      <c r="A8">
        <v>28</v>
      </c>
      <c r="B8" t="str">
        <f>+VLOOKUP(A8,List!$A$1:$B$29,2,FALSE)</f>
        <v>Boating is my true passion in life</v>
      </c>
    </row>
    <row r="9" spans="1:2" x14ac:dyDescent="0.3">
      <c r="A9">
        <v>7</v>
      </c>
      <c r="B9" t="str">
        <f>+VLOOKUP(A9,List!$A$1:$B$29,2,FALSE)</f>
        <v>Owning a boat gives me a sense of achievement</v>
      </c>
    </row>
    <row r="12" spans="1:2" x14ac:dyDescent="0.3">
      <c r="B12" s="1" t="s">
        <v>32</v>
      </c>
    </row>
    <row r="13" spans="1:2" x14ac:dyDescent="0.3">
      <c r="A13">
        <v>7</v>
      </c>
      <c r="B13" t="str">
        <f>+VLOOKUP(A13,List!$A$1:$B$29,2,FALSE)</f>
        <v>Owning a boat gives me a sense of achievement</v>
      </c>
    </row>
    <row r="14" spans="1:2" x14ac:dyDescent="0.3">
      <c r="A14">
        <v>6</v>
      </c>
      <c r="B14" t="str">
        <f>+VLOOKUP(A14,List!$A$1:$B$29,2,FALSE)</f>
        <v>Owning a boat is a way of rewarding myself for hard work</v>
      </c>
    </row>
    <row r="15" spans="1:2" x14ac:dyDescent="0.3">
      <c r="A15">
        <v>22</v>
      </c>
      <c r="B15" t="str">
        <f>+VLOOKUP(A15,List!$A$1:$B$29,2,FALSE)</f>
        <v>Boating helps me stay active</v>
      </c>
    </row>
    <row r="16" spans="1:2" x14ac:dyDescent="0.3">
      <c r="A16">
        <v>24</v>
      </c>
      <c r="B16" t="str">
        <f>+VLOOKUP(A16,List!$A$1:$B$29,2,FALSE)</f>
        <v>Boating gives me an outlet to socialize with family/friends</v>
      </c>
    </row>
    <row r="17" spans="1:2" x14ac:dyDescent="0.3">
      <c r="A17">
        <v>18</v>
      </c>
      <c r="B17" t="str">
        <f>+VLOOKUP(A17,List!$A$1:$B$29,2,FALSE)</f>
        <v>Boating gives me a feeling of adventure</v>
      </c>
    </row>
    <row r="18" spans="1:2" x14ac:dyDescent="0.3">
      <c r="A18">
        <v>21</v>
      </c>
      <c r="B18" t="str">
        <f>+VLOOKUP(A18,List!$A$1:$B$29,2,FALSE)</f>
        <v>Boating helps me escape from everyday life and relax</v>
      </c>
    </row>
    <row r="19" spans="1:2" x14ac:dyDescent="0.3">
      <c r="A19">
        <v>19</v>
      </c>
      <c r="B19" t="str">
        <f>+VLOOKUP(A19,List!$A$1:$B$29,2,FALSE)</f>
        <v>Boating allows me to experience nature</v>
      </c>
    </row>
    <row r="22" spans="1:2" x14ac:dyDescent="0.3">
      <c r="B22" s="1" t="s">
        <v>37</v>
      </c>
    </row>
    <row r="23" spans="1:2" x14ac:dyDescent="0.3">
      <c r="A23">
        <v>16</v>
      </c>
      <c r="B23" t="str">
        <f>+VLOOKUP(A23,List!$A$1:$B$29,2,FALSE)</f>
        <v>People tend to come to me for advice about boating</v>
      </c>
    </row>
    <row r="24" spans="1:2" x14ac:dyDescent="0.3">
      <c r="A24">
        <v>17</v>
      </c>
      <c r="B24" t="str">
        <f>+VLOOKUP(A24,List!$A$1:$B$29,2,FALSE)</f>
        <v>I consider myself more knowledgeable about boating than the rest of my boating peers</v>
      </c>
    </row>
    <row r="25" spans="1:2" x14ac:dyDescent="0.3">
      <c r="A25">
        <v>10</v>
      </c>
      <c r="B25" t="str">
        <f>+VLOOKUP(A25,List!$A$1:$B$29,2,FALSE)</f>
        <v>When buying a boat, I rely more on expert opinion than my own</v>
      </c>
    </row>
    <row r="26" spans="1:2" x14ac:dyDescent="0.3">
      <c r="A26">
        <v>11</v>
      </c>
      <c r="B26" t="str">
        <f>+VLOOKUP(A26,List!$A$1:$B$29,2,FALSE)</f>
        <v>I tend to perform minor boat repairs and maintenance on my own</v>
      </c>
    </row>
    <row r="30" spans="1:2" x14ac:dyDescent="0.3">
      <c r="B30" s="1" t="s">
        <v>38</v>
      </c>
    </row>
    <row r="31" spans="1:2" x14ac:dyDescent="0.3">
      <c r="A31">
        <v>5</v>
      </c>
      <c r="B31" t="str">
        <f>+VLOOKUP(A31,List!$A$1:$B$29,2,FALSE)</f>
        <v>I am willing to pay a premium for a brand with a reputation for high quality</v>
      </c>
    </row>
    <row r="32" spans="1:2" x14ac:dyDescent="0.3">
      <c r="A32">
        <v>4</v>
      </c>
      <c r="B32" t="str">
        <f>+VLOOKUP(A32,List!$A$1:$B$29,2,FALSE)</f>
        <v>I only consider buying a boat from a reputable brand</v>
      </c>
    </row>
    <row r="35" spans="1:2" x14ac:dyDescent="0.3">
      <c r="B35" s="1" t="s">
        <v>30</v>
      </c>
    </row>
    <row r="36" spans="1:2" x14ac:dyDescent="0.3">
      <c r="A36">
        <v>2</v>
      </c>
      <c r="B36" t="str">
        <f>+VLOOKUP(A36,List!$A$1:$B$29,2,FALSE)</f>
        <v>When buying a bot, getting the lowest P is more important than brand</v>
      </c>
    </row>
    <row r="37" spans="1:2" x14ac:dyDescent="0.3">
      <c r="A37">
        <v>10</v>
      </c>
      <c r="B37" t="str">
        <f>+VLOOKUP(A37,List!$A$1:$B$29,2,FALSE)</f>
        <v>When buying a boat, I rely more on expert opinion than my own</v>
      </c>
    </row>
    <row r="38" spans="1:2" x14ac:dyDescent="0.3">
      <c r="A38">
        <v>12</v>
      </c>
      <c r="B38" t="str">
        <f>+VLOOKUP(A38,List!$A$1:$B$29,2,FALSE)</f>
        <v>When it comes to boating, I tend to prefer a basic boat with little to no frills</v>
      </c>
    </row>
    <row r="39" spans="1:2" x14ac:dyDescent="0.3">
      <c r="A39">
        <v>8</v>
      </c>
      <c r="B39" t="str">
        <f>+VLOOKUP(A39,List!$A$1:$B$29,2,FALSE)</f>
        <v>When buying a boat, functionality is more important than style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5"/>
  <sheetViews>
    <sheetView workbookViewId="0">
      <selection activeCell="B37" sqref="B37"/>
    </sheetView>
  </sheetViews>
  <sheetFormatPr defaultRowHeight="14.4" x14ac:dyDescent="0.3"/>
  <cols>
    <col min="2" max="2" width="74.21875" customWidth="1"/>
  </cols>
  <sheetData>
    <row r="1" spans="1:2" x14ac:dyDescent="0.3">
      <c r="B1" s="1" t="s">
        <v>39</v>
      </c>
    </row>
    <row r="2" spans="1:2" x14ac:dyDescent="0.3">
      <c r="A2">
        <v>21</v>
      </c>
      <c r="B2" t="str">
        <f>+VLOOKUP(A2,List!$A$1:$B$29,2,FALSE)</f>
        <v>Boating helps me escape from everyday life and relax</v>
      </c>
    </row>
    <row r="3" spans="1:2" x14ac:dyDescent="0.3">
      <c r="A3">
        <v>18</v>
      </c>
      <c r="B3" t="str">
        <f>+VLOOKUP(A3,List!$A$1:$B$29,2,FALSE)</f>
        <v>Boating gives me a feeling of adventure</v>
      </c>
    </row>
    <row r="4" spans="1:2" x14ac:dyDescent="0.3">
      <c r="A4">
        <v>19</v>
      </c>
      <c r="B4" t="str">
        <f>+VLOOKUP(A4,List!$A$1:$B$29,2,FALSE)</f>
        <v>Boating allows me to experience nature</v>
      </c>
    </row>
    <row r="5" spans="1:2" x14ac:dyDescent="0.3">
      <c r="A5">
        <v>6</v>
      </c>
      <c r="B5" t="str">
        <f>+VLOOKUP(A5,List!$A$1:$B$29,2,FALSE)</f>
        <v>Owning a boat is a way of rewarding myself for hard work</v>
      </c>
    </row>
    <row r="6" spans="1:2" x14ac:dyDescent="0.3">
      <c r="A6">
        <v>24</v>
      </c>
      <c r="B6" t="str">
        <f>+VLOOKUP(A6,List!$A$1:$B$29,2,FALSE)</f>
        <v>Boating gives me an outlet to socialize with family/friends</v>
      </c>
    </row>
    <row r="7" spans="1:2" x14ac:dyDescent="0.3">
      <c r="A7">
        <v>22</v>
      </c>
      <c r="B7" t="str">
        <f>+VLOOKUP(A7,List!$A$1:$B$29,2,FALSE)</f>
        <v>Boating helps me stay active</v>
      </c>
    </row>
    <row r="8" spans="1:2" x14ac:dyDescent="0.3">
      <c r="A8">
        <v>7</v>
      </c>
      <c r="B8" t="str">
        <f>+VLOOKUP(A8,List!$A$1:$B$29,2,FALSE)</f>
        <v>Owning a boat gives me a sense of achievement</v>
      </c>
    </row>
    <row r="11" spans="1:2" x14ac:dyDescent="0.3">
      <c r="B11" s="1" t="s">
        <v>40</v>
      </c>
    </row>
    <row r="12" spans="1:2" x14ac:dyDescent="0.3">
      <c r="A12">
        <v>11</v>
      </c>
      <c r="B12" t="str">
        <f>+VLOOKUP(A12,List!$A$1:$B$29,2,FALSE)</f>
        <v>I tend to perform minor boat repairs and maintenance on my own</v>
      </c>
    </row>
    <row r="13" spans="1:2" x14ac:dyDescent="0.3">
      <c r="A13">
        <v>16</v>
      </c>
      <c r="B13" t="str">
        <f>+VLOOKUP(A13,List!$A$1:$B$29,2,FALSE)</f>
        <v>People tend to come to me for advice about boating</v>
      </c>
    </row>
    <row r="14" spans="1:2" x14ac:dyDescent="0.3">
      <c r="A14">
        <v>17</v>
      </c>
      <c r="B14" t="str">
        <f>+VLOOKUP(A14,List!$A$1:$B$29,2,FALSE)</f>
        <v>I consider myself more knowledgeable about boating than the rest of my boating peers</v>
      </c>
    </row>
    <row r="17" spans="1:2" x14ac:dyDescent="0.3">
      <c r="B17" s="1" t="s">
        <v>41</v>
      </c>
    </row>
    <row r="18" spans="1:2" x14ac:dyDescent="0.3">
      <c r="A18">
        <v>15</v>
      </c>
      <c r="B18" t="str">
        <f>+VLOOKUP(A18,List!$A$1:$B$29,2,FALSE)</f>
        <v>I am serious about the technology on my boat</v>
      </c>
    </row>
    <row r="19" spans="1:2" x14ac:dyDescent="0.3">
      <c r="A19">
        <v>4</v>
      </c>
      <c r="B19" t="str">
        <f>+VLOOKUP(A19,List!$A$1:$B$29,2,FALSE)</f>
        <v>I only consider buying a boat from a reputable brand</v>
      </c>
    </row>
    <row r="20" spans="1:2" x14ac:dyDescent="0.3">
      <c r="A20">
        <v>5</v>
      </c>
      <c r="B20" t="str">
        <f>+VLOOKUP(A20,List!$A$1:$B$29,2,FALSE)</f>
        <v>I am willing to pay a premium for a brand with a reputation for high quality</v>
      </c>
    </row>
    <row r="21" spans="1:2" x14ac:dyDescent="0.3">
      <c r="A21">
        <v>14</v>
      </c>
      <c r="B21" t="str">
        <f>+VLOOKUP(A21,List!$A$1:$B$29,2,FALSE)</f>
        <v>When buying accessories for my boat, I tend to buy the latest and greatest</v>
      </c>
    </row>
    <row r="22" spans="1:2" x14ac:dyDescent="0.3">
      <c r="A22">
        <v>13</v>
      </c>
      <c r="B22" t="str">
        <f>+VLOOKUP(A22,List!$A$1:$B$29,2,FALSE)</f>
        <v>When buying a boat, I tend to buy the latest and greatest</v>
      </c>
    </row>
    <row r="25" spans="1:2" x14ac:dyDescent="0.3">
      <c r="B25" s="1" t="s">
        <v>42</v>
      </c>
    </row>
    <row r="26" spans="1:2" x14ac:dyDescent="0.3">
      <c r="A26">
        <v>3</v>
      </c>
      <c r="B26" t="str">
        <f>+VLOOKUP(A26,List!$A$1:$B$29,2,FALSE)</f>
        <v>The brand of the boat I buy says a lot about who I am</v>
      </c>
    </row>
    <row r="27" spans="1:2" x14ac:dyDescent="0.3">
      <c r="A27">
        <v>9</v>
      </c>
      <c r="B27" t="str">
        <f>+VLOOKUP(A27,List!$A$1:$B$29,2,FALSE)</f>
        <v>I see my boat as status symbol</v>
      </c>
    </row>
    <row r="28" spans="1:2" x14ac:dyDescent="0.3">
      <c r="A28">
        <v>26</v>
      </c>
      <c r="B28" t="str">
        <f>+VLOOKUP(A28,List!$A$1:$B$29,2,FALSE)</f>
        <v>Having a powerful boat is what is most important to me</v>
      </c>
    </row>
    <row r="31" spans="1:2" x14ac:dyDescent="0.3">
      <c r="B31" s="1" t="s">
        <v>30</v>
      </c>
    </row>
    <row r="32" spans="1:2" x14ac:dyDescent="0.3">
      <c r="A32">
        <v>10</v>
      </c>
      <c r="B32" t="str">
        <f>+VLOOKUP(A32,List!$A$1:$B$29,2,FALSE)</f>
        <v>When buying a boat, I rely more on expert opinion than my own</v>
      </c>
    </row>
    <row r="33" spans="1:2" x14ac:dyDescent="0.3">
      <c r="A33">
        <v>8</v>
      </c>
      <c r="B33" t="str">
        <f>+VLOOKUP(A33,List!$A$1:$B$29,2,FALSE)</f>
        <v>When buying a boat, functionality is more important than style</v>
      </c>
    </row>
    <row r="34" spans="1:2" x14ac:dyDescent="0.3">
      <c r="A34">
        <v>2</v>
      </c>
      <c r="B34" t="str">
        <f>+VLOOKUP(A34,List!$A$1:$B$29,2,FALSE)</f>
        <v>When buying a bot, getting the lowest P is more important than brand</v>
      </c>
    </row>
    <row r="35" spans="1:2" x14ac:dyDescent="0.3">
      <c r="A35">
        <v>12</v>
      </c>
      <c r="B35" t="str">
        <f>+VLOOKUP(A35,List!$A$1:$B$29,2,FALSE)</f>
        <v>When it comes to boating, I tend to prefer a basic boat with little to no frills</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7"/>
  <sheetViews>
    <sheetView topLeftCell="A19" workbookViewId="0">
      <selection activeCell="B37" sqref="B37"/>
    </sheetView>
  </sheetViews>
  <sheetFormatPr defaultRowHeight="14.4" x14ac:dyDescent="0.3"/>
  <cols>
    <col min="2" max="2" width="74.21875" customWidth="1"/>
  </cols>
  <sheetData>
    <row r="1" spans="1:2" x14ac:dyDescent="0.3">
      <c r="B1" s="1" t="s">
        <v>34</v>
      </c>
    </row>
    <row r="2" spans="1:2" x14ac:dyDescent="0.3">
      <c r="A2">
        <v>28</v>
      </c>
      <c r="B2" t="str">
        <f>+VLOOKUP(A2,List!$A$1:$B$29,2,FALSE)</f>
        <v>Boating is my true passion in life</v>
      </c>
    </row>
    <row r="3" spans="1:2" x14ac:dyDescent="0.3">
      <c r="A3">
        <v>27</v>
      </c>
      <c r="B3" t="str">
        <f>+VLOOKUP(A3,List!$A$1:$B$29,2,FALSE)</f>
        <v>Boating is the number one thing I do with my spare time</v>
      </c>
    </row>
    <row r="4" spans="1:2" x14ac:dyDescent="0.3">
      <c r="A4">
        <v>20</v>
      </c>
      <c r="B4" t="str">
        <f>+VLOOKUP(A4,List!$A$1:$B$29,2,FALSE)</f>
        <v>When not on my boat, I often find myself doing boating related activities</v>
      </c>
    </row>
    <row r="5" spans="1:2" x14ac:dyDescent="0.3">
      <c r="A5">
        <v>3</v>
      </c>
      <c r="B5" t="str">
        <f>+VLOOKUP(A5,List!$A$1:$B$29,2,FALSE)</f>
        <v>The brand of the boat I buy says a lot about who I am</v>
      </c>
    </row>
    <row r="6" spans="1:2" x14ac:dyDescent="0.3">
      <c r="A6">
        <v>16</v>
      </c>
      <c r="B6" t="str">
        <f>+VLOOKUP(A6,List!$A$1:$B$29,2,FALSE)</f>
        <v>People tend to come to me for advice about boating</v>
      </c>
    </row>
    <row r="7" spans="1:2" x14ac:dyDescent="0.3">
      <c r="A7">
        <v>7</v>
      </c>
      <c r="B7" t="str">
        <f>+VLOOKUP(A7,List!$A$1:$B$29,2,FALSE)</f>
        <v>Owning a boat gives me a sense of achievement</v>
      </c>
    </row>
    <row r="8" spans="1:2" x14ac:dyDescent="0.3">
      <c r="A8">
        <v>9</v>
      </c>
      <c r="B8" t="str">
        <f>+VLOOKUP(A8,List!$A$1:$B$29,2,FALSE)</f>
        <v>I see my boat as status symbol</v>
      </c>
    </row>
    <row r="9" spans="1:2" x14ac:dyDescent="0.3">
      <c r="A9">
        <v>14</v>
      </c>
      <c r="B9" t="str">
        <f>+VLOOKUP(A9,List!$A$1:$B$29,2,FALSE)</f>
        <v>When buying accessories for my boat, I tend to buy the latest and greatest</v>
      </c>
    </row>
    <row r="10" spans="1:2" x14ac:dyDescent="0.3">
      <c r="A10">
        <v>26</v>
      </c>
      <c r="B10" t="str">
        <f>+VLOOKUP(A10,List!$A$1:$B$29,2,FALSE)</f>
        <v>Having a powerful boat is what is most important to me</v>
      </c>
    </row>
    <row r="11" spans="1:2" x14ac:dyDescent="0.3">
      <c r="A11">
        <v>13</v>
      </c>
      <c r="B11" t="str">
        <f>+VLOOKUP(A11,List!$A$1:$B$29,2,FALSE)</f>
        <v>When buying a boat, I tend to buy the latest and greatest</v>
      </c>
    </row>
    <row r="12" spans="1:2" x14ac:dyDescent="0.3">
      <c r="A12">
        <v>17</v>
      </c>
      <c r="B12" t="str">
        <f>+VLOOKUP(A12,List!$A$1:$B$29,2,FALSE)</f>
        <v>I consider myself more knowledgeable about boating than the rest of my boating peers</v>
      </c>
    </row>
    <row r="13" spans="1:2" x14ac:dyDescent="0.3">
      <c r="A13">
        <v>15</v>
      </c>
      <c r="B13" t="str">
        <f>+VLOOKUP(A13,List!$A$1:$B$29,2,FALSE)</f>
        <v>I am serious about the technology on my boat</v>
      </c>
    </row>
    <row r="14" spans="1:2" x14ac:dyDescent="0.3">
      <c r="A14">
        <v>25</v>
      </c>
      <c r="B14" t="str">
        <f>+VLOOKUP(A14,List!$A$1:$B$29,2,FALSE)</f>
        <v>Being in charge of my boat is what is most important to me</v>
      </c>
    </row>
    <row r="15" spans="1:2" x14ac:dyDescent="0.3">
      <c r="A15">
        <v>6</v>
      </c>
      <c r="B15" t="str">
        <f>+VLOOKUP(A15,List!$A$1:$B$29,2,FALSE)</f>
        <v>Owning a boat is a way of rewarding myself for hard work</v>
      </c>
    </row>
    <row r="16" spans="1:2" x14ac:dyDescent="0.3">
      <c r="A16">
        <v>23</v>
      </c>
      <c r="B16" t="str">
        <f>+VLOOKUP(A16,List!$A$1:$B$29,2,FALSE)</f>
        <v>Boating allows me to excel in the sports that I am passionate about</v>
      </c>
    </row>
    <row r="17" spans="1:2" x14ac:dyDescent="0.3">
      <c r="A17">
        <v>22</v>
      </c>
      <c r="B17" t="str">
        <f>+VLOOKUP(A17,List!$A$1:$B$29,2,FALSE)</f>
        <v>Boating helps me stay active</v>
      </c>
    </row>
    <row r="18" spans="1:2" x14ac:dyDescent="0.3">
      <c r="A18">
        <v>5</v>
      </c>
      <c r="B18" t="str">
        <f>+VLOOKUP(A18,List!$A$1:$B$29,2,FALSE)</f>
        <v>I am willing to pay a premium for a brand with a reputation for high quality</v>
      </c>
    </row>
    <row r="19" spans="1:2" x14ac:dyDescent="0.3">
      <c r="A19">
        <v>18</v>
      </c>
      <c r="B19" t="str">
        <f>+VLOOKUP(A19,List!$A$1:$B$29,2,FALSE)</f>
        <v>Boating gives me a feeling of adventure</v>
      </c>
    </row>
    <row r="22" spans="1:2" x14ac:dyDescent="0.3">
      <c r="B22" s="1" t="s">
        <v>32</v>
      </c>
    </row>
    <row r="23" spans="1:2" x14ac:dyDescent="0.3">
      <c r="A23">
        <v>18</v>
      </c>
      <c r="B23" t="str">
        <f>+VLOOKUP(A23,List!$A$1:$B$29,2,FALSE)</f>
        <v>Boating gives me a feeling of adventure</v>
      </c>
    </row>
    <row r="24" spans="1:2" x14ac:dyDescent="0.3">
      <c r="A24">
        <v>21</v>
      </c>
      <c r="B24" t="str">
        <f>+VLOOKUP(A24,List!$A$1:$B$29,2,FALSE)</f>
        <v>Boating helps me escape from everyday life and relax</v>
      </c>
    </row>
    <row r="25" spans="1:2" x14ac:dyDescent="0.3">
      <c r="A25">
        <v>19</v>
      </c>
      <c r="B25" t="str">
        <f>+VLOOKUP(A25,List!$A$1:$B$29,2,FALSE)</f>
        <v>Boating allows me to experience nature</v>
      </c>
    </row>
    <row r="28" spans="1:2" x14ac:dyDescent="0.3">
      <c r="B28" s="1" t="s">
        <v>35</v>
      </c>
    </row>
    <row r="29" spans="1:2" x14ac:dyDescent="0.3">
      <c r="A29">
        <v>2</v>
      </c>
      <c r="B29" t="str">
        <f>+VLOOKUP(A29,List!$A$1:$B$29,2,FALSE)</f>
        <v>When buying a bot, getting the lowest P is more important than brand</v>
      </c>
    </row>
    <row r="30" spans="1:2" x14ac:dyDescent="0.3">
      <c r="A30">
        <v>12</v>
      </c>
      <c r="B30" t="str">
        <f>+VLOOKUP(A30,List!$A$1:$B$29,2,FALSE)</f>
        <v>When it comes to boating, I tend to prefer a basic boat with little to no frills</v>
      </c>
    </row>
    <row r="33" spans="1:2" x14ac:dyDescent="0.3">
      <c r="B33" s="1" t="s">
        <v>36</v>
      </c>
    </row>
    <row r="34" spans="1:2" x14ac:dyDescent="0.3">
      <c r="A34">
        <v>10</v>
      </c>
      <c r="B34" t="str">
        <f>+VLOOKUP(A34,List!$A$1:$B$29,2,FALSE)</f>
        <v>When buying a boat, I rely more on expert opinion than my own</v>
      </c>
    </row>
    <row r="36" spans="1:2" x14ac:dyDescent="0.3">
      <c r="B36" s="1" t="s">
        <v>43</v>
      </c>
    </row>
    <row r="37" spans="1:2" x14ac:dyDescent="0.3">
      <c r="A37">
        <v>4</v>
      </c>
      <c r="B37" t="str">
        <f>+VLOOKUP(A37,List!$A$1:$B$29,2,FALSE)</f>
        <v>I only consider buying a boat from a reputable brand</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7"/>
  <sheetViews>
    <sheetView workbookViewId="0">
      <selection activeCell="B10" sqref="B10"/>
    </sheetView>
  </sheetViews>
  <sheetFormatPr defaultRowHeight="14.4" x14ac:dyDescent="0.3"/>
  <cols>
    <col min="2" max="2" width="74.21875" customWidth="1"/>
  </cols>
  <sheetData>
    <row r="1" spans="1:2" x14ac:dyDescent="0.3">
      <c r="B1" s="1" t="s">
        <v>34</v>
      </c>
    </row>
    <row r="2" spans="1:2" x14ac:dyDescent="0.3">
      <c r="A2">
        <v>9</v>
      </c>
      <c r="B2" t="str">
        <f>+VLOOKUP(A2,List!$A$1:$B$29,2,FALSE)</f>
        <v>I see my boat as status symbol</v>
      </c>
    </row>
    <row r="3" spans="1:2" x14ac:dyDescent="0.3">
      <c r="A3">
        <v>26</v>
      </c>
      <c r="B3" t="str">
        <f>+VLOOKUP(A3,List!$A$1:$B$29,2,FALSE)</f>
        <v>Having a powerful boat is what is most important to me</v>
      </c>
    </row>
    <row r="4" spans="1:2" x14ac:dyDescent="0.3">
      <c r="A4">
        <v>16</v>
      </c>
      <c r="B4" t="str">
        <f>+VLOOKUP(A4,List!$A$1:$B$29,2,FALSE)</f>
        <v>People tend to come to me for advice about boating</v>
      </c>
    </row>
    <row r="5" spans="1:2" x14ac:dyDescent="0.3">
      <c r="A5">
        <v>27</v>
      </c>
      <c r="B5" t="str">
        <f>+VLOOKUP(A5,List!$A$1:$B$29,2,FALSE)</f>
        <v>Boating is the number one thing I do with my spare time</v>
      </c>
    </row>
    <row r="6" spans="1:2" x14ac:dyDescent="0.3">
      <c r="A6">
        <v>3</v>
      </c>
      <c r="B6" t="str">
        <f>+VLOOKUP(A6,List!$A$1:$B$29,2,FALSE)</f>
        <v>The brand of the boat I buy says a lot about who I am</v>
      </c>
    </row>
    <row r="7" spans="1:2" x14ac:dyDescent="0.3">
      <c r="A7">
        <v>17</v>
      </c>
      <c r="B7" t="str">
        <f>+VLOOKUP(A7,List!$A$1:$B$29,2,FALSE)</f>
        <v>I consider myself more knowledgeable about boating than the rest of my boating peers</v>
      </c>
    </row>
    <row r="8" spans="1:2" x14ac:dyDescent="0.3">
      <c r="A8">
        <v>28</v>
      </c>
      <c r="B8" t="str">
        <f>+VLOOKUP(A8,List!$A$1:$B$29,2,FALSE)</f>
        <v>Boating is my true passion in life</v>
      </c>
    </row>
    <row r="9" spans="1:2" x14ac:dyDescent="0.3">
      <c r="A9">
        <v>13</v>
      </c>
      <c r="B9" t="str">
        <f>+VLOOKUP(A9,List!$A$1:$B$29,2,FALSE)</f>
        <v>When buying a boat, I tend to buy the latest and greatest</v>
      </c>
    </row>
    <row r="10" spans="1:2" x14ac:dyDescent="0.3">
      <c r="A10">
        <v>20</v>
      </c>
      <c r="B10" t="str">
        <f>+VLOOKUP(A10,List!$A$1:$B$29,2,FALSE)</f>
        <v>When not on my boat, I often find myself doing boating related activities</v>
      </c>
    </row>
    <row r="11" spans="1:2" x14ac:dyDescent="0.3">
      <c r="A11">
        <v>14</v>
      </c>
      <c r="B11" t="str">
        <f>+VLOOKUP(A11,List!$A$1:$B$29,2,FALSE)</f>
        <v>When buying accessories for my boat, I tend to buy the latest and greatest</v>
      </c>
    </row>
    <row r="12" spans="1:2" x14ac:dyDescent="0.3">
      <c r="A12">
        <v>7</v>
      </c>
      <c r="B12" t="str">
        <f>+VLOOKUP(A12,List!$A$1:$B$29,2,FALSE)</f>
        <v>Owning a boat gives me a sense of achievement</v>
      </c>
    </row>
    <row r="15" spans="1:2" x14ac:dyDescent="0.3">
      <c r="B15" s="1" t="s">
        <v>32</v>
      </c>
    </row>
    <row r="16" spans="1:2" x14ac:dyDescent="0.3">
      <c r="A16">
        <v>6</v>
      </c>
      <c r="B16" t="str">
        <f>+VLOOKUP(A16,List!$A$1:$B$29,2,FALSE)</f>
        <v>Owning a boat is a way of rewarding myself for hard work</v>
      </c>
    </row>
    <row r="17" spans="1:2" x14ac:dyDescent="0.3">
      <c r="A17">
        <v>22</v>
      </c>
      <c r="B17" t="str">
        <f>+VLOOKUP(A17,List!$A$1:$B$29,2,FALSE)</f>
        <v>Boating helps me stay active</v>
      </c>
    </row>
    <row r="18" spans="1:2" x14ac:dyDescent="0.3">
      <c r="A18">
        <v>18</v>
      </c>
      <c r="B18" t="str">
        <f>+VLOOKUP(A18,List!$A$1:$B$29,2,FALSE)</f>
        <v>Boating gives me a feeling of adventure</v>
      </c>
    </row>
    <row r="19" spans="1:2" x14ac:dyDescent="0.3">
      <c r="A19">
        <v>24</v>
      </c>
      <c r="B19" t="str">
        <f>+VLOOKUP(A19,List!$A$1:$B$29,2,FALSE)</f>
        <v>Boating gives me an outlet to socialize with family/friends</v>
      </c>
    </row>
    <row r="20" spans="1:2" x14ac:dyDescent="0.3">
      <c r="A20">
        <v>21</v>
      </c>
      <c r="B20" t="str">
        <f>+VLOOKUP(A20,List!$A$1:$B$29,2,FALSE)</f>
        <v>Boating helps me escape from everyday life and relax</v>
      </c>
    </row>
    <row r="21" spans="1:2" x14ac:dyDescent="0.3">
      <c r="A21">
        <v>19</v>
      </c>
      <c r="B21" t="str">
        <f>+VLOOKUP(A21,List!$A$1:$B$29,2,FALSE)</f>
        <v>Boating allows me to experience nature</v>
      </c>
    </row>
    <row r="24" spans="1:2" x14ac:dyDescent="0.3">
      <c r="B24" s="1" t="s">
        <v>46</v>
      </c>
    </row>
    <row r="25" spans="1:2" x14ac:dyDescent="0.3">
      <c r="A25">
        <v>5</v>
      </c>
      <c r="B25" t="str">
        <f>+VLOOKUP(A25,List!$A$1:$B$29,2,FALSE)</f>
        <v>I am willing to pay a premium for a brand with a reputation for high quality</v>
      </c>
    </row>
    <row r="26" spans="1:2" x14ac:dyDescent="0.3">
      <c r="A26">
        <v>4</v>
      </c>
      <c r="B26" t="str">
        <f>+VLOOKUP(A26,List!$A$1:$B$29,2,FALSE)</f>
        <v>I only consider buying a boat from a reputable brand</v>
      </c>
    </row>
    <row r="29" spans="1:2" x14ac:dyDescent="0.3">
      <c r="B29" s="1" t="s">
        <v>45</v>
      </c>
    </row>
    <row r="30" spans="1:2" x14ac:dyDescent="0.3">
      <c r="A30">
        <v>2</v>
      </c>
      <c r="B30" t="str">
        <f>+VLOOKUP(A30,List!$A$1:$B$29,2,FALSE)</f>
        <v>When buying a bot, getting the lowest P is more important than brand</v>
      </c>
    </row>
    <row r="31" spans="1:2" x14ac:dyDescent="0.3">
      <c r="A31">
        <v>12</v>
      </c>
      <c r="B31" t="str">
        <f>+VLOOKUP(A31,List!$A$1:$B$29,2,FALSE)</f>
        <v>When it comes to boating, I tend to prefer a basic boat with little to no frills</v>
      </c>
    </row>
    <row r="32" spans="1:2" x14ac:dyDescent="0.3">
      <c r="A32">
        <v>8</v>
      </c>
      <c r="B32" t="str">
        <f>+VLOOKUP(A32,List!$A$1:$B$29,2,FALSE)</f>
        <v>When buying a boat, functionality is more important than style</v>
      </c>
    </row>
    <row r="35" spans="1:2" x14ac:dyDescent="0.3">
      <c r="B35" s="1" t="s">
        <v>44</v>
      </c>
    </row>
    <row r="36" spans="1:2" x14ac:dyDescent="0.3">
      <c r="A36" s="2">
        <v>11</v>
      </c>
      <c r="B36" t="str">
        <f>+VLOOKUP(A36,List!$A$1:$B$29,2,FALSE)</f>
        <v>I tend to perform minor boat repairs and maintenance on my own</v>
      </c>
    </row>
    <row r="37" spans="1:2" x14ac:dyDescent="0.3">
      <c r="A37">
        <v>10</v>
      </c>
      <c r="B37" t="str">
        <f>+VLOOKUP(A37,List!$A$1:$B$29,2,FALSE)</f>
        <v>When buying a boat, I rely more on expert opinion than my own</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5"/>
  <sheetViews>
    <sheetView workbookViewId="0">
      <selection activeCell="A16" sqref="A16"/>
    </sheetView>
  </sheetViews>
  <sheetFormatPr defaultRowHeight="14.4" x14ac:dyDescent="0.3"/>
  <cols>
    <col min="2" max="2" width="74.21875" customWidth="1"/>
  </cols>
  <sheetData>
    <row r="1" spans="1:2" x14ac:dyDescent="0.3">
      <c r="B1" s="1" t="s">
        <v>34</v>
      </c>
    </row>
    <row r="2" spans="1:2" x14ac:dyDescent="0.3">
      <c r="A2">
        <v>28</v>
      </c>
      <c r="B2" t="str">
        <f>+VLOOKUP(A2,List!$A$1:$B$29,2,FALSE)</f>
        <v>Boating is my true passion in life</v>
      </c>
    </row>
    <row r="3" spans="1:2" x14ac:dyDescent="0.3">
      <c r="A3">
        <v>14</v>
      </c>
      <c r="B3" t="str">
        <f>+VLOOKUP(A3,List!$A$1:$B$29,2,FALSE)</f>
        <v>When buying accessories for my boat, I tend to buy the latest and greatest</v>
      </c>
    </row>
    <row r="4" spans="1:2" x14ac:dyDescent="0.3">
      <c r="A4">
        <v>20</v>
      </c>
      <c r="B4" t="str">
        <f>+VLOOKUP(A4,List!$A$1:$B$29,2,FALSE)</f>
        <v>When not on my boat, I often find myself doing boating related activities</v>
      </c>
    </row>
    <row r="5" spans="1:2" x14ac:dyDescent="0.3">
      <c r="A5">
        <v>27</v>
      </c>
      <c r="B5" t="str">
        <f>+VLOOKUP(A5,List!$A$1:$B$29,2,FALSE)</f>
        <v>Boating is the number one thing I do with my spare time</v>
      </c>
    </row>
    <row r="6" spans="1:2" x14ac:dyDescent="0.3">
      <c r="A6">
        <v>3</v>
      </c>
      <c r="B6" t="str">
        <f>+VLOOKUP(A6,List!$A$1:$B$29,2,FALSE)</f>
        <v>The brand of the boat I buy says a lot about who I am</v>
      </c>
    </row>
    <row r="7" spans="1:2" x14ac:dyDescent="0.3">
      <c r="A7">
        <v>7</v>
      </c>
      <c r="B7" t="str">
        <f>+VLOOKUP(A7,List!$A$1:$B$29,2,FALSE)</f>
        <v>Owning a boat gives me a sense of achievement</v>
      </c>
    </row>
    <row r="8" spans="1:2" x14ac:dyDescent="0.3">
      <c r="A8">
        <v>15</v>
      </c>
      <c r="B8" t="str">
        <f>+VLOOKUP(A8,List!$A$1:$B$29,2,FALSE)</f>
        <v>I am serious about the technology on my boat</v>
      </c>
    </row>
    <row r="9" spans="1:2" x14ac:dyDescent="0.3">
      <c r="A9">
        <v>16</v>
      </c>
      <c r="B9" t="str">
        <f>+VLOOKUP(A9,List!$A$1:$B$29,2,FALSE)</f>
        <v>People tend to come to me for advice about boating</v>
      </c>
    </row>
    <row r="10" spans="1:2" x14ac:dyDescent="0.3">
      <c r="A10">
        <v>13</v>
      </c>
      <c r="B10" t="str">
        <f>+VLOOKUP(A10,List!$A$1:$B$29,2,FALSE)</f>
        <v>When buying a boat, I tend to buy the latest and greatest</v>
      </c>
    </row>
    <row r="11" spans="1:2" x14ac:dyDescent="0.3">
      <c r="A11">
        <v>25</v>
      </c>
      <c r="B11" t="str">
        <f>+VLOOKUP(A11,List!$A$1:$B$29,2,FALSE)</f>
        <v>Being in charge of my boat is what is most important to me</v>
      </c>
    </row>
    <row r="12" spans="1:2" x14ac:dyDescent="0.3">
      <c r="A12">
        <v>6</v>
      </c>
      <c r="B12" t="str">
        <f>+VLOOKUP(A12,List!$A$1:$B$29,2,FALSE)</f>
        <v>Owning a boat is a way of rewarding myself for hard work</v>
      </c>
    </row>
    <row r="13" spans="1:2" x14ac:dyDescent="0.3">
      <c r="A13">
        <v>26</v>
      </c>
      <c r="B13" t="str">
        <f>+VLOOKUP(A13,List!$A$1:$B$29,2,FALSE)</f>
        <v>Having a powerful boat is what is most important to me</v>
      </c>
    </row>
    <row r="14" spans="1:2" x14ac:dyDescent="0.3">
      <c r="A14">
        <v>9</v>
      </c>
      <c r="B14" t="str">
        <f>+VLOOKUP(A14,List!$A$1:$B$29,2,FALSE)</f>
        <v>I see my boat as status symbol</v>
      </c>
    </row>
    <row r="15" spans="1:2" x14ac:dyDescent="0.3">
      <c r="A15">
        <v>17</v>
      </c>
      <c r="B15" t="str">
        <f>+VLOOKUP(A15,List!$A$1:$B$29,2,FALSE)</f>
        <v>I consider myself more knowledgeable about boating than the rest of my boating peers</v>
      </c>
    </row>
    <row r="16" spans="1:2" x14ac:dyDescent="0.3">
      <c r="A16">
        <v>22</v>
      </c>
      <c r="B16" t="str">
        <f>+VLOOKUP(A16,List!$A$1:$B$29,2,FALSE)</f>
        <v>Boating helps me stay active</v>
      </c>
    </row>
    <row r="17" spans="1:2" x14ac:dyDescent="0.3">
      <c r="A17">
        <v>23</v>
      </c>
      <c r="B17" t="str">
        <f>+VLOOKUP(A17,List!$A$1:$B$29,2,FALSE)</f>
        <v>Boating allows me to excel in the sports that I am passionate about</v>
      </c>
    </row>
    <row r="18" spans="1:2" x14ac:dyDescent="0.3">
      <c r="A18">
        <v>5</v>
      </c>
      <c r="B18" t="str">
        <f>+VLOOKUP(A18,List!$A$1:$B$29,2,FALSE)</f>
        <v>I am willing to pay a premium for a brand with a reputation for high quality</v>
      </c>
    </row>
    <row r="19" spans="1:2" x14ac:dyDescent="0.3">
      <c r="A19">
        <v>18</v>
      </c>
      <c r="B19" t="str">
        <f>+VLOOKUP(A19,List!$A$1:$B$29,2,FALSE)</f>
        <v>Boating gives me a feeling of adventure</v>
      </c>
    </row>
    <row r="22" spans="1:2" x14ac:dyDescent="0.3">
      <c r="B22" s="1" t="s">
        <v>32</v>
      </c>
    </row>
    <row r="23" spans="1:2" x14ac:dyDescent="0.3">
      <c r="A23">
        <v>21</v>
      </c>
      <c r="B23" t="str">
        <f>+VLOOKUP(A23,List!$A$1:$B$29,2,FALSE)</f>
        <v>Boating helps me escape from everyday life and relax</v>
      </c>
    </row>
    <row r="24" spans="1:2" x14ac:dyDescent="0.3">
      <c r="A24">
        <v>19</v>
      </c>
      <c r="B24" t="str">
        <f>+VLOOKUP(A24,List!$A$1:$B$29,2,FALSE)</f>
        <v>Boating allows me to experience nature</v>
      </c>
    </row>
    <row r="27" spans="1:2" x14ac:dyDescent="0.3">
      <c r="B27" s="1" t="s">
        <v>47</v>
      </c>
    </row>
    <row r="28" spans="1:2" x14ac:dyDescent="0.3">
      <c r="A28">
        <v>8</v>
      </c>
      <c r="B28" t="str">
        <f>+VLOOKUP(A28,List!$A$1:$B$29,2,FALSE)</f>
        <v>When buying a boat, functionality is more important than style</v>
      </c>
    </row>
    <row r="29" spans="1:2" x14ac:dyDescent="0.3">
      <c r="A29">
        <v>2</v>
      </c>
      <c r="B29" t="str">
        <f>+VLOOKUP(A29,List!$A$1:$B$29,2,FALSE)</f>
        <v>When buying a bot, getting the lowest P is more important than brand</v>
      </c>
    </row>
    <row r="30" spans="1:2" x14ac:dyDescent="0.3">
      <c r="A30">
        <v>13</v>
      </c>
      <c r="B30" t="str">
        <f>+VLOOKUP(A30,List!$A$1:$B$29,2,FALSE)</f>
        <v>When buying a boat, I tend to buy the latest and greatest</v>
      </c>
    </row>
    <row r="33" spans="1:2" x14ac:dyDescent="0.3">
      <c r="B33" s="1" t="s">
        <v>48</v>
      </c>
    </row>
    <row r="34" spans="1:2" x14ac:dyDescent="0.3">
      <c r="A34" s="2">
        <v>11</v>
      </c>
      <c r="B34" t="str">
        <f>+VLOOKUP(A34,List!$A$1:$B$29,2,FALSE)</f>
        <v>I tend to perform minor boat repairs and maintenance on my own</v>
      </c>
    </row>
    <row r="35" spans="1:2" x14ac:dyDescent="0.3">
      <c r="A35">
        <v>10</v>
      </c>
      <c r="B35" t="str">
        <f>+VLOOKUP(A35,List!$A$1:$B$29,2,FALSE)</f>
        <v>When buying a boat, I rely more on expert opinion than my own</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N33"/>
  <sheetViews>
    <sheetView workbookViewId="0"/>
  </sheetViews>
  <sheetFormatPr defaultRowHeight="14.4" x14ac:dyDescent="0.3"/>
  <cols>
    <col min="1" max="1" width="26.88671875" bestFit="1" customWidth="1"/>
    <col min="2" max="2" width="12.109375" bestFit="1" customWidth="1"/>
    <col min="3" max="11" width="19" bestFit="1" customWidth="1"/>
    <col min="12" max="14" width="20" bestFit="1" customWidth="1"/>
    <col min="15" max="15" width="4" bestFit="1" customWidth="1"/>
    <col min="16" max="16" width="6.6640625" bestFit="1" customWidth="1"/>
    <col min="17" max="17" width="4" bestFit="1" customWidth="1"/>
    <col min="18" max="18" width="6.6640625" bestFit="1" customWidth="1"/>
    <col min="19" max="19" width="10.77734375" bestFit="1" customWidth="1"/>
  </cols>
  <sheetData>
    <row r="3" spans="1:14" x14ac:dyDescent="0.3">
      <c r="A3" s="11" t="s">
        <v>64</v>
      </c>
      <c r="B3" s="11" t="s">
        <v>63</v>
      </c>
      <c r="C3" t="s">
        <v>66</v>
      </c>
      <c r="D3" t="s">
        <v>68</v>
      </c>
      <c r="E3" t="s">
        <v>69</v>
      </c>
      <c r="F3" t="s">
        <v>70</v>
      </c>
      <c r="G3" t="s">
        <v>71</v>
      </c>
      <c r="H3" t="s">
        <v>72</v>
      </c>
      <c r="I3" t="s">
        <v>73</v>
      </c>
      <c r="J3" t="s">
        <v>74</v>
      </c>
      <c r="K3" t="s">
        <v>75</v>
      </c>
      <c r="L3" t="s">
        <v>76</v>
      </c>
      <c r="M3" t="s">
        <v>77</v>
      </c>
      <c r="N3" t="s">
        <v>78</v>
      </c>
    </row>
    <row r="4" spans="1:14" x14ac:dyDescent="0.3">
      <c r="A4" t="s">
        <v>65</v>
      </c>
      <c r="B4">
        <v>1</v>
      </c>
      <c r="C4" s="10">
        <v>0</v>
      </c>
      <c r="D4" s="10">
        <v>0</v>
      </c>
      <c r="E4" s="10">
        <v>0</v>
      </c>
      <c r="F4" s="10">
        <v>0</v>
      </c>
      <c r="G4" s="10">
        <v>0</v>
      </c>
      <c r="H4" s="10">
        <v>0</v>
      </c>
      <c r="I4" s="10">
        <v>0</v>
      </c>
      <c r="J4" s="10">
        <v>0</v>
      </c>
      <c r="K4" s="10">
        <v>0</v>
      </c>
      <c r="L4" s="10">
        <v>1</v>
      </c>
      <c r="M4" s="10">
        <v>0</v>
      </c>
      <c r="N4" s="10">
        <v>0</v>
      </c>
    </row>
    <row r="5" spans="1:14" x14ac:dyDescent="0.3">
      <c r="A5" t="s">
        <v>65</v>
      </c>
      <c r="B5">
        <v>2</v>
      </c>
      <c r="C5" s="10">
        <v>0</v>
      </c>
      <c r="D5" s="10">
        <v>0</v>
      </c>
      <c r="E5" s="10">
        <v>0</v>
      </c>
      <c r="F5" s="10">
        <v>0</v>
      </c>
      <c r="G5" s="10">
        <v>2</v>
      </c>
      <c r="H5" s="10">
        <v>0</v>
      </c>
      <c r="I5" s="10">
        <v>0</v>
      </c>
      <c r="J5" s="10">
        <v>0</v>
      </c>
      <c r="K5" s="10">
        <v>0</v>
      </c>
      <c r="L5" s="10">
        <v>0</v>
      </c>
      <c r="M5" s="10">
        <v>0</v>
      </c>
      <c r="N5" s="10">
        <v>0</v>
      </c>
    </row>
    <row r="6" spans="1:14" x14ac:dyDescent="0.3">
      <c r="A6" t="s">
        <v>65</v>
      </c>
      <c r="B6">
        <v>3</v>
      </c>
      <c r="C6" s="10">
        <v>0</v>
      </c>
      <c r="D6" s="10">
        <v>0</v>
      </c>
      <c r="E6" s="10">
        <v>0</v>
      </c>
      <c r="F6" s="10">
        <v>1</v>
      </c>
      <c r="G6" s="10">
        <v>0</v>
      </c>
      <c r="H6" s="10">
        <v>0</v>
      </c>
      <c r="I6" s="10">
        <v>0</v>
      </c>
      <c r="J6" s="10">
        <v>0</v>
      </c>
      <c r="K6" s="10">
        <v>0</v>
      </c>
      <c r="L6" s="10">
        <v>0</v>
      </c>
      <c r="M6" s="10">
        <v>0</v>
      </c>
      <c r="N6" s="10">
        <v>0</v>
      </c>
    </row>
    <row r="7" spans="1:14" x14ac:dyDescent="0.3">
      <c r="A7" t="s">
        <v>65</v>
      </c>
      <c r="B7">
        <v>4</v>
      </c>
      <c r="C7" s="10">
        <v>0</v>
      </c>
      <c r="D7" s="10">
        <v>0</v>
      </c>
      <c r="E7" s="10">
        <v>0</v>
      </c>
      <c r="F7" s="10">
        <v>0</v>
      </c>
      <c r="G7" s="10">
        <v>0</v>
      </c>
      <c r="H7" s="10">
        <v>0</v>
      </c>
      <c r="I7" s="10">
        <v>1</v>
      </c>
      <c r="J7" s="10">
        <v>0</v>
      </c>
      <c r="K7" s="10">
        <v>0</v>
      </c>
      <c r="L7" s="10">
        <v>0</v>
      </c>
      <c r="M7" s="10">
        <v>0</v>
      </c>
      <c r="N7" s="10">
        <v>0</v>
      </c>
    </row>
    <row r="8" spans="1:14" x14ac:dyDescent="0.3">
      <c r="A8" t="s">
        <v>65</v>
      </c>
      <c r="B8">
        <v>5</v>
      </c>
      <c r="C8" s="10">
        <v>0</v>
      </c>
      <c r="D8" s="10">
        <v>0</v>
      </c>
      <c r="E8" s="10">
        <v>0</v>
      </c>
      <c r="F8" s="10">
        <v>0</v>
      </c>
      <c r="G8" s="10">
        <v>0</v>
      </c>
      <c r="H8" s="10">
        <v>0</v>
      </c>
      <c r="I8" s="10">
        <v>0</v>
      </c>
      <c r="J8" s="10">
        <v>0</v>
      </c>
      <c r="K8" s="10">
        <v>0</v>
      </c>
      <c r="L8" s="10">
        <v>0</v>
      </c>
      <c r="M8" s="10">
        <v>0</v>
      </c>
      <c r="N8" s="10">
        <v>0</v>
      </c>
    </row>
    <row r="9" spans="1:14" x14ac:dyDescent="0.3">
      <c r="A9" t="s">
        <v>65</v>
      </c>
      <c r="B9">
        <v>6</v>
      </c>
      <c r="C9" s="10">
        <v>0</v>
      </c>
      <c r="D9" s="10">
        <v>0</v>
      </c>
      <c r="E9" s="10">
        <v>0</v>
      </c>
      <c r="F9" s="10">
        <v>3</v>
      </c>
      <c r="G9" s="10">
        <v>0</v>
      </c>
      <c r="H9" s="10">
        <v>0</v>
      </c>
      <c r="I9" s="10">
        <v>0</v>
      </c>
      <c r="J9" s="10">
        <v>0</v>
      </c>
      <c r="K9" s="10">
        <v>0</v>
      </c>
      <c r="L9" s="10">
        <v>0</v>
      </c>
      <c r="M9" s="10">
        <v>0</v>
      </c>
      <c r="N9" s="10">
        <v>0</v>
      </c>
    </row>
    <row r="10" spans="1:14" x14ac:dyDescent="0.3">
      <c r="A10" t="s">
        <v>65</v>
      </c>
      <c r="B10">
        <v>7</v>
      </c>
      <c r="C10" s="10">
        <v>0</v>
      </c>
      <c r="D10" s="10">
        <v>0</v>
      </c>
      <c r="E10" s="10">
        <v>0</v>
      </c>
      <c r="F10" s="10">
        <v>4</v>
      </c>
      <c r="G10" s="10">
        <v>0</v>
      </c>
      <c r="H10" s="10">
        <v>0</v>
      </c>
      <c r="I10" s="10">
        <v>0</v>
      </c>
      <c r="J10" s="10">
        <v>0</v>
      </c>
      <c r="K10" s="10">
        <v>0</v>
      </c>
      <c r="L10" s="10">
        <v>0</v>
      </c>
      <c r="M10" s="10">
        <v>0</v>
      </c>
      <c r="N10" s="10">
        <v>0</v>
      </c>
    </row>
    <row r="11" spans="1:14" x14ac:dyDescent="0.3">
      <c r="A11" t="s">
        <v>65</v>
      </c>
      <c r="B11">
        <v>8</v>
      </c>
      <c r="C11" s="10">
        <v>0</v>
      </c>
      <c r="D11" s="10">
        <v>0</v>
      </c>
      <c r="E11" s="10">
        <v>0</v>
      </c>
      <c r="F11" s="10">
        <v>0</v>
      </c>
      <c r="G11" s="10">
        <v>0</v>
      </c>
      <c r="H11" s="10">
        <v>0</v>
      </c>
      <c r="I11" s="10">
        <v>0</v>
      </c>
      <c r="J11" s="10">
        <v>0</v>
      </c>
      <c r="K11" s="10">
        <v>1</v>
      </c>
      <c r="L11" s="10">
        <v>0</v>
      </c>
      <c r="M11" s="10">
        <v>0</v>
      </c>
      <c r="N11" s="10">
        <v>0</v>
      </c>
    </row>
    <row r="12" spans="1:14" x14ac:dyDescent="0.3">
      <c r="A12" t="s">
        <v>65</v>
      </c>
      <c r="B12">
        <v>9</v>
      </c>
      <c r="C12" s="10">
        <v>0</v>
      </c>
      <c r="D12" s="10">
        <v>0</v>
      </c>
      <c r="E12" s="10">
        <v>0</v>
      </c>
      <c r="F12" s="10">
        <v>2</v>
      </c>
      <c r="G12" s="10">
        <v>0</v>
      </c>
      <c r="H12" s="10">
        <v>0</v>
      </c>
      <c r="I12" s="10">
        <v>0</v>
      </c>
      <c r="J12" s="10">
        <v>0</v>
      </c>
      <c r="K12" s="10">
        <v>0</v>
      </c>
      <c r="L12" s="10">
        <v>0</v>
      </c>
      <c r="M12" s="10">
        <v>0</v>
      </c>
      <c r="N12" s="10">
        <v>0</v>
      </c>
    </row>
    <row r="13" spans="1:14" x14ac:dyDescent="0.3">
      <c r="A13" t="s">
        <v>65</v>
      </c>
      <c r="B13">
        <v>10</v>
      </c>
      <c r="C13" s="10">
        <v>0</v>
      </c>
      <c r="D13" s="10">
        <v>0</v>
      </c>
      <c r="E13" s="10">
        <v>0</v>
      </c>
      <c r="F13" s="10">
        <v>0</v>
      </c>
      <c r="G13" s="10">
        <v>0</v>
      </c>
      <c r="H13" s="10">
        <v>0</v>
      </c>
      <c r="I13" s="10">
        <v>0</v>
      </c>
      <c r="J13" s="10">
        <v>1</v>
      </c>
      <c r="K13" s="10">
        <v>0</v>
      </c>
      <c r="L13" s="10">
        <v>0</v>
      </c>
      <c r="M13" s="10">
        <v>0</v>
      </c>
      <c r="N13" s="10">
        <v>0</v>
      </c>
    </row>
    <row r="14" spans="1:14" x14ac:dyDescent="0.3">
      <c r="A14" t="s">
        <v>65</v>
      </c>
      <c r="B14">
        <v>11</v>
      </c>
      <c r="C14" s="10">
        <v>0</v>
      </c>
      <c r="D14" s="10">
        <v>0</v>
      </c>
      <c r="E14" s="10">
        <v>0</v>
      </c>
      <c r="F14" s="10">
        <v>0</v>
      </c>
      <c r="G14" s="10">
        <v>0</v>
      </c>
      <c r="H14" s="10">
        <v>1</v>
      </c>
      <c r="I14" s="10">
        <v>0</v>
      </c>
      <c r="J14" s="10">
        <v>0</v>
      </c>
      <c r="K14" s="10">
        <v>0</v>
      </c>
      <c r="L14" s="10">
        <v>0</v>
      </c>
      <c r="M14" s="10">
        <v>0</v>
      </c>
      <c r="N14" s="10">
        <v>0</v>
      </c>
    </row>
    <row r="15" spans="1:14" x14ac:dyDescent="0.3">
      <c r="A15" t="s">
        <v>65</v>
      </c>
      <c r="B15">
        <v>12</v>
      </c>
      <c r="C15" s="10">
        <v>0</v>
      </c>
      <c r="D15" s="10">
        <v>0</v>
      </c>
      <c r="E15" s="10">
        <v>0</v>
      </c>
      <c r="F15" s="10">
        <v>0</v>
      </c>
      <c r="G15" s="10">
        <v>1</v>
      </c>
      <c r="H15" s="10">
        <v>0</v>
      </c>
      <c r="I15" s="10">
        <v>0</v>
      </c>
      <c r="J15" s="10">
        <v>0</v>
      </c>
      <c r="K15" s="10">
        <v>0</v>
      </c>
      <c r="L15" s="10">
        <v>0</v>
      </c>
      <c r="M15" s="10">
        <v>0</v>
      </c>
      <c r="N15" s="10">
        <v>0</v>
      </c>
    </row>
    <row r="16" spans="1:14" x14ac:dyDescent="0.3">
      <c r="A16" t="s">
        <v>65</v>
      </c>
      <c r="B16">
        <v>13</v>
      </c>
      <c r="C16" s="10">
        <v>0</v>
      </c>
      <c r="D16" s="10">
        <v>1</v>
      </c>
      <c r="E16" s="10">
        <v>0</v>
      </c>
      <c r="F16" s="10">
        <v>0</v>
      </c>
      <c r="G16" s="10">
        <v>0</v>
      </c>
      <c r="H16" s="10">
        <v>0</v>
      </c>
      <c r="I16" s="10">
        <v>0</v>
      </c>
      <c r="J16" s="10">
        <v>0</v>
      </c>
      <c r="K16" s="10">
        <v>0</v>
      </c>
      <c r="L16" s="10">
        <v>0</v>
      </c>
      <c r="M16" s="10">
        <v>0</v>
      </c>
      <c r="N16" s="10">
        <v>0</v>
      </c>
    </row>
    <row r="17" spans="1:14" x14ac:dyDescent="0.3">
      <c r="A17" t="s">
        <v>65</v>
      </c>
      <c r="B17">
        <v>14</v>
      </c>
      <c r="C17" s="10">
        <v>0</v>
      </c>
      <c r="D17" s="10">
        <v>2</v>
      </c>
      <c r="E17" s="10">
        <v>0</v>
      </c>
      <c r="F17" s="10">
        <v>0</v>
      </c>
      <c r="G17" s="10">
        <v>0</v>
      </c>
      <c r="H17" s="10">
        <v>0</v>
      </c>
      <c r="I17" s="10">
        <v>0</v>
      </c>
      <c r="J17" s="10">
        <v>0</v>
      </c>
      <c r="K17" s="10">
        <v>0</v>
      </c>
      <c r="L17" s="10">
        <v>0</v>
      </c>
      <c r="M17" s="10">
        <v>0</v>
      </c>
      <c r="N17" s="10">
        <v>0</v>
      </c>
    </row>
    <row r="18" spans="1:14" x14ac:dyDescent="0.3">
      <c r="A18" t="s">
        <v>65</v>
      </c>
      <c r="B18">
        <v>15</v>
      </c>
      <c r="C18" s="10">
        <v>0</v>
      </c>
      <c r="D18" s="10">
        <v>3</v>
      </c>
      <c r="E18" s="10">
        <v>0</v>
      </c>
      <c r="F18" s="10">
        <v>0</v>
      </c>
      <c r="G18" s="10">
        <v>0</v>
      </c>
      <c r="H18" s="10">
        <v>0</v>
      </c>
      <c r="I18" s="10">
        <v>0</v>
      </c>
      <c r="J18" s="10">
        <v>0</v>
      </c>
      <c r="K18" s="10">
        <v>0</v>
      </c>
      <c r="L18" s="10">
        <v>0</v>
      </c>
      <c r="M18" s="10">
        <v>0</v>
      </c>
      <c r="N18" s="10">
        <v>0</v>
      </c>
    </row>
    <row r="19" spans="1:14" x14ac:dyDescent="0.3">
      <c r="A19" t="s">
        <v>65</v>
      </c>
      <c r="B19">
        <v>16</v>
      </c>
      <c r="C19" s="10">
        <v>4</v>
      </c>
      <c r="D19" s="10">
        <v>0</v>
      </c>
      <c r="E19" s="10">
        <v>0</v>
      </c>
      <c r="F19" s="10">
        <v>0</v>
      </c>
      <c r="G19" s="10">
        <v>0</v>
      </c>
      <c r="H19" s="10">
        <v>0</v>
      </c>
      <c r="I19" s="10">
        <v>0</v>
      </c>
      <c r="J19" s="10">
        <v>0</v>
      </c>
      <c r="K19" s="10">
        <v>0</v>
      </c>
      <c r="L19" s="10">
        <v>0</v>
      </c>
      <c r="M19" s="10">
        <v>0</v>
      </c>
      <c r="N19" s="10">
        <v>0</v>
      </c>
    </row>
    <row r="20" spans="1:14" x14ac:dyDescent="0.3">
      <c r="A20" t="s">
        <v>65</v>
      </c>
      <c r="B20">
        <v>17</v>
      </c>
      <c r="C20" s="10">
        <v>6</v>
      </c>
      <c r="D20" s="10">
        <v>0</v>
      </c>
      <c r="E20" s="10">
        <v>0</v>
      </c>
      <c r="F20" s="10">
        <v>0</v>
      </c>
      <c r="G20" s="10">
        <v>0</v>
      </c>
      <c r="H20" s="10">
        <v>0</v>
      </c>
      <c r="I20" s="10">
        <v>0</v>
      </c>
      <c r="J20" s="10">
        <v>0</v>
      </c>
      <c r="K20" s="10">
        <v>0</v>
      </c>
      <c r="L20" s="10">
        <v>0</v>
      </c>
      <c r="M20" s="10">
        <v>0</v>
      </c>
      <c r="N20" s="10">
        <v>0</v>
      </c>
    </row>
    <row r="21" spans="1:14" x14ac:dyDescent="0.3">
      <c r="A21" t="s">
        <v>65</v>
      </c>
      <c r="B21">
        <v>18</v>
      </c>
      <c r="C21" s="10">
        <v>0</v>
      </c>
      <c r="D21" s="10">
        <v>0</v>
      </c>
      <c r="E21" s="10">
        <v>1</v>
      </c>
      <c r="F21" s="10">
        <v>0</v>
      </c>
      <c r="G21" s="10">
        <v>0</v>
      </c>
      <c r="H21" s="10">
        <v>0</v>
      </c>
      <c r="I21" s="10">
        <v>0</v>
      </c>
      <c r="J21" s="10">
        <v>0</v>
      </c>
      <c r="K21" s="10">
        <v>0</v>
      </c>
      <c r="L21" s="10">
        <v>0</v>
      </c>
      <c r="M21" s="10">
        <v>0</v>
      </c>
      <c r="N21" s="10">
        <v>0</v>
      </c>
    </row>
    <row r="22" spans="1:14" x14ac:dyDescent="0.3">
      <c r="A22" t="s">
        <v>65</v>
      </c>
      <c r="B22">
        <v>19</v>
      </c>
      <c r="C22" s="10">
        <v>0</v>
      </c>
      <c r="D22" s="10">
        <v>0</v>
      </c>
      <c r="E22" s="10">
        <v>3</v>
      </c>
      <c r="F22" s="10">
        <v>0</v>
      </c>
      <c r="G22" s="10">
        <v>0</v>
      </c>
      <c r="H22" s="10">
        <v>0</v>
      </c>
      <c r="I22" s="10">
        <v>0</v>
      </c>
      <c r="J22" s="10">
        <v>0</v>
      </c>
      <c r="K22" s="10">
        <v>0</v>
      </c>
      <c r="L22" s="10">
        <v>0</v>
      </c>
      <c r="M22" s="10">
        <v>0</v>
      </c>
      <c r="N22" s="10">
        <v>0</v>
      </c>
    </row>
    <row r="23" spans="1:14" x14ac:dyDescent="0.3">
      <c r="A23" t="s">
        <v>65</v>
      </c>
      <c r="B23">
        <v>20</v>
      </c>
      <c r="C23" s="10">
        <v>3</v>
      </c>
      <c r="D23" s="10">
        <v>0</v>
      </c>
      <c r="E23" s="10">
        <v>0</v>
      </c>
      <c r="F23" s="10">
        <v>0</v>
      </c>
      <c r="G23" s="10">
        <v>0</v>
      </c>
      <c r="H23" s="10">
        <v>0</v>
      </c>
      <c r="I23" s="10">
        <v>0</v>
      </c>
      <c r="J23" s="10">
        <v>0</v>
      </c>
      <c r="K23" s="10">
        <v>0</v>
      </c>
      <c r="L23" s="10">
        <v>0</v>
      </c>
      <c r="M23" s="10">
        <v>0</v>
      </c>
      <c r="N23" s="10">
        <v>0</v>
      </c>
    </row>
    <row r="24" spans="1:14" x14ac:dyDescent="0.3">
      <c r="A24" t="s">
        <v>65</v>
      </c>
      <c r="B24">
        <v>21</v>
      </c>
      <c r="C24" s="10">
        <v>0</v>
      </c>
      <c r="D24" s="10">
        <v>0</v>
      </c>
      <c r="E24" s="10">
        <v>2</v>
      </c>
      <c r="F24" s="10">
        <v>0</v>
      </c>
      <c r="G24" s="10">
        <v>0</v>
      </c>
      <c r="H24" s="10">
        <v>0</v>
      </c>
      <c r="I24" s="10">
        <v>0</v>
      </c>
      <c r="J24" s="10">
        <v>0</v>
      </c>
      <c r="K24" s="10">
        <v>0</v>
      </c>
      <c r="L24" s="10">
        <v>0</v>
      </c>
      <c r="M24" s="10">
        <v>0</v>
      </c>
      <c r="N24" s="10">
        <v>0</v>
      </c>
    </row>
    <row r="25" spans="1:14" x14ac:dyDescent="0.3">
      <c r="A25" t="s">
        <v>65</v>
      </c>
      <c r="B25">
        <v>22</v>
      </c>
      <c r="C25" s="10">
        <v>0</v>
      </c>
      <c r="D25" s="10">
        <v>0</v>
      </c>
      <c r="E25" s="10">
        <v>0</v>
      </c>
      <c r="F25" s="10">
        <v>0</v>
      </c>
      <c r="G25" s="10">
        <v>0</v>
      </c>
      <c r="H25" s="10">
        <v>0</v>
      </c>
      <c r="I25" s="10">
        <v>0</v>
      </c>
      <c r="J25" s="10">
        <v>0</v>
      </c>
      <c r="K25" s="10">
        <v>0</v>
      </c>
      <c r="L25" s="10">
        <v>0</v>
      </c>
      <c r="M25" s="10">
        <v>0</v>
      </c>
      <c r="N25" s="10">
        <v>0</v>
      </c>
    </row>
    <row r="26" spans="1:14" x14ac:dyDescent="0.3">
      <c r="A26" t="s">
        <v>65</v>
      </c>
      <c r="B26">
        <v>23</v>
      </c>
      <c r="C26" s="10">
        <v>5</v>
      </c>
      <c r="D26" s="10">
        <v>0</v>
      </c>
      <c r="E26" s="10">
        <v>0</v>
      </c>
      <c r="F26" s="10">
        <v>0</v>
      </c>
      <c r="G26" s="10">
        <v>0</v>
      </c>
      <c r="H26" s="10">
        <v>0</v>
      </c>
      <c r="I26" s="10">
        <v>0</v>
      </c>
      <c r="J26" s="10">
        <v>0</v>
      </c>
      <c r="K26" s="10">
        <v>0</v>
      </c>
      <c r="L26" s="10">
        <v>0</v>
      </c>
      <c r="M26" s="10">
        <v>0</v>
      </c>
      <c r="N26" s="10">
        <v>0</v>
      </c>
    </row>
    <row r="27" spans="1:14" x14ac:dyDescent="0.3">
      <c r="A27" t="s">
        <v>65</v>
      </c>
      <c r="B27">
        <v>24</v>
      </c>
      <c r="C27" s="10">
        <v>0</v>
      </c>
      <c r="D27" s="10">
        <v>0</v>
      </c>
      <c r="E27" s="10">
        <v>0</v>
      </c>
      <c r="F27" s="10">
        <v>0</v>
      </c>
      <c r="G27" s="10">
        <v>0</v>
      </c>
      <c r="H27" s="10">
        <v>0</v>
      </c>
      <c r="I27" s="10">
        <v>0</v>
      </c>
      <c r="J27" s="10">
        <v>0</v>
      </c>
      <c r="K27" s="10">
        <v>0</v>
      </c>
      <c r="L27" s="10">
        <v>0</v>
      </c>
      <c r="M27" s="10">
        <v>0</v>
      </c>
      <c r="N27" s="10">
        <v>1</v>
      </c>
    </row>
    <row r="28" spans="1:14" x14ac:dyDescent="0.3">
      <c r="A28" t="s">
        <v>65</v>
      </c>
      <c r="B28">
        <v>25</v>
      </c>
      <c r="C28" s="10">
        <v>0</v>
      </c>
      <c r="D28" s="10">
        <v>0</v>
      </c>
      <c r="E28" s="10">
        <v>0</v>
      </c>
      <c r="F28" s="10">
        <v>0</v>
      </c>
      <c r="G28" s="10">
        <v>0</v>
      </c>
      <c r="H28" s="10">
        <v>0</v>
      </c>
      <c r="I28" s="10">
        <v>0</v>
      </c>
      <c r="J28" s="10">
        <v>0</v>
      </c>
      <c r="K28" s="10">
        <v>0</v>
      </c>
      <c r="L28" s="10">
        <v>0</v>
      </c>
      <c r="M28" s="10">
        <v>0</v>
      </c>
      <c r="N28" s="10">
        <v>0</v>
      </c>
    </row>
    <row r="29" spans="1:14" x14ac:dyDescent="0.3">
      <c r="A29" t="s">
        <v>65</v>
      </c>
      <c r="B29">
        <v>26</v>
      </c>
      <c r="C29" s="10">
        <v>0</v>
      </c>
      <c r="D29" s="10">
        <v>0</v>
      </c>
      <c r="E29" s="10">
        <v>0</v>
      </c>
      <c r="F29" s="10">
        <v>0</v>
      </c>
      <c r="G29" s="10">
        <v>0</v>
      </c>
      <c r="H29" s="10">
        <v>0</v>
      </c>
      <c r="I29" s="10">
        <v>0</v>
      </c>
      <c r="J29" s="10">
        <v>0</v>
      </c>
      <c r="K29" s="10">
        <v>0</v>
      </c>
      <c r="L29" s="10">
        <v>0</v>
      </c>
      <c r="M29" s="10">
        <v>0</v>
      </c>
      <c r="N29" s="10">
        <v>0</v>
      </c>
    </row>
    <row r="30" spans="1:14" x14ac:dyDescent="0.3">
      <c r="A30" t="s">
        <v>65</v>
      </c>
      <c r="B30">
        <v>27</v>
      </c>
      <c r="C30" s="10">
        <v>1</v>
      </c>
      <c r="D30" s="10">
        <v>0</v>
      </c>
      <c r="E30" s="10">
        <v>0</v>
      </c>
      <c r="F30" s="10">
        <v>0</v>
      </c>
      <c r="G30" s="10">
        <v>0</v>
      </c>
      <c r="H30" s="10">
        <v>0</v>
      </c>
      <c r="I30" s="10">
        <v>0</v>
      </c>
      <c r="J30" s="10">
        <v>0</v>
      </c>
      <c r="K30" s="10">
        <v>0</v>
      </c>
      <c r="L30" s="10">
        <v>0</v>
      </c>
      <c r="M30" s="10">
        <v>0</v>
      </c>
      <c r="N30" s="10">
        <v>0</v>
      </c>
    </row>
    <row r="31" spans="1:14" x14ac:dyDescent="0.3">
      <c r="A31" t="s">
        <v>65</v>
      </c>
      <c r="B31">
        <v>28</v>
      </c>
      <c r="C31" s="10">
        <v>2</v>
      </c>
      <c r="D31" s="10">
        <v>0</v>
      </c>
      <c r="E31" s="10">
        <v>0</v>
      </c>
      <c r="F31" s="10">
        <v>0</v>
      </c>
      <c r="G31" s="10">
        <v>0</v>
      </c>
      <c r="H31" s="10">
        <v>0</v>
      </c>
      <c r="I31" s="10">
        <v>0</v>
      </c>
      <c r="J31" s="10">
        <v>0</v>
      </c>
      <c r="K31" s="10">
        <v>0</v>
      </c>
      <c r="L31" s="10">
        <v>0</v>
      </c>
      <c r="M31" s="10">
        <v>0</v>
      </c>
      <c r="N31" s="10">
        <v>0</v>
      </c>
    </row>
    <row r="32" spans="1:14" x14ac:dyDescent="0.3">
      <c r="A32" t="s">
        <v>65</v>
      </c>
      <c r="B32">
        <v>29</v>
      </c>
      <c r="C32" s="10">
        <v>0</v>
      </c>
      <c r="D32" s="10">
        <v>0</v>
      </c>
      <c r="E32" s="10">
        <v>0</v>
      </c>
      <c r="F32" s="10">
        <v>0</v>
      </c>
      <c r="G32" s="10">
        <v>0</v>
      </c>
      <c r="H32" s="10">
        <v>0</v>
      </c>
      <c r="I32" s="10">
        <v>0</v>
      </c>
      <c r="J32" s="10">
        <v>0</v>
      </c>
      <c r="K32" s="10">
        <v>0</v>
      </c>
      <c r="L32" s="10">
        <v>0</v>
      </c>
      <c r="M32" s="10">
        <v>1</v>
      </c>
      <c r="N32" s="10">
        <v>0</v>
      </c>
    </row>
    <row r="33" spans="1:14" x14ac:dyDescent="0.3">
      <c r="A33" t="s">
        <v>67</v>
      </c>
      <c r="C33" s="10">
        <v>21</v>
      </c>
      <c r="D33" s="10">
        <v>6</v>
      </c>
      <c r="E33" s="10">
        <v>6</v>
      </c>
      <c r="F33" s="10">
        <v>10</v>
      </c>
      <c r="G33" s="10">
        <v>3</v>
      </c>
      <c r="H33" s="10">
        <v>1</v>
      </c>
      <c r="I33" s="10">
        <v>1</v>
      </c>
      <c r="J33" s="10">
        <v>1</v>
      </c>
      <c r="K33" s="10">
        <v>1</v>
      </c>
      <c r="L33" s="10">
        <v>1</v>
      </c>
      <c r="M33" s="10">
        <v>1</v>
      </c>
      <c r="N33" s="10">
        <v>1</v>
      </c>
    </row>
  </sheetData>
  <conditionalFormatting pivot="1" sqref="C4:N32 C33:N33">
    <cfRule type="cellIs" dxfId="0" priority="1" operator="lessThan">
      <formula>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191"/>
  <sheetViews>
    <sheetView topLeftCell="A157" zoomScale="80" zoomScaleNormal="80" workbookViewId="0">
      <selection activeCell="F161" sqref="F161"/>
    </sheetView>
  </sheetViews>
  <sheetFormatPr defaultRowHeight="14.4" x14ac:dyDescent="0.3"/>
  <cols>
    <col min="14" max="14" width="66.6640625" bestFit="1" customWidth="1"/>
    <col min="15" max="15" width="14.44140625" customWidth="1"/>
    <col min="16" max="16" width="57.6640625" bestFit="1" customWidth="1"/>
    <col min="17" max="17" width="20.44140625" customWidth="1"/>
    <col min="18" max="18" width="12.6640625" customWidth="1"/>
    <col min="19" max="19" width="50.6640625" bestFit="1" customWidth="1"/>
    <col min="20" max="20" width="58.33203125" bestFit="1" customWidth="1"/>
    <col min="21" max="21" width="49.33203125" bestFit="1" customWidth="1"/>
    <col min="22" max="22" width="48.33203125" bestFit="1" customWidth="1"/>
    <col min="23" max="23" width="58.33203125" bestFit="1" customWidth="1"/>
    <col min="24" max="24" width="39.6640625" bestFit="1" customWidth="1"/>
    <col min="25" max="25" width="44.44140625" bestFit="1" customWidth="1"/>
  </cols>
  <sheetData>
    <row r="1" spans="1:25" ht="23.4" x14ac:dyDescent="0.45">
      <c r="A1" s="17" t="s">
        <v>91</v>
      </c>
      <c r="D1" s="25" t="s">
        <v>257</v>
      </c>
      <c r="N1">
        <v>1</v>
      </c>
      <c r="O1">
        <v>2</v>
      </c>
      <c r="P1">
        <v>3</v>
      </c>
      <c r="Q1">
        <v>4</v>
      </c>
      <c r="R1">
        <v>5</v>
      </c>
      <c r="S1">
        <v>5</v>
      </c>
      <c r="T1">
        <v>4</v>
      </c>
      <c r="U1">
        <v>6</v>
      </c>
      <c r="V1">
        <v>5</v>
      </c>
      <c r="W1">
        <v>5</v>
      </c>
      <c r="X1">
        <v>7</v>
      </c>
      <c r="Y1">
        <v>3</v>
      </c>
    </row>
    <row r="2" spans="1:25" ht="15" thickBot="1" x14ac:dyDescent="0.35">
      <c r="A2" s="3" t="s">
        <v>63</v>
      </c>
      <c r="B2" s="3" t="s">
        <v>49</v>
      </c>
      <c r="C2" s="3" t="s">
        <v>50</v>
      </c>
      <c r="D2" s="3" t="s">
        <v>51</v>
      </c>
      <c r="E2" s="3" t="s">
        <v>52</v>
      </c>
      <c r="F2" s="3" t="s">
        <v>53</v>
      </c>
      <c r="G2" s="3" t="s">
        <v>54</v>
      </c>
      <c r="H2" s="3" t="s">
        <v>55</v>
      </c>
      <c r="I2" s="3" t="s">
        <v>56</v>
      </c>
      <c r="J2" s="3" t="s">
        <v>57</v>
      </c>
      <c r="K2" s="3" t="s">
        <v>58</v>
      </c>
      <c r="L2" s="3" t="s">
        <v>59</v>
      </c>
      <c r="M2" s="3" t="s">
        <v>60</v>
      </c>
      <c r="N2" s="3" t="s">
        <v>80</v>
      </c>
      <c r="O2" s="3" t="s">
        <v>81</v>
      </c>
      <c r="P2" s="3" t="s">
        <v>82</v>
      </c>
      <c r="Q2" s="3" t="s">
        <v>83</v>
      </c>
      <c r="R2" s="3" t="s">
        <v>84</v>
      </c>
      <c r="S2" s="3" t="s">
        <v>135</v>
      </c>
      <c r="T2" s="3" t="s">
        <v>134</v>
      </c>
      <c r="U2" s="3" t="s">
        <v>87</v>
      </c>
      <c r="V2" s="3" t="s">
        <v>88</v>
      </c>
      <c r="W2" s="3" t="s">
        <v>90</v>
      </c>
      <c r="X2" s="3" t="s">
        <v>61</v>
      </c>
      <c r="Y2" s="3" t="s">
        <v>127</v>
      </c>
    </row>
    <row r="3" spans="1:25" ht="15" thickBot="1" x14ac:dyDescent="0.35">
      <c r="A3" s="4">
        <v>27</v>
      </c>
      <c r="B3" s="5">
        <v>0.76</v>
      </c>
      <c r="C3" s="6" t="s">
        <v>79</v>
      </c>
      <c r="D3" s="6" t="s">
        <v>79</v>
      </c>
      <c r="E3" s="6" t="s">
        <v>79</v>
      </c>
      <c r="F3" s="6" t="s">
        <v>79</v>
      </c>
      <c r="G3" s="7" t="s">
        <v>79</v>
      </c>
      <c r="H3" s="7" t="s">
        <v>79</v>
      </c>
      <c r="I3" s="7" t="s">
        <v>79</v>
      </c>
      <c r="J3" s="7" t="s">
        <v>79</v>
      </c>
      <c r="K3" s="7" t="s">
        <v>79</v>
      </c>
      <c r="L3" s="7" t="s">
        <v>79</v>
      </c>
      <c r="M3" s="7" t="s">
        <v>79</v>
      </c>
      <c r="N3" s="13" t="str">
        <f>IF(IF(ISNUMBER(B3),VLOOKUP($A3,List!$A$1:$B$29,2,FALSE))=FALSE,"",IF(ISNUMBER(B3),VLOOKUP($A3,List!$A$1:$B$29,2,FALSE)))</f>
        <v>Boating is the number one thing I do with my spare time</v>
      </c>
      <c r="O3" s="13" t="str">
        <f>IF(IF(ISNUMBER(C3),VLOOKUP($A3,List!$A$1:$B$29,2,FALSE))=FALSE,"",IF(ISNUMBER(C3),VLOOKUP($A3,List!$A$1:$B$29,2,FALSE)))</f>
        <v/>
      </c>
      <c r="P3" s="13" t="str">
        <f>IF(IF(ISNUMBER(D3),VLOOKUP($A3,List!$A$1:$B$29,2,FALSE))=FALSE,"",IF(ISNUMBER(D3),VLOOKUP($A3,List!$A$1:$B$29,2,FALSE)))</f>
        <v/>
      </c>
      <c r="Q3" s="13" t="str">
        <f>IF(IF(ISNUMBER(E3),VLOOKUP($A3,List!$A$1:$B$29,2,FALSE))=FALSE,"",IF(ISNUMBER(E3),VLOOKUP($A3,List!$A$1:$B$29,2,FALSE)))</f>
        <v/>
      </c>
      <c r="R3" s="13" t="str">
        <f>IF(IF(ISNUMBER(F3),VLOOKUP($A3,List!$A$1:$B$29,2,FALSE))=FALSE,"",IF(ISNUMBER(F3),VLOOKUP($A3,List!$A$1:$B$29,2,FALSE)))</f>
        <v/>
      </c>
      <c r="S3" s="13" t="str">
        <f>IF(IF(ISNUMBER(G3),VLOOKUP($A3,List!$A$1:$B$29,2,FALSE))=FALSE,"",IF(ISNUMBER(G3),VLOOKUP($A3,List!$A$1:$B$29,2,FALSE)))</f>
        <v/>
      </c>
      <c r="T3" s="13" t="str">
        <f>IF(IF(ISNUMBER(H3),VLOOKUP($A3,List!$A$1:$B$29,2,FALSE))=FALSE,"",IF(ISNUMBER(H3),VLOOKUP($A3,List!$A$1:$B$29,2,FALSE)))</f>
        <v/>
      </c>
      <c r="U3" s="13" t="str">
        <f>IF(IF(ISNUMBER(I3),VLOOKUP($A3,List!$A$1:$B$29,2,FALSE))=FALSE,"",IF(ISNUMBER(I3),VLOOKUP($A3,List!$A$1:$B$29,2,FALSE)))</f>
        <v/>
      </c>
      <c r="V3" s="13" t="str">
        <f>IF(IF(ISNUMBER(J3),VLOOKUP($A3,List!$A$1:$B$29,2,FALSE))=FALSE,"",IF(ISNUMBER(J3),VLOOKUP($A3,List!$A$1:$B$29,2,FALSE)))</f>
        <v/>
      </c>
      <c r="W3" s="13" t="str">
        <f>IF(IF(ISNUMBER(K3),VLOOKUP($A3,List!$A$1:$B$29,2,FALSE))=FALSE,"",IF(ISNUMBER(K3),VLOOKUP($A3,List!$A$1:$B$29,2,FALSE)))</f>
        <v/>
      </c>
      <c r="X3" s="13" t="str">
        <f>IF(IF(ISNUMBER(L3),VLOOKUP($A3,List!$A$1:$B$29,2,FALSE))=FALSE,"",IF(ISNUMBER(L3),VLOOKUP($A3,List!$A$1:$B$29,2,FALSE)))</f>
        <v/>
      </c>
      <c r="Y3" s="13" t="str">
        <f>IF(IF(ISNUMBER(M3),VLOOKUP($A3,List!$A$1:$B$29,2,FALSE))=FALSE,"",IF(ISNUMBER(M3),VLOOKUP($A3,List!$A$1:$B$29,2,FALSE)))</f>
        <v/>
      </c>
    </row>
    <row r="4" spans="1:25" ht="15" thickBot="1" x14ac:dyDescent="0.35">
      <c r="A4" s="4">
        <v>28</v>
      </c>
      <c r="B4" s="5">
        <v>0.75</v>
      </c>
      <c r="C4" s="6" t="s">
        <v>79</v>
      </c>
      <c r="D4" s="6" t="s">
        <v>79</v>
      </c>
      <c r="E4" s="6" t="s">
        <v>79</v>
      </c>
      <c r="F4" s="6" t="s">
        <v>79</v>
      </c>
      <c r="G4" s="7" t="s">
        <v>79</v>
      </c>
      <c r="H4" s="7" t="s">
        <v>79</v>
      </c>
      <c r="I4" s="7" t="s">
        <v>79</v>
      </c>
      <c r="J4" s="7" t="s">
        <v>79</v>
      </c>
      <c r="K4" s="7" t="s">
        <v>79</v>
      </c>
      <c r="L4" s="7" t="s">
        <v>79</v>
      </c>
      <c r="M4" s="7" t="s">
        <v>79</v>
      </c>
      <c r="N4" s="13" t="str">
        <f>IF(IF(ISNUMBER(B4),VLOOKUP($A4,List!$A$1:$B$29,2,FALSE))=FALSE,"",IF(ISNUMBER(B4),VLOOKUP($A4,List!$A$1:$B$29,2,FALSE)))</f>
        <v>Boating is my true passion in life</v>
      </c>
      <c r="O4" s="13" t="str">
        <f>IF(IF(ISNUMBER(C4),VLOOKUP($A4,List!$A$1:$B$29,2,FALSE))=FALSE,"",IF(ISNUMBER(C4),VLOOKUP($A4,List!$A$1:$B$29,2,FALSE)))</f>
        <v/>
      </c>
      <c r="P4" s="13" t="str">
        <f>IF(IF(ISNUMBER(D4),VLOOKUP($A4,List!$A$1:$B$29,2,FALSE))=FALSE,"",IF(ISNUMBER(D4),VLOOKUP($A4,List!$A$1:$B$29,2,FALSE)))</f>
        <v/>
      </c>
      <c r="Q4" s="13" t="str">
        <f>IF(IF(ISNUMBER(E4),VLOOKUP($A4,List!$A$1:$B$29,2,FALSE))=FALSE,"",IF(ISNUMBER(E4),VLOOKUP($A4,List!$A$1:$B$29,2,FALSE)))</f>
        <v/>
      </c>
      <c r="R4" s="13" t="str">
        <f>IF(IF(ISNUMBER(F4),VLOOKUP($A4,List!$A$1:$B$29,2,FALSE))=FALSE,"",IF(ISNUMBER(F4),VLOOKUP($A4,List!$A$1:$B$29,2,FALSE)))</f>
        <v/>
      </c>
      <c r="S4" s="13" t="str">
        <f>IF(IF(ISNUMBER(G4),VLOOKUP($A4,List!$A$1:$B$29,2,FALSE))=FALSE,"",IF(ISNUMBER(G4),VLOOKUP($A4,List!$A$1:$B$29,2,FALSE)))</f>
        <v/>
      </c>
      <c r="T4" s="13" t="str">
        <f>IF(IF(ISNUMBER(H4),VLOOKUP($A4,List!$A$1:$B$29,2,FALSE))=FALSE,"",IF(ISNUMBER(H4),VLOOKUP($A4,List!$A$1:$B$29,2,FALSE)))</f>
        <v/>
      </c>
      <c r="U4" s="13" t="str">
        <f>IF(IF(ISNUMBER(I4),VLOOKUP($A4,List!$A$1:$B$29,2,FALSE))=FALSE,"",IF(ISNUMBER(I4),VLOOKUP($A4,List!$A$1:$B$29,2,FALSE)))</f>
        <v/>
      </c>
      <c r="V4" s="13" t="str">
        <f>IF(IF(ISNUMBER(J4),VLOOKUP($A4,List!$A$1:$B$29,2,FALSE))=FALSE,"",IF(ISNUMBER(J4),VLOOKUP($A4,List!$A$1:$B$29,2,FALSE)))</f>
        <v/>
      </c>
      <c r="W4" s="13" t="str">
        <f>IF(IF(ISNUMBER(K4),VLOOKUP($A4,List!$A$1:$B$29,2,FALSE))=FALSE,"",IF(ISNUMBER(K4),VLOOKUP($A4,List!$A$1:$B$29,2,FALSE)))</f>
        <v/>
      </c>
      <c r="X4" s="13" t="str">
        <f>IF(IF(ISNUMBER(L4),VLOOKUP($A4,List!$A$1:$B$29,2,FALSE))=FALSE,"",IF(ISNUMBER(L4),VLOOKUP($A4,List!$A$1:$B$29,2,FALSE)))</f>
        <v/>
      </c>
      <c r="Y4" s="13" t="str">
        <f>IF(IF(ISNUMBER(M4),VLOOKUP($A4,List!$A$1:$B$29,2,FALSE))=FALSE,"",IF(ISNUMBER(M4),VLOOKUP($A4,List!$A$1:$B$29,2,FALSE)))</f>
        <v/>
      </c>
    </row>
    <row r="5" spans="1:25" ht="15" thickBot="1" x14ac:dyDescent="0.35">
      <c r="A5" s="4">
        <v>20</v>
      </c>
      <c r="B5" s="5">
        <v>0.64</v>
      </c>
      <c r="C5" s="6" t="s">
        <v>79</v>
      </c>
      <c r="D5" s="6" t="s">
        <v>79</v>
      </c>
      <c r="E5" s="6" t="s">
        <v>79</v>
      </c>
      <c r="F5" s="6" t="s">
        <v>79</v>
      </c>
      <c r="G5" s="7" t="s">
        <v>79</v>
      </c>
      <c r="H5" s="7" t="s">
        <v>79</v>
      </c>
      <c r="I5" s="7" t="s">
        <v>79</v>
      </c>
      <c r="J5" s="7" t="s">
        <v>79</v>
      </c>
      <c r="K5" s="7" t="s">
        <v>79</v>
      </c>
      <c r="L5" s="7" t="s">
        <v>79</v>
      </c>
      <c r="M5" s="7" t="s">
        <v>79</v>
      </c>
      <c r="N5" s="13" t="str">
        <f>IF(IF(ISNUMBER(B5),VLOOKUP($A5,List!$A$1:$B$29,2,FALSE))=FALSE,"",IF(ISNUMBER(B5),VLOOKUP($A5,List!$A$1:$B$29,2,FALSE)))</f>
        <v>When not on my boat, I often find myself doing boating related activities</v>
      </c>
      <c r="O5" s="13" t="str">
        <f>IF(IF(ISNUMBER(C5),VLOOKUP($A5,List!$A$1:$B$29,2,FALSE))=FALSE,"",IF(ISNUMBER(C5),VLOOKUP($A5,List!$A$1:$B$29,2,FALSE)))</f>
        <v/>
      </c>
      <c r="P5" s="13" t="str">
        <f>IF(IF(ISNUMBER(D5),VLOOKUP($A5,List!$A$1:$B$29,2,FALSE))=FALSE,"",IF(ISNUMBER(D5),VLOOKUP($A5,List!$A$1:$B$29,2,FALSE)))</f>
        <v/>
      </c>
      <c r="Q5" s="13" t="str">
        <f>IF(IF(ISNUMBER(E5),VLOOKUP($A5,List!$A$1:$B$29,2,FALSE))=FALSE,"",IF(ISNUMBER(E5),VLOOKUP($A5,List!$A$1:$B$29,2,FALSE)))</f>
        <v/>
      </c>
      <c r="R5" s="13" t="str">
        <f>IF(IF(ISNUMBER(F5),VLOOKUP($A5,List!$A$1:$B$29,2,FALSE))=FALSE,"",IF(ISNUMBER(F5),VLOOKUP($A5,List!$A$1:$B$29,2,FALSE)))</f>
        <v/>
      </c>
      <c r="S5" s="13" t="str">
        <f>IF(IF(ISNUMBER(G5),VLOOKUP($A5,List!$A$1:$B$29,2,FALSE))=FALSE,"",IF(ISNUMBER(G5),VLOOKUP($A5,List!$A$1:$B$29,2,FALSE)))</f>
        <v/>
      </c>
      <c r="T5" s="13" t="str">
        <f>IF(IF(ISNUMBER(H5),VLOOKUP($A5,List!$A$1:$B$29,2,FALSE))=FALSE,"",IF(ISNUMBER(H5),VLOOKUP($A5,List!$A$1:$B$29,2,FALSE)))</f>
        <v/>
      </c>
      <c r="U5" s="13" t="str">
        <f>IF(IF(ISNUMBER(I5),VLOOKUP($A5,List!$A$1:$B$29,2,FALSE))=FALSE,"",IF(ISNUMBER(I5),VLOOKUP($A5,List!$A$1:$B$29,2,FALSE)))</f>
        <v/>
      </c>
      <c r="V5" s="13" t="str">
        <f>IF(IF(ISNUMBER(J5),VLOOKUP($A5,List!$A$1:$B$29,2,FALSE))=FALSE,"",IF(ISNUMBER(J5),VLOOKUP($A5,List!$A$1:$B$29,2,FALSE)))</f>
        <v/>
      </c>
      <c r="W5" s="13" t="str">
        <f>IF(IF(ISNUMBER(K5),VLOOKUP($A5,List!$A$1:$B$29,2,FALSE))=FALSE,"",IF(ISNUMBER(K5),VLOOKUP($A5,List!$A$1:$B$29,2,FALSE)))</f>
        <v/>
      </c>
      <c r="X5" s="13" t="str">
        <f>IF(IF(ISNUMBER(L5),VLOOKUP($A5,List!$A$1:$B$29,2,FALSE))=FALSE,"",IF(ISNUMBER(L5),VLOOKUP($A5,List!$A$1:$B$29,2,FALSE)))</f>
        <v/>
      </c>
      <c r="Y5" s="13" t="str">
        <f>IF(IF(ISNUMBER(M5),VLOOKUP($A5,List!$A$1:$B$29,2,FALSE))=FALSE,"",IF(ISNUMBER(M5),VLOOKUP($A5,List!$A$1:$B$29,2,FALSE)))</f>
        <v/>
      </c>
    </row>
    <row r="6" spans="1:25" ht="15" thickBot="1" x14ac:dyDescent="0.35">
      <c r="A6" s="4">
        <v>16</v>
      </c>
      <c r="B6" s="5">
        <v>0.63</v>
      </c>
      <c r="C6" s="6" t="s">
        <v>79</v>
      </c>
      <c r="D6" s="6" t="s">
        <v>79</v>
      </c>
      <c r="E6" s="6" t="s">
        <v>79</v>
      </c>
      <c r="F6" s="6" t="s">
        <v>79</v>
      </c>
      <c r="G6" s="7" t="s">
        <v>79</v>
      </c>
      <c r="H6" s="7" t="s">
        <v>79</v>
      </c>
      <c r="I6" s="7" t="s">
        <v>79</v>
      </c>
      <c r="J6" s="7" t="s">
        <v>79</v>
      </c>
      <c r="K6" s="7" t="s">
        <v>79</v>
      </c>
      <c r="L6" s="7" t="s">
        <v>79</v>
      </c>
      <c r="M6" s="7" t="s">
        <v>79</v>
      </c>
      <c r="N6" s="13" t="str">
        <f>IF(IF(ISNUMBER(B6),VLOOKUP($A6,List!$A$1:$B$29,2,FALSE))=FALSE,"",IF(ISNUMBER(B6),VLOOKUP($A6,List!$A$1:$B$29,2,FALSE)))</f>
        <v>People tend to come to me for advice about boating</v>
      </c>
      <c r="O6" s="13" t="str">
        <f>IF(IF(ISNUMBER(C6),VLOOKUP($A6,List!$A$1:$B$29,2,FALSE))=FALSE,"",IF(ISNUMBER(C6),VLOOKUP($A6,List!$A$1:$B$29,2,FALSE)))</f>
        <v/>
      </c>
      <c r="P6" s="13" t="str">
        <f>IF(IF(ISNUMBER(D6),VLOOKUP($A6,List!$A$1:$B$29,2,FALSE))=FALSE,"",IF(ISNUMBER(D6),VLOOKUP($A6,List!$A$1:$B$29,2,FALSE)))</f>
        <v/>
      </c>
      <c r="Q6" s="13" t="str">
        <f>IF(IF(ISNUMBER(E6),VLOOKUP($A6,List!$A$1:$B$29,2,FALSE))=FALSE,"",IF(ISNUMBER(E6),VLOOKUP($A6,List!$A$1:$B$29,2,FALSE)))</f>
        <v/>
      </c>
      <c r="R6" s="13" t="str">
        <f>IF(IF(ISNUMBER(F6),VLOOKUP($A6,List!$A$1:$B$29,2,FALSE))=FALSE,"",IF(ISNUMBER(F6),VLOOKUP($A6,List!$A$1:$B$29,2,FALSE)))</f>
        <v/>
      </c>
      <c r="S6" s="13" t="str">
        <f>IF(IF(ISNUMBER(G6),VLOOKUP($A6,List!$A$1:$B$29,2,FALSE))=FALSE,"",IF(ISNUMBER(G6),VLOOKUP($A6,List!$A$1:$B$29,2,FALSE)))</f>
        <v/>
      </c>
      <c r="T6" s="13" t="str">
        <f>IF(IF(ISNUMBER(H6),VLOOKUP($A6,List!$A$1:$B$29,2,FALSE))=FALSE,"",IF(ISNUMBER(H6),VLOOKUP($A6,List!$A$1:$B$29,2,FALSE)))</f>
        <v/>
      </c>
      <c r="U6" s="13" t="str">
        <f>IF(IF(ISNUMBER(I6),VLOOKUP($A6,List!$A$1:$B$29,2,FALSE))=FALSE,"",IF(ISNUMBER(I6),VLOOKUP($A6,List!$A$1:$B$29,2,FALSE)))</f>
        <v/>
      </c>
      <c r="V6" s="13" t="str">
        <f>IF(IF(ISNUMBER(J6),VLOOKUP($A6,List!$A$1:$B$29,2,FALSE))=FALSE,"",IF(ISNUMBER(J6),VLOOKUP($A6,List!$A$1:$B$29,2,FALSE)))</f>
        <v/>
      </c>
      <c r="W6" s="13" t="str">
        <f>IF(IF(ISNUMBER(K6),VLOOKUP($A6,List!$A$1:$B$29,2,FALSE))=FALSE,"",IF(ISNUMBER(K6),VLOOKUP($A6,List!$A$1:$B$29,2,FALSE)))</f>
        <v/>
      </c>
      <c r="X6" s="13" t="str">
        <f>IF(IF(ISNUMBER(L6),VLOOKUP($A6,List!$A$1:$B$29,2,FALSE))=FALSE,"",IF(ISNUMBER(L6),VLOOKUP($A6,List!$A$1:$B$29,2,FALSE)))</f>
        <v/>
      </c>
      <c r="Y6" s="13" t="str">
        <f>IF(IF(ISNUMBER(M6),VLOOKUP($A6,List!$A$1:$B$29,2,FALSE))=FALSE,"",IF(ISNUMBER(M6),VLOOKUP($A6,List!$A$1:$B$29,2,FALSE)))</f>
        <v/>
      </c>
    </row>
    <row r="7" spans="1:25" ht="15" thickBot="1" x14ac:dyDescent="0.35">
      <c r="A7" s="4">
        <v>23</v>
      </c>
      <c r="B7" s="5">
        <v>0.57999999999999996</v>
      </c>
      <c r="C7" s="6" t="s">
        <v>79</v>
      </c>
      <c r="D7" s="6" t="s">
        <v>79</v>
      </c>
      <c r="E7" s="6" t="s">
        <v>79</v>
      </c>
      <c r="F7" s="6" t="s">
        <v>79</v>
      </c>
      <c r="G7" s="7" t="s">
        <v>79</v>
      </c>
      <c r="H7" s="7" t="s">
        <v>79</v>
      </c>
      <c r="I7" s="7" t="s">
        <v>79</v>
      </c>
      <c r="J7" s="7" t="s">
        <v>79</v>
      </c>
      <c r="K7" s="7" t="s">
        <v>79</v>
      </c>
      <c r="L7" s="7" t="s">
        <v>79</v>
      </c>
      <c r="M7" s="7" t="s">
        <v>79</v>
      </c>
      <c r="N7" s="13" t="str">
        <f>IF(IF(ISNUMBER(B7),VLOOKUP($A7,List!$A$1:$B$29,2,FALSE))=FALSE,"",IF(ISNUMBER(B7),VLOOKUP($A7,List!$A$1:$B$29,2,FALSE)))</f>
        <v>Boating allows me to excel in the sports that I am passionate about</v>
      </c>
      <c r="O7" s="13" t="str">
        <f>IF(IF(ISNUMBER(C7),VLOOKUP($A7,List!$A$1:$B$29,2,FALSE))=FALSE,"",IF(ISNUMBER(C7),VLOOKUP($A7,List!$A$1:$B$29,2,FALSE)))</f>
        <v/>
      </c>
      <c r="P7" s="13" t="str">
        <f>IF(IF(ISNUMBER(D7),VLOOKUP($A7,List!$A$1:$B$29,2,FALSE))=FALSE,"",IF(ISNUMBER(D7),VLOOKUP($A7,List!$A$1:$B$29,2,FALSE)))</f>
        <v/>
      </c>
      <c r="Q7" s="13" t="str">
        <f>IF(IF(ISNUMBER(E7),VLOOKUP($A7,List!$A$1:$B$29,2,FALSE))=FALSE,"",IF(ISNUMBER(E7),VLOOKUP($A7,List!$A$1:$B$29,2,FALSE)))</f>
        <v/>
      </c>
      <c r="R7" s="13" t="str">
        <f>IF(IF(ISNUMBER(F7),VLOOKUP($A7,List!$A$1:$B$29,2,FALSE))=FALSE,"",IF(ISNUMBER(F7),VLOOKUP($A7,List!$A$1:$B$29,2,FALSE)))</f>
        <v/>
      </c>
      <c r="S7" s="13" t="str">
        <f>IF(IF(ISNUMBER(G7),VLOOKUP($A7,List!$A$1:$B$29,2,FALSE))=FALSE,"",IF(ISNUMBER(G7),VLOOKUP($A7,List!$A$1:$B$29,2,FALSE)))</f>
        <v/>
      </c>
      <c r="T7" s="13" t="str">
        <f>IF(IF(ISNUMBER(H7),VLOOKUP($A7,List!$A$1:$B$29,2,FALSE))=FALSE,"",IF(ISNUMBER(H7),VLOOKUP($A7,List!$A$1:$B$29,2,FALSE)))</f>
        <v/>
      </c>
      <c r="U7" s="13" t="str">
        <f>IF(IF(ISNUMBER(I7),VLOOKUP($A7,List!$A$1:$B$29,2,FALSE))=FALSE,"",IF(ISNUMBER(I7),VLOOKUP($A7,List!$A$1:$B$29,2,FALSE)))</f>
        <v/>
      </c>
      <c r="V7" s="13" t="str">
        <f>IF(IF(ISNUMBER(J7),VLOOKUP($A7,List!$A$1:$B$29,2,FALSE))=FALSE,"",IF(ISNUMBER(J7),VLOOKUP($A7,List!$A$1:$B$29,2,FALSE)))</f>
        <v/>
      </c>
      <c r="W7" s="13" t="str">
        <f>IF(IF(ISNUMBER(K7),VLOOKUP($A7,List!$A$1:$B$29,2,FALSE))=FALSE,"",IF(ISNUMBER(K7),VLOOKUP($A7,List!$A$1:$B$29,2,FALSE)))</f>
        <v/>
      </c>
      <c r="X7" s="13" t="str">
        <f>IF(IF(ISNUMBER(L7),VLOOKUP($A7,List!$A$1:$B$29,2,FALSE))=FALSE,"",IF(ISNUMBER(L7),VLOOKUP($A7,List!$A$1:$B$29,2,FALSE)))</f>
        <v/>
      </c>
      <c r="Y7" s="13" t="str">
        <f>IF(IF(ISNUMBER(M7),VLOOKUP($A7,List!$A$1:$B$29,2,FALSE))=FALSE,"",IF(ISNUMBER(M7),VLOOKUP($A7,List!$A$1:$B$29,2,FALSE)))</f>
        <v/>
      </c>
    </row>
    <row r="8" spans="1:25" ht="15" thickBot="1" x14ac:dyDescent="0.35">
      <c r="A8" s="4">
        <v>17</v>
      </c>
      <c r="B8" s="5">
        <v>0.56000000000000005</v>
      </c>
      <c r="C8" s="6" t="s">
        <v>79</v>
      </c>
      <c r="D8" s="6" t="s">
        <v>79</v>
      </c>
      <c r="E8" s="6" t="s">
        <v>79</v>
      </c>
      <c r="F8" s="6" t="s">
        <v>79</v>
      </c>
      <c r="G8" s="7" t="s">
        <v>79</v>
      </c>
      <c r="H8" s="7" t="s">
        <v>79</v>
      </c>
      <c r="I8" s="7" t="s">
        <v>79</v>
      </c>
      <c r="J8" s="7" t="s">
        <v>79</v>
      </c>
      <c r="K8" s="7" t="s">
        <v>79</v>
      </c>
      <c r="L8" s="7" t="s">
        <v>79</v>
      </c>
      <c r="M8" s="7" t="s">
        <v>79</v>
      </c>
      <c r="N8" s="13" t="str">
        <f>IF(IF(ISNUMBER(B8),VLOOKUP($A8,List!$A$1:$B$29,2,FALSE))=FALSE,"",IF(ISNUMBER(B8),VLOOKUP($A8,List!$A$1:$B$29,2,FALSE)))</f>
        <v>I consider myself more knowledgeable about boating than the rest of my boating peers</v>
      </c>
      <c r="O8" s="13" t="str">
        <f>IF(IF(ISNUMBER(C8),VLOOKUP($A8,List!$A$1:$B$29,2,FALSE))=FALSE,"",IF(ISNUMBER(C8),VLOOKUP($A8,List!$A$1:$B$29,2,FALSE)))</f>
        <v/>
      </c>
      <c r="P8" s="13" t="str">
        <f>IF(IF(ISNUMBER(D8),VLOOKUP($A8,List!$A$1:$B$29,2,FALSE))=FALSE,"",IF(ISNUMBER(D8),VLOOKUP($A8,List!$A$1:$B$29,2,FALSE)))</f>
        <v/>
      </c>
      <c r="Q8" s="13" t="str">
        <f>IF(IF(ISNUMBER(E8),VLOOKUP($A8,List!$A$1:$B$29,2,FALSE))=FALSE,"",IF(ISNUMBER(E8),VLOOKUP($A8,List!$A$1:$B$29,2,FALSE)))</f>
        <v/>
      </c>
      <c r="R8" s="13" t="str">
        <f>IF(IF(ISNUMBER(F8),VLOOKUP($A8,List!$A$1:$B$29,2,FALSE))=FALSE,"",IF(ISNUMBER(F8),VLOOKUP($A8,List!$A$1:$B$29,2,FALSE)))</f>
        <v/>
      </c>
      <c r="S8" s="13" t="str">
        <f>IF(IF(ISNUMBER(G8),VLOOKUP($A8,List!$A$1:$B$29,2,FALSE))=FALSE,"",IF(ISNUMBER(G8),VLOOKUP($A8,List!$A$1:$B$29,2,FALSE)))</f>
        <v/>
      </c>
      <c r="T8" s="13" t="str">
        <f>IF(IF(ISNUMBER(H8),VLOOKUP($A8,List!$A$1:$B$29,2,FALSE))=FALSE,"",IF(ISNUMBER(H8),VLOOKUP($A8,List!$A$1:$B$29,2,FALSE)))</f>
        <v/>
      </c>
      <c r="U8" s="13" t="str">
        <f>IF(IF(ISNUMBER(I8),VLOOKUP($A8,List!$A$1:$B$29,2,FALSE))=FALSE,"",IF(ISNUMBER(I8),VLOOKUP($A8,List!$A$1:$B$29,2,FALSE)))</f>
        <v/>
      </c>
      <c r="V8" s="13" t="str">
        <f>IF(IF(ISNUMBER(J8),VLOOKUP($A8,List!$A$1:$B$29,2,FALSE))=FALSE,"",IF(ISNUMBER(J8),VLOOKUP($A8,List!$A$1:$B$29,2,FALSE)))</f>
        <v/>
      </c>
      <c r="W8" s="13" t="str">
        <f>IF(IF(ISNUMBER(K8),VLOOKUP($A8,List!$A$1:$B$29,2,FALSE))=FALSE,"",IF(ISNUMBER(K8),VLOOKUP($A8,List!$A$1:$B$29,2,FALSE)))</f>
        <v/>
      </c>
      <c r="X8" s="13" t="str">
        <f>IF(IF(ISNUMBER(L8),VLOOKUP($A8,List!$A$1:$B$29,2,FALSE))=FALSE,"",IF(ISNUMBER(L8),VLOOKUP($A8,List!$A$1:$B$29,2,FALSE)))</f>
        <v/>
      </c>
      <c r="Y8" s="13" t="str">
        <f>IF(IF(ISNUMBER(M8),VLOOKUP($A8,List!$A$1:$B$29,2,FALSE))=FALSE,"",IF(ISNUMBER(M8),VLOOKUP($A8,List!$A$1:$B$29,2,FALSE)))</f>
        <v/>
      </c>
    </row>
    <row r="9" spans="1:25" ht="15" thickBot="1" x14ac:dyDescent="0.35">
      <c r="A9" s="4">
        <v>26</v>
      </c>
      <c r="B9" s="6" t="s">
        <v>79</v>
      </c>
      <c r="C9" s="6" t="s">
        <v>79</v>
      </c>
      <c r="D9" s="6" t="s">
        <v>79</v>
      </c>
      <c r="E9" s="6" t="s">
        <v>79</v>
      </c>
      <c r="F9" s="6" t="s">
        <v>79</v>
      </c>
      <c r="G9" s="7" t="s">
        <v>79</v>
      </c>
      <c r="H9" s="7" t="s">
        <v>79</v>
      </c>
      <c r="I9" s="7" t="s">
        <v>79</v>
      </c>
      <c r="J9" s="7" t="s">
        <v>79</v>
      </c>
      <c r="K9" s="7" t="s">
        <v>79</v>
      </c>
      <c r="L9" s="7" t="s">
        <v>79</v>
      </c>
      <c r="M9" s="7" t="s">
        <v>79</v>
      </c>
      <c r="N9" s="13" t="str">
        <f>IF(IF(ISNUMBER(B9),VLOOKUP($A9,List!$A$1:$B$29,2,FALSE))=FALSE,"",IF(ISNUMBER(B9),VLOOKUP($A9,List!$A$1:$B$29,2,FALSE)))</f>
        <v/>
      </c>
      <c r="O9" s="13" t="str">
        <f>IF(IF(ISNUMBER(C9),VLOOKUP($A9,List!$A$1:$B$29,2,FALSE))=FALSE,"",IF(ISNUMBER(C9),VLOOKUP($A9,List!$A$1:$B$29,2,FALSE)))</f>
        <v/>
      </c>
      <c r="P9" s="13" t="str">
        <f>IF(IF(ISNUMBER(D9),VLOOKUP($A9,List!$A$1:$B$29,2,FALSE))=FALSE,"",IF(ISNUMBER(D9),VLOOKUP($A9,List!$A$1:$B$29,2,FALSE)))</f>
        <v/>
      </c>
      <c r="Q9" s="13" t="str">
        <f>IF(IF(ISNUMBER(E9),VLOOKUP($A9,List!$A$1:$B$29,2,FALSE))=FALSE,"",IF(ISNUMBER(E9),VLOOKUP($A9,List!$A$1:$B$29,2,FALSE)))</f>
        <v/>
      </c>
      <c r="R9" s="13" t="str">
        <f>IF(IF(ISNUMBER(F9),VLOOKUP($A9,List!$A$1:$B$29,2,FALSE))=FALSE,"",IF(ISNUMBER(F9),VLOOKUP($A9,List!$A$1:$B$29,2,FALSE)))</f>
        <v/>
      </c>
      <c r="S9" s="13" t="str">
        <f>IF(IF(ISNUMBER(G9),VLOOKUP($A9,List!$A$1:$B$29,2,FALSE))=FALSE,"",IF(ISNUMBER(G9),VLOOKUP($A9,List!$A$1:$B$29,2,FALSE)))</f>
        <v/>
      </c>
      <c r="T9" s="13" t="str">
        <f>IF(IF(ISNUMBER(H9),VLOOKUP($A9,List!$A$1:$B$29,2,FALSE))=FALSE,"",IF(ISNUMBER(H9),VLOOKUP($A9,List!$A$1:$B$29,2,FALSE)))</f>
        <v/>
      </c>
      <c r="U9" s="13" t="str">
        <f>IF(IF(ISNUMBER(I9),VLOOKUP($A9,List!$A$1:$B$29,2,FALSE))=FALSE,"",IF(ISNUMBER(I9),VLOOKUP($A9,List!$A$1:$B$29,2,FALSE)))</f>
        <v/>
      </c>
      <c r="V9" s="13" t="str">
        <f>IF(IF(ISNUMBER(J9),VLOOKUP($A9,List!$A$1:$B$29,2,FALSE))=FALSE,"",IF(ISNUMBER(J9),VLOOKUP($A9,List!$A$1:$B$29,2,FALSE)))</f>
        <v/>
      </c>
      <c r="W9" s="13" t="str">
        <f>IF(IF(ISNUMBER(K9),VLOOKUP($A9,List!$A$1:$B$29,2,FALSE))=FALSE,"",IF(ISNUMBER(K9),VLOOKUP($A9,List!$A$1:$B$29,2,FALSE)))</f>
        <v/>
      </c>
      <c r="X9" s="13" t="str">
        <f>IF(IF(ISNUMBER(L9),VLOOKUP($A9,List!$A$1:$B$29,2,FALSE))=FALSE,"",IF(ISNUMBER(L9),VLOOKUP($A9,List!$A$1:$B$29,2,FALSE)))</f>
        <v/>
      </c>
      <c r="Y9" s="13" t="str">
        <f>IF(IF(ISNUMBER(M9),VLOOKUP($A9,List!$A$1:$B$29,2,FALSE))=FALSE,"",IF(ISNUMBER(M9),VLOOKUP($A9,List!$A$1:$B$29,2,FALSE)))</f>
        <v/>
      </c>
    </row>
    <row r="10" spans="1:25" ht="15" thickBot="1" x14ac:dyDescent="0.35">
      <c r="A10" s="4">
        <v>22</v>
      </c>
      <c r="B10" s="6" t="s">
        <v>79</v>
      </c>
      <c r="C10" s="6" t="s">
        <v>79</v>
      </c>
      <c r="D10" s="6" t="s">
        <v>79</v>
      </c>
      <c r="E10" s="6" t="s">
        <v>79</v>
      </c>
      <c r="F10" s="6" t="s">
        <v>79</v>
      </c>
      <c r="G10" s="7" t="s">
        <v>79</v>
      </c>
      <c r="H10" s="7" t="s">
        <v>79</v>
      </c>
      <c r="I10" s="7" t="s">
        <v>79</v>
      </c>
      <c r="J10" s="7" t="s">
        <v>79</v>
      </c>
      <c r="K10" s="7" t="s">
        <v>79</v>
      </c>
      <c r="L10" s="7" t="s">
        <v>79</v>
      </c>
      <c r="M10" s="7" t="s">
        <v>79</v>
      </c>
      <c r="N10" s="13" t="str">
        <f>IF(IF(ISNUMBER(B10),VLOOKUP($A10,List!$A$1:$B$29,2,FALSE))=FALSE,"",IF(ISNUMBER(B10),VLOOKUP($A10,List!$A$1:$B$29,2,FALSE)))</f>
        <v/>
      </c>
      <c r="O10" s="13" t="str">
        <f>IF(IF(ISNUMBER(C10),VLOOKUP($A10,List!$A$1:$B$29,2,FALSE))=FALSE,"",IF(ISNUMBER(C10),VLOOKUP($A10,List!$A$1:$B$29,2,FALSE)))</f>
        <v/>
      </c>
      <c r="P10" s="13" t="str">
        <f>IF(IF(ISNUMBER(D10),VLOOKUP($A10,List!$A$1:$B$29,2,FALSE))=FALSE,"",IF(ISNUMBER(D10),VLOOKUP($A10,List!$A$1:$B$29,2,FALSE)))</f>
        <v/>
      </c>
      <c r="Q10" s="13" t="str">
        <f>IF(IF(ISNUMBER(E10),VLOOKUP($A10,List!$A$1:$B$29,2,FALSE))=FALSE,"",IF(ISNUMBER(E10),VLOOKUP($A10,List!$A$1:$B$29,2,FALSE)))</f>
        <v/>
      </c>
      <c r="R10" s="13" t="str">
        <f>IF(IF(ISNUMBER(F10),VLOOKUP($A10,List!$A$1:$B$29,2,FALSE))=FALSE,"",IF(ISNUMBER(F10),VLOOKUP($A10,List!$A$1:$B$29,2,FALSE)))</f>
        <v/>
      </c>
      <c r="S10" s="13" t="str">
        <f>IF(IF(ISNUMBER(G10),VLOOKUP($A10,List!$A$1:$B$29,2,FALSE))=FALSE,"",IF(ISNUMBER(G10),VLOOKUP($A10,List!$A$1:$B$29,2,FALSE)))</f>
        <v/>
      </c>
      <c r="T10" s="13" t="str">
        <f>IF(IF(ISNUMBER(H10),VLOOKUP($A10,List!$A$1:$B$29,2,FALSE))=FALSE,"",IF(ISNUMBER(H10),VLOOKUP($A10,List!$A$1:$B$29,2,FALSE)))</f>
        <v/>
      </c>
      <c r="U10" s="13" t="str">
        <f>IF(IF(ISNUMBER(I10),VLOOKUP($A10,List!$A$1:$B$29,2,FALSE))=FALSE,"",IF(ISNUMBER(I10),VLOOKUP($A10,List!$A$1:$B$29,2,FALSE)))</f>
        <v/>
      </c>
      <c r="V10" s="13" t="str">
        <f>IF(IF(ISNUMBER(J10),VLOOKUP($A10,List!$A$1:$B$29,2,FALSE))=FALSE,"",IF(ISNUMBER(J10),VLOOKUP($A10,List!$A$1:$B$29,2,FALSE)))</f>
        <v/>
      </c>
      <c r="W10" s="13" t="str">
        <f>IF(IF(ISNUMBER(K10),VLOOKUP($A10,List!$A$1:$B$29,2,FALSE))=FALSE,"",IF(ISNUMBER(K10),VLOOKUP($A10,List!$A$1:$B$29,2,FALSE)))</f>
        <v/>
      </c>
      <c r="X10" s="13" t="str">
        <f>IF(IF(ISNUMBER(L10),VLOOKUP($A10,List!$A$1:$B$29,2,FALSE))=FALSE,"",IF(ISNUMBER(L10),VLOOKUP($A10,List!$A$1:$B$29,2,FALSE)))</f>
        <v/>
      </c>
      <c r="Y10" s="13" t="str">
        <f>IF(IF(ISNUMBER(M10),VLOOKUP($A10,List!$A$1:$B$29,2,FALSE))=FALSE,"",IF(ISNUMBER(M10),VLOOKUP($A10,List!$A$1:$B$29,2,FALSE)))</f>
        <v/>
      </c>
    </row>
    <row r="11" spans="1:25" ht="15" thickBot="1" x14ac:dyDescent="0.35">
      <c r="A11" s="4">
        <v>3</v>
      </c>
      <c r="B11" s="6" t="s">
        <v>79</v>
      </c>
      <c r="C11" s="6" t="s">
        <v>79</v>
      </c>
      <c r="D11" s="6" t="s">
        <v>79</v>
      </c>
      <c r="E11" s="5">
        <v>0.55000000000000004</v>
      </c>
      <c r="F11" s="6" t="s">
        <v>79</v>
      </c>
      <c r="G11" s="7" t="s">
        <v>79</v>
      </c>
      <c r="H11" s="7" t="s">
        <v>79</v>
      </c>
      <c r="I11" s="7" t="s">
        <v>79</v>
      </c>
      <c r="J11" s="7" t="s">
        <v>79</v>
      </c>
      <c r="K11" s="7" t="s">
        <v>79</v>
      </c>
      <c r="L11" s="7" t="s">
        <v>79</v>
      </c>
      <c r="M11" s="7" t="s">
        <v>79</v>
      </c>
      <c r="N11" s="13" t="str">
        <f>IF(IF(ISNUMBER(B11),VLOOKUP($A11,List!$A$1:$B$29,2,FALSE))=FALSE,"",IF(ISNUMBER(B11),VLOOKUP($A11,List!$A$1:$B$29,2,FALSE)))</f>
        <v/>
      </c>
      <c r="O11" s="13" t="str">
        <f>IF(IF(ISNUMBER(C11),VLOOKUP($A11,List!$A$1:$B$29,2,FALSE))=FALSE,"",IF(ISNUMBER(C11),VLOOKUP($A11,List!$A$1:$B$29,2,FALSE)))</f>
        <v/>
      </c>
      <c r="P11" s="13" t="str">
        <f>IF(IF(ISNUMBER(D11),VLOOKUP($A11,List!$A$1:$B$29,2,FALSE))=FALSE,"",IF(ISNUMBER(D11),VLOOKUP($A11,List!$A$1:$B$29,2,FALSE)))</f>
        <v/>
      </c>
      <c r="Q11" s="13" t="str">
        <f>IF(IF(ISNUMBER(E11),VLOOKUP($A11,List!$A$1:$B$29,2,FALSE))=FALSE,"",IF(ISNUMBER(E11),VLOOKUP($A11,List!$A$1:$B$29,2,FALSE)))</f>
        <v>The brand of the boat I buy says a lot about who I am</v>
      </c>
      <c r="R11" s="13" t="str">
        <f>IF(IF(ISNUMBER(F11),VLOOKUP($A11,List!$A$1:$B$29,2,FALSE))=FALSE,"",IF(ISNUMBER(F11),VLOOKUP($A11,List!$A$1:$B$29,2,FALSE)))</f>
        <v/>
      </c>
      <c r="S11" s="13" t="str">
        <f>IF(IF(ISNUMBER(G11),VLOOKUP($A11,List!$A$1:$B$29,2,FALSE))=FALSE,"",IF(ISNUMBER(G11),VLOOKUP($A11,List!$A$1:$B$29,2,FALSE)))</f>
        <v/>
      </c>
      <c r="T11" s="13" t="str">
        <f>IF(IF(ISNUMBER(H11),VLOOKUP($A11,List!$A$1:$B$29,2,FALSE))=FALSE,"",IF(ISNUMBER(H11),VLOOKUP($A11,List!$A$1:$B$29,2,FALSE)))</f>
        <v/>
      </c>
      <c r="U11" s="13" t="str">
        <f>IF(IF(ISNUMBER(I11),VLOOKUP($A11,List!$A$1:$B$29,2,FALSE))=FALSE,"",IF(ISNUMBER(I11),VLOOKUP($A11,List!$A$1:$B$29,2,FALSE)))</f>
        <v/>
      </c>
      <c r="V11" s="13" t="str">
        <f>IF(IF(ISNUMBER(J11),VLOOKUP($A11,List!$A$1:$B$29,2,FALSE))=FALSE,"",IF(ISNUMBER(J11),VLOOKUP($A11,List!$A$1:$B$29,2,FALSE)))</f>
        <v/>
      </c>
      <c r="W11" s="13" t="str">
        <f>IF(IF(ISNUMBER(K11),VLOOKUP($A11,List!$A$1:$B$29,2,FALSE))=FALSE,"",IF(ISNUMBER(K11),VLOOKUP($A11,List!$A$1:$B$29,2,FALSE)))</f>
        <v/>
      </c>
      <c r="X11" s="13" t="str">
        <f>IF(IF(ISNUMBER(L11),VLOOKUP($A11,List!$A$1:$B$29,2,FALSE))=FALSE,"",IF(ISNUMBER(L11),VLOOKUP($A11,List!$A$1:$B$29,2,FALSE)))</f>
        <v/>
      </c>
      <c r="Y11" s="13" t="str">
        <f>IF(IF(ISNUMBER(M11),VLOOKUP($A11,List!$A$1:$B$29,2,FALSE))=FALSE,"",IF(ISNUMBER(M11),VLOOKUP($A11,List!$A$1:$B$29,2,FALSE)))</f>
        <v/>
      </c>
    </row>
    <row r="12" spans="1:25" ht="15" thickBot="1" x14ac:dyDescent="0.35">
      <c r="A12" s="4">
        <v>9</v>
      </c>
      <c r="B12" s="6" t="s">
        <v>79</v>
      </c>
      <c r="C12" s="6" t="s">
        <v>79</v>
      </c>
      <c r="D12" s="6" t="s">
        <v>79</v>
      </c>
      <c r="E12" s="5">
        <v>0.64</v>
      </c>
      <c r="F12" s="6" t="s">
        <v>79</v>
      </c>
      <c r="G12" s="7" t="s">
        <v>79</v>
      </c>
      <c r="H12" s="7" t="s">
        <v>79</v>
      </c>
      <c r="I12" s="7" t="s">
        <v>79</v>
      </c>
      <c r="J12" s="7" t="s">
        <v>79</v>
      </c>
      <c r="K12" s="7" t="s">
        <v>79</v>
      </c>
      <c r="L12" s="7" t="s">
        <v>79</v>
      </c>
      <c r="M12" s="7" t="s">
        <v>79</v>
      </c>
      <c r="N12" s="13" t="str">
        <f>IF(IF(ISNUMBER(B12),VLOOKUP($A12,List!$A$1:$B$29,2,FALSE))=FALSE,"",IF(ISNUMBER(B12),VLOOKUP($A12,List!$A$1:$B$29,2,FALSE)))</f>
        <v/>
      </c>
      <c r="O12" s="13" t="str">
        <f>IF(IF(ISNUMBER(C12),VLOOKUP($A12,List!$A$1:$B$29,2,FALSE))=FALSE,"",IF(ISNUMBER(C12),VLOOKUP($A12,List!$A$1:$B$29,2,FALSE)))</f>
        <v/>
      </c>
      <c r="P12" s="13" t="str">
        <f>IF(IF(ISNUMBER(D12),VLOOKUP($A12,List!$A$1:$B$29,2,FALSE))=FALSE,"",IF(ISNUMBER(D12),VLOOKUP($A12,List!$A$1:$B$29,2,FALSE)))</f>
        <v/>
      </c>
      <c r="Q12" s="13" t="str">
        <f>IF(IF(ISNUMBER(E12),VLOOKUP($A12,List!$A$1:$B$29,2,FALSE))=FALSE,"",IF(ISNUMBER(E12),VLOOKUP($A12,List!$A$1:$B$29,2,FALSE)))</f>
        <v>I see my boat as status symbol</v>
      </c>
      <c r="R12" s="13" t="str">
        <f>IF(IF(ISNUMBER(F12),VLOOKUP($A12,List!$A$1:$B$29,2,FALSE))=FALSE,"",IF(ISNUMBER(F12),VLOOKUP($A12,List!$A$1:$B$29,2,FALSE)))</f>
        <v/>
      </c>
      <c r="S12" s="13" t="str">
        <f>IF(IF(ISNUMBER(G12),VLOOKUP($A12,List!$A$1:$B$29,2,FALSE))=FALSE,"",IF(ISNUMBER(G12),VLOOKUP($A12,List!$A$1:$B$29,2,FALSE)))</f>
        <v/>
      </c>
      <c r="T12" s="13" t="str">
        <f>IF(IF(ISNUMBER(H12),VLOOKUP($A12,List!$A$1:$B$29,2,FALSE))=FALSE,"",IF(ISNUMBER(H12),VLOOKUP($A12,List!$A$1:$B$29,2,FALSE)))</f>
        <v/>
      </c>
      <c r="U12" s="13" t="str">
        <f>IF(IF(ISNUMBER(I12),VLOOKUP($A12,List!$A$1:$B$29,2,FALSE))=FALSE,"",IF(ISNUMBER(I12),VLOOKUP($A12,List!$A$1:$B$29,2,FALSE)))</f>
        <v/>
      </c>
      <c r="V12" s="13" t="str">
        <f>IF(IF(ISNUMBER(J12),VLOOKUP($A12,List!$A$1:$B$29,2,FALSE))=FALSE,"",IF(ISNUMBER(J12),VLOOKUP($A12,List!$A$1:$B$29,2,FALSE)))</f>
        <v/>
      </c>
      <c r="W12" s="13" t="str">
        <f>IF(IF(ISNUMBER(K12),VLOOKUP($A12,List!$A$1:$B$29,2,FALSE))=FALSE,"",IF(ISNUMBER(K12),VLOOKUP($A12,List!$A$1:$B$29,2,FALSE)))</f>
        <v/>
      </c>
      <c r="X12" s="13" t="str">
        <f>IF(IF(ISNUMBER(L12),VLOOKUP($A12,List!$A$1:$B$29,2,FALSE))=FALSE,"",IF(ISNUMBER(L12),VLOOKUP($A12,List!$A$1:$B$29,2,FALSE)))</f>
        <v/>
      </c>
      <c r="Y12" s="13" t="str">
        <f>IF(IF(ISNUMBER(M12),VLOOKUP($A12,List!$A$1:$B$29,2,FALSE))=FALSE,"",IF(ISNUMBER(M12),VLOOKUP($A12,List!$A$1:$B$29,2,FALSE)))</f>
        <v/>
      </c>
    </row>
    <row r="13" spans="1:25" ht="15" thickBot="1" x14ac:dyDescent="0.35">
      <c r="A13" s="4">
        <v>13</v>
      </c>
      <c r="B13" s="6" t="s">
        <v>79</v>
      </c>
      <c r="C13" s="5">
        <v>0.75</v>
      </c>
      <c r="D13" s="6" t="s">
        <v>79</v>
      </c>
      <c r="E13" s="6" t="s">
        <v>79</v>
      </c>
      <c r="F13" s="6" t="s">
        <v>79</v>
      </c>
      <c r="G13" s="7" t="s">
        <v>79</v>
      </c>
      <c r="H13" s="7" t="s">
        <v>79</v>
      </c>
      <c r="I13" s="7" t="s">
        <v>79</v>
      </c>
      <c r="J13" s="7" t="s">
        <v>79</v>
      </c>
      <c r="K13" s="7" t="s">
        <v>79</v>
      </c>
      <c r="L13" s="7" t="s">
        <v>79</v>
      </c>
      <c r="M13" s="7" t="s">
        <v>79</v>
      </c>
      <c r="N13" s="13" t="str">
        <f>IF(IF(ISNUMBER(B13),VLOOKUP($A13,List!$A$1:$B$29,2,FALSE))=FALSE,"",IF(ISNUMBER(B13),VLOOKUP($A13,List!$A$1:$B$29,2,FALSE)))</f>
        <v/>
      </c>
      <c r="O13" s="13" t="str">
        <f>IF(IF(ISNUMBER(C13),VLOOKUP($A13,List!$A$1:$B$29,2,FALSE))=FALSE,"",IF(ISNUMBER(C13),VLOOKUP($A13,List!$A$1:$B$29,2,FALSE)))</f>
        <v>When buying a boat, I tend to buy the latest and greatest</v>
      </c>
      <c r="P13" s="13" t="str">
        <f>IF(IF(ISNUMBER(D13),VLOOKUP($A13,List!$A$1:$B$29,2,FALSE))=FALSE,"",IF(ISNUMBER(D13),VLOOKUP($A13,List!$A$1:$B$29,2,FALSE)))</f>
        <v/>
      </c>
      <c r="Q13" s="13" t="str">
        <f>IF(IF(ISNUMBER(E13),VLOOKUP($A13,List!$A$1:$B$29,2,FALSE))=FALSE,"",IF(ISNUMBER(E13),VLOOKUP($A13,List!$A$1:$B$29,2,FALSE)))</f>
        <v/>
      </c>
      <c r="R13" s="13" t="str">
        <f>IF(IF(ISNUMBER(F13),VLOOKUP($A13,List!$A$1:$B$29,2,FALSE))=FALSE,"",IF(ISNUMBER(F13),VLOOKUP($A13,List!$A$1:$B$29,2,FALSE)))</f>
        <v/>
      </c>
      <c r="S13" s="13" t="str">
        <f>IF(IF(ISNUMBER(G13),VLOOKUP($A13,List!$A$1:$B$29,2,FALSE))=FALSE,"",IF(ISNUMBER(G13),VLOOKUP($A13,List!$A$1:$B$29,2,FALSE)))</f>
        <v/>
      </c>
      <c r="T13" s="13" t="str">
        <f>IF(IF(ISNUMBER(H13),VLOOKUP($A13,List!$A$1:$B$29,2,FALSE))=FALSE,"",IF(ISNUMBER(H13),VLOOKUP($A13,List!$A$1:$B$29,2,FALSE)))</f>
        <v/>
      </c>
      <c r="U13" s="13" t="str">
        <f>IF(IF(ISNUMBER(I13),VLOOKUP($A13,List!$A$1:$B$29,2,FALSE))=FALSE,"",IF(ISNUMBER(I13),VLOOKUP($A13,List!$A$1:$B$29,2,FALSE)))</f>
        <v/>
      </c>
      <c r="V13" s="13" t="str">
        <f>IF(IF(ISNUMBER(J13),VLOOKUP($A13,List!$A$1:$B$29,2,FALSE))=FALSE,"",IF(ISNUMBER(J13),VLOOKUP($A13,List!$A$1:$B$29,2,FALSE)))</f>
        <v/>
      </c>
      <c r="W13" s="13" t="str">
        <f>IF(IF(ISNUMBER(K13),VLOOKUP($A13,List!$A$1:$B$29,2,FALSE))=FALSE,"",IF(ISNUMBER(K13),VLOOKUP($A13,List!$A$1:$B$29,2,FALSE)))</f>
        <v/>
      </c>
      <c r="X13" s="13" t="str">
        <f>IF(IF(ISNUMBER(L13),VLOOKUP($A13,List!$A$1:$B$29,2,FALSE))=FALSE,"",IF(ISNUMBER(L13),VLOOKUP($A13,List!$A$1:$B$29,2,FALSE)))</f>
        <v/>
      </c>
      <c r="Y13" s="13" t="str">
        <f>IF(IF(ISNUMBER(M13),VLOOKUP($A13,List!$A$1:$B$29,2,FALSE))=FALSE,"",IF(ISNUMBER(M13),VLOOKUP($A13,List!$A$1:$B$29,2,FALSE)))</f>
        <v/>
      </c>
    </row>
    <row r="14" spans="1:25" ht="15" thickBot="1" x14ac:dyDescent="0.35">
      <c r="A14" s="4">
        <v>14</v>
      </c>
      <c r="B14" s="6" t="s">
        <v>79</v>
      </c>
      <c r="C14" s="5">
        <v>0.75</v>
      </c>
      <c r="D14" s="6" t="s">
        <v>79</v>
      </c>
      <c r="E14" s="6" t="s">
        <v>79</v>
      </c>
      <c r="F14" s="6" t="s">
        <v>79</v>
      </c>
      <c r="G14" s="7" t="s">
        <v>79</v>
      </c>
      <c r="H14" s="7" t="s">
        <v>79</v>
      </c>
      <c r="I14" s="7" t="s">
        <v>79</v>
      </c>
      <c r="J14" s="7" t="s">
        <v>79</v>
      </c>
      <c r="K14" s="7" t="s">
        <v>79</v>
      </c>
      <c r="L14" s="7" t="s">
        <v>79</v>
      </c>
      <c r="M14" s="7" t="s">
        <v>79</v>
      </c>
      <c r="N14" s="13" t="str">
        <f>IF(IF(ISNUMBER(B14),VLOOKUP($A14,List!$A$1:$B$29,2,FALSE))=FALSE,"",IF(ISNUMBER(B14),VLOOKUP($A14,List!$A$1:$B$29,2,FALSE)))</f>
        <v/>
      </c>
      <c r="O14" s="13" t="str">
        <f>IF(IF(ISNUMBER(C14),VLOOKUP($A14,List!$A$1:$B$29,2,FALSE))=FALSE,"",IF(ISNUMBER(C14),VLOOKUP($A14,List!$A$1:$B$29,2,FALSE)))</f>
        <v>When buying accessories for my boat, I tend to buy the latest and greatest</v>
      </c>
      <c r="P14" s="13" t="str">
        <f>IF(IF(ISNUMBER(D14),VLOOKUP($A14,List!$A$1:$B$29,2,FALSE))=FALSE,"",IF(ISNUMBER(D14),VLOOKUP($A14,List!$A$1:$B$29,2,FALSE)))</f>
        <v/>
      </c>
      <c r="Q14" s="13" t="str">
        <f>IF(IF(ISNUMBER(E14),VLOOKUP($A14,List!$A$1:$B$29,2,FALSE))=FALSE,"",IF(ISNUMBER(E14),VLOOKUP($A14,List!$A$1:$B$29,2,FALSE)))</f>
        <v/>
      </c>
      <c r="R14" s="13" t="str">
        <f>IF(IF(ISNUMBER(F14),VLOOKUP($A14,List!$A$1:$B$29,2,FALSE))=FALSE,"",IF(ISNUMBER(F14),VLOOKUP($A14,List!$A$1:$B$29,2,FALSE)))</f>
        <v/>
      </c>
      <c r="S14" s="13" t="str">
        <f>IF(IF(ISNUMBER(G14),VLOOKUP($A14,List!$A$1:$B$29,2,FALSE))=FALSE,"",IF(ISNUMBER(G14),VLOOKUP($A14,List!$A$1:$B$29,2,FALSE)))</f>
        <v/>
      </c>
      <c r="T14" s="13" t="str">
        <f>IF(IF(ISNUMBER(H14),VLOOKUP($A14,List!$A$1:$B$29,2,FALSE))=FALSE,"",IF(ISNUMBER(H14),VLOOKUP($A14,List!$A$1:$B$29,2,FALSE)))</f>
        <v/>
      </c>
      <c r="U14" s="13" t="str">
        <f>IF(IF(ISNUMBER(I14),VLOOKUP($A14,List!$A$1:$B$29,2,FALSE))=FALSE,"",IF(ISNUMBER(I14),VLOOKUP($A14,List!$A$1:$B$29,2,FALSE)))</f>
        <v/>
      </c>
      <c r="V14" s="13" t="str">
        <f>IF(IF(ISNUMBER(J14),VLOOKUP($A14,List!$A$1:$B$29,2,FALSE))=FALSE,"",IF(ISNUMBER(J14),VLOOKUP($A14,List!$A$1:$B$29,2,FALSE)))</f>
        <v/>
      </c>
      <c r="W14" s="13" t="str">
        <f>IF(IF(ISNUMBER(K14),VLOOKUP($A14,List!$A$1:$B$29,2,FALSE))=FALSE,"",IF(ISNUMBER(K14),VLOOKUP($A14,List!$A$1:$B$29,2,FALSE)))</f>
        <v/>
      </c>
      <c r="X14" s="13" t="str">
        <f>IF(IF(ISNUMBER(L14),VLOOKUP($A14,List!$A$1:$B$29,2,FALSE))=FALSE,"",IF(ISNUMBER(L14),VLOOKUP($A14,List!$A$1:$B$29,2,FALSE)))</f>
        <v/>
      </c>
      <c r="Y14" s="13" t="str">
        <f>IF(IF(ISNUMBER(M14),VLOOKUP($A14,List!$A$1:$B$29,2,FALSE))=FALSE,"",IF(ISNUMBER(M14),VLOOKUP($A14,List!$A$1:$B$29,2,FALSE)))</f>
        <v/>
      </c>
    </row>
    <row r="15" spans="1:25" ht="15" thickBot="1" x14ac:dyDescent="0.35">
      <c r="A15" s="4">
        <v>5</v>
      </c>
      <c r="B15" s="6" t="s">
        <v>79</v>
      </c>
      <c r="C15" s="6" t="s">
        <v>79</v>
      </c>
      <c r="D15" s="6" t="s">
        <v>79</v>
      </c>
      <c r="E15" s="6" t="s">
        <v>79</v>
      </c>
      <c r="F15" s="6" t="s">
        <v>79</v>
      </c>
      <c r="G15" s="7" t="s">
        <v>79</v>
      </c>
      <c r="H15" s="7" t="s">
        <v>79</v>
      </c>
      <c r="I15" s="7" t="s">
        <v>79</v>
      </c>
      <c r="J15" s="7" t="s">
        <v>79</v>
      </c>
      <c r="K15" s="7" t="s">
        <v>79</v>
      </c>
      <c r="L15" s="7" t="s">
        <v>79</v>
      </c>
      <c r="M15" s="7" t="s">
        <v>79</v>
      </c>
      <c r="N15" s="13" t="str">
        <f>IF(IF(ISNUMBER(B15),VLOOKUP($A15,List!$A$1:$B$29,2,FALSE))=FALSE,"",IF(ISNUMBER(B15),VLOOKUP($A15,List!$A$1:$B$29,2,FALSE)))</f>
        <v/>
      </c>
      <c r="O15" s="13" t="str">
        <f>IF(IF(ISNUMBER(C15),VLOOKUP($A15,List!$A$1:$B$29,2,FALSE))=FALSE,"",IF(ISNUMBER(C15),VLOOKUP($A15,List!$A$1:$B$29,2,FALSE)))</f>
        <v/>
      </c>
      <c r="P15" s="13" t="str">
        <f>IF(IF(ISNUMBER(D15),VLOOKUP($A15,List!$A$1:$B$29,2,FALSE))=FALSE,"",IF(ISNUMBER(D15),VLOOKUP($A15,List!$A$1:$B$29,2,FALSE)))</f>
        <v/>
      </c>
      <c r="Q15" s="13" t="str">
        <f>IF(IF(ISNUMBER(E15),VLOOKUP($A15,List!$A$1:$B$29,2,FALSE))=FALSE,"",IF(ISNUMBER(E15),VLOOKUP($A15,List!$A$1:$B$29,2,FALSE)))</f>
        <v/>
      </c>
      <c r="R15" s="13" t="str">
        <f>IF(IF(ISNUMBER(F15),VLOOKUP($A15,List!$A$1:$B$29,2,FALSE))=FALSE,"",IF(ISNUMBER(F15),VLOOKUP($A15,List!$A$1:$B$29,2,FALSE)))</f>
        <v/>
      </c>
      <c r="S15" s="13" t="str">
        <f>IF(IF(ISNUMBER(G15),VLOOKUP($A15,List!$A$1:$B$29,2,FALSE))=FALSE,"",IF(ISNUMBER(G15),VLOOKUP($A15,List!$A$1:$B$29,2,FALSE)))</f>
        <v/>
      </c>
      <c r="T15" s="13" t="str">
        <f>IF(IF(ISNUMBER(H15),VLOOKUP($A15,List!$A$1:$B$29,2,FALSE))=FALSE,"",IF(ISNUMBER(H15),VLOOKUP($A15,List!$A$1:$B$29,2,FALSE)))</f>
        <v/>
      </c>
      <c r="U15" s="13" t="str">
        <f>IF(IF(ISNUMBER(I15),VLOOKUP($A15,List!$A$1:$B$29,2,FALSE))=FALSE,"",IF(ISNUMBER(I15),VLOOKUP($A15,List!$A$1:$B$29,2,FALSE)))</f>
        <v/>
      </c>
      <c r="V15" s="13" t="str">
        <f>IF(IF(ISNUMBER(J15),VLOOKUP($A15,List!$A$1:$B$29,2,FALSE))=FALSE,"",IF(ISNUMBER(J15),VLOOKUP($A15,List!$A$1:$B$29,2,FALSE)))</f>
        <v/>
      </c>
      <c r="W15" s="13" t="str">
        <f>IF(IF(ISNUMBER(K15),VLOOKUP($A15,List!$A$1:$B$29,2,FALSE))=FALSE,"",IF(ISNUMBER(K15),VLOOKUP($A15,List!$A$1:$B$29,2,FALSE)))</f>
        <v/>
      </c>
      <c r="X15" s="13" t="str">
        <f>IF(IF(ISNUMBER(L15),VLOOKUP($A15,List!$A$1:$B$29,2,FALSE))=FALSE,"",IF(ISNUMBER(L15),VLOOKUP($A15,List!$A$1:$B$29,2,FALSE)))</f>
        <v/>
      </c>
      <c r="Y15" s="13" t="str">
        <f>IF(IF(ISNUMBER(M15),VLOOKUP($A15,List!$A$1:$B$29,2,FALSE))=FALSE,"",IF(ISNUMBER(M15),VLOOKUP($A15,List!$A$1:$B$29,2,FALSE)))</f>
        <v/>
      </c>
    </row>
    <row r="16" spans="1:25" ht="15" thickBot="1" x14ac:dyDescent="0.35">
      <c r="A16" s="4">
        <v>25</v>
      </c>
      <c r="B16" s="6" t="s">
        <v>79</v>
      </c>
      <c r="C16" s="6" t="s">
        <v>79</v>
      </c>
      <c r="D16" s="6" t="s">
        <v>79</v>
      </c>
      <c r="E16" s="6" t="s">
        <v>79</v>
      </c>
      <c r="F16" s="6" t="s">
        <v>79</v>
      </c>
      <c r="G16" s="7" t="s">
        <v>79</v>
      </c>
      <c r="H16" s="7" t="s">
        <v>79</v>
      </c>
      <c r="I16" s="7" t="s">
        <v>79</v>
      </c>
      <c r="J16" s="7" t="s">
        <v>79</v>
      </c>
      <c r="K16" s="7" t="s">
        <v>79</v>
      </c>
      <c r="L16" s="7" t="s">
        <v>79</v>
      </c>
      <c r="M16" s="7" t="s">
        <v>79</v>
      </c>
      <c r="N16" s="13" t="str">
        <f>IF(IF(ISNUMBER(B16),VLOOKUP($A16,List!$A$1:$B$29,2,FALSE))=FALSE,"",IF(ISNUMBER(B16),VLOOKUP($A16,List!$A$1:$B$29,2,FALSE)))</f>
        <v/>
      </c>
      <c r="O16" s="13" t="str">
        <f>IF(IF(ISNUMBER(C16),VLOOKUP($A16,List!$A$1:$B$29,2,FALSE))=FALSE,"",IF(ISNUMBER(C16),VLOOKUP($A16,List!$A$1:$B$29,2,FALSE)))</f>
        <v/>
      </c>
      <c r="P16" s="13" t="str">
        <f>IF(IF(ISNUMBER(D16),VLOOKUP($A16,List!$A$1:$B$29,2,FALSE))=FALSE,"",IF(ISNUMBER(D16),VLOOKUP($A16,List!$A$1:$B$29,2,FALSE)))</f>
        <v/>
      </c>
      <c r="Q16" s="13" t="str">
        <f>IF(IF(ISNUMBER(E16),VLOOKUP($A16,List!$A$1:$B$29,2,FALSE))=FALSE,"",IF(ISNUMBER(E16),VLOOKUP($A16,List!$A$1:$B$29,2,FALSE)))</f>
        <v/>
      </c>
      <c r="R16" s="13" t="str">
        <f>IF(IF(ISNUMBER(F16),VLOOKUP($A16,List!$A$1:$B$29,2,FALSE))=FALSE,"",IF(ISNUMBER(F16),VLOOKUP($A16,List!$A$1:$B$29,2,FALSE)))</f>
        <v/>
      </c>
      <c r="S16" s="13" t="str">
        <f>IF(IF(ISNUMBER(G16),VLOOKUP($A16,List!$A$1:$B$29,2,FALSE))=FALSE,"",IF(ISNUMBER(G16),VLOOKUP($A16,List!$A$1:$B$29,2,FALSE)))</f>
        <v/>
      </c>
      <c r="T16" s="13" t="str">
        <f>IF(IF(ISNUMBER(H16),VLOOKUP($A16,List!$A$1:$B$29,2,FALSE))=FALSE,"",IF(ISNUMBER(H16),VLOOKUP($A16,List!$A$1:$B$29,2,FALSE)))</f>
        <v/>
      </c>
      <c r="U16" s="13" t="str">
        <f>IF(IF(ISNUMBER(I16),VLOOKUP($A16,List!$A$1:$B$29,2,FALSE))=FALSE,"",IF(ISNUMBER(I16),VLOOKUP($A16,List!$A$1:$B$29,2,FALSE)))</f>
        <v/>
      </c>
      <c r="V16" s="13" t="str">
        <f>IF(IF(ISNUMBER(J16),VLOOKUP($A16,List!$A$1:$B$29,2,FALSE))=FALSE,"",IF(ISNUMBER(J16),VLOOKUP($A16,List!$A$1:$B$29,2,FALSE)))</f>
        <v/>
      </c>
      <c r="W16" s="13" t="str">
        <f>IF(IF(ISNUMBER(K16),VLOOKUP($A16,List!$A$1:$B$29,2,FALSE))=FALSE,"",IF(ISNUMBER(K16),VLOOKUP($A16,List!$A$1:$B$29,2,FALSE)))</f>
        <v/>
      </c>
      <c r="X16" s="13" t="str">
        <f>IF(IF(ISNUMBER(L16),VLOOKUP($A16,List!$A$1:$B$29,2,FALSE))=FALSE,"",IF(ISNUMBER(L16),VLOOKUP($A16,List!$A$1:$B$29,2,FALSE)))</f>
        <v/>
      </c>
      <c r="Y16" s="13" t="str">
        <f>IF(IF(ISNUMBER(M16),VLOOKUP($A16,List!$A$1:$B$29,2,FALSE))=FALSE,"",IF(ISNUMBER(M16),VLOOKUP($A16,List!$A$1:$B$29,2,FALSE)))</f>
        <v/>
      </c>
    </row>
    <row r="17" spans="1:25" ht="15" thickBot="1" x14ac:dyDescent="0.35">
      <c r="A17" s="4">
        <v>15</v>
      </c>
      <c r="B17" s="6" t="s">
        <v>79</v>
      </c>
      <c r="C17" s="5">
        <v>0.63</v>
      </c>
      <c r="D17" s="6" t="s">
        <v>79</v>
      </c>
      <c r="E17" s="6" t="s">
        <v>79</v>
      </c>
      <c r="F17" s="6" t="s">
        <v>79</v>
      </c>
      <c r="G17" s="7" t="s">
        <v>79</v>
      </c>
      <c r="H17" s="7" t="s">
        <v>79</v>
      </c>
      <c r="I17" s="7" t="s">
        <v>79</v>
      </c>
      <c r="J17" s="7" t="s">
        <v>79</v>
      </c>
      <c r="K17" s="7" t="s">
        <v>79</v>
      </c>
      <c r="L17" s="7" t="s">
        <v>79</v>
      </c>
      <c r="M17" s="7" t="s">
        <v>79</v>
      </c>
      <c r="N17" s="13" t="str">
        <f>IF(IF(ISNUMBER(B17),VLOOKUP($A17,List!$A$1:$B$29,2,FALSE))=FALSE,"",IF(ISNUMBER(B17),VLOOKUP($A17,List!$A$1:$B$29,2,FALSE)))</f>
        <v/>
      </c>
      <c r="O17" s="13" t="str">
        <f>IF(IF(ISNUMBER(C17),VLOOKUP($A17,List!$A$1:$B$29,2,FALSE))=FALSE,"",IF(ISNUMBER(C17),VLOOKUP($A17,List!$A$1:$B$29,2,FALSE)))</f>
        <v>I am serious about the technology on my boat</v>
      </c>
      <c r="P17" s="13" t="str">
        <f>IF(IF(ISNUMBER(D17),VLOOKUP($A17,List!$A$1:$B$29,2,FALSE))=FALSE,"",IF(ISNUMBER(D17),VLOOKUP($A17,List!$A$1:$B$29,2,FALSE)))</f>
        <v/>
      </c>
      <c r="Q17" s="13" t="str">
        <f>IF(IF(ISNUMBER(E17),VLOOKUP($A17,List!$A$1:$B$29,2,FALSE))=FALSE,"",IF(ISNUMBER(E17),VLOOKUP($A17,List!$A$1:$B$29,2,FALSE)))</f>
        <v/>
      </c>
      <c r="R17" s="13" t="str">
        <f>IF(IF(ISNUMBER(F17),VLOOKUP($A17,List!$A$1:$B$29,2,FALSE))=FALSE,"",IF(ISNUMBER(F17),VLOOKUP($A17,List!$A$1:$B$29,2,FALSE)))</f>
        <v/>
      </c>
      <c r="S17" s="13" t="str">
        <f>IF(IF(ISNUMBER(G17),VLOOKUP($A17,List!$A$1:$B$29,2,FALSE))=FALSE,"",IF(ISNUMBER(G17),VLOOKUP($A17,List!$A$1:$B$29,2,FALSE)))</f>
        <v/>
      </c>
      <c r="T17" s="13" t="str">
        <f>IF(IF(ISNUMBER(H17),VLOOKUP($A17,List!$A$1:$B$29,2,FALSE))=FALSE,"",IF(ISNUMBER(H17),VLOOKUP($A17,List!$A$1:$B$29,2,FALSE)))</f>
        <v/>
      </c>
      <c r="U17" s="13" t="str">
        <f>IF(IF(ISNUMBER(I17),VLOOKUP($A17,List!$A$1:$B$29,2,FALSE))=FALSE,"",IF(ISNUMBER(I17),VLOOKUP($A17,List!$A$1:$B$29,2,FALSE)))</f>
        <v/>
      </c>
      <c r="V17" s="13" t="str">
        <f>IF(IF(ISNUMBER(J17),VLOOKUP($A17,List!$A$1:$B$29,2,FALSE))=FALSE,"",IF(ISNUMBER(J17),VLOOKUP($A17,List!$A$1:$B$29,2,FALSE)))</f>
        <v/>
      </c>
      <c r="W17" s="13" t="str">
        <f>IF(IF(ISNUMBER(K17),VLOOKUP($A17,List!$A$1:$B$29,2,FALSE))=FALSE,"",IF(ISNUMBER(K17),VLOOKUP($A17,List!$A$1:$B$29,2,FALSE)))</f>
        <v/>
      </c>
      <c r="X17" s="13" t="str">
        <f>IF(IF(ISNUMBER(L17),VLOOKUP($A17,List!$A$1:$B$29,2,FALSE))=FALSE,"",IF(ISNUMBER(L17),VLOOKUP($A17,List!$A$1:$B$29,2,FALSE)))</f>
        <v/>
      </c>
      <c r="Y17" s="13" t="str">
        <f>IF(IF(ISNUMBER(M17),VLOOKUP($A17,List!$A$1:$B$29,2,FALSE))=FALSE,"",IF(ISNUMBER(M17),VLOOKUP($A17,List!$A$1:$B$29,2,FALSE)))</f>
        <v/>
      </c>
    </row>
    <row r="18" spans="1:25" ht="15" thickBot="1" x14ac:dyDescent="0.35">
      <c r="A18" s="4">
        <v>6</v>
      </c>
      <c r="B18" s="6" t="s">
        <v>79</v>
      </c>
      <c r="C18" s="6" t="s">
        <v>79</v>
      </c>
      <c r="D18" s="6" t="s">
        <v>79</v>
      </c>
      <c r="E18" s="5">
        <v>0.62</v>
      </c>
      <c r="F18" s="6" t="s">
        <v>79</v>
      </c>
      <c r="G18" s="7" t="s">
        <v>79</v>
      </c>
      <c r="H18" s="7" t="s">
        <v>79</v>
      </c>
      <c r="I18" s="7" t="s">
        <v>79</v>
      </c>
      <c r="J18" s="7" t="s">
        <v>79</v>
      </c>
      <c r="K18" s="7" t="s">
        <v>79</v>
      </c>
      <c r="L18" s="7" t="s">
        <v>79</v>
      </c>
      <c r="M18" s="7" t="s">
        <v>79</v>
      </c>
      <c r="N18" s="13" t="str">
        <f>IF(IF(ISNUMBER(B18),VLOOKUP($A18,List!$A$1:$B$29,2,FALSE))=FALSE,"",IF(ISNUMBER(B18),VLOOKUP($A18,List!$A$1:$B$29,2,FALSE)))</f>
        <v/>
      </c>
      <c r="O18" s="13" t="str">
        <f>IF(IF(ISNUMBER(C18),VLOOKUP($A18,List!$A$1:$B$29,2,FALSE))=FALSE,"",IF(ISNUMBER(C18),VLOOKUP($A18,List!$A$1:$B$29,2,FALSE)))</f>
        <v/>
      </c>
      <c r="P18" s="13" t="str">
        <f>IF(IF(ISNUMBER(D18),VLOOKUP($A18,List!$A$1:$B$29,2,FALSE))=FALSE,"",IF(ISNUMBER(D18),VLOOKUP($A18,List!$A$1:$B$29,2,FALSE)))</f>
        <v/>
      </c>
      <c r="Q18" s="14" t="str">
        <f>IF(IF(ISNUMBER(E18),VLOOKUP($A18,List!$A$1:$B$29,2,FALSE))=FALSE,"",IF(ISNUMBER(E18),VLOOKUP($A18,List!$A$1:$B$29,2,FALSE)))</f>
        <v>Owning a boat is a way of rewarding myself for hard work</v>
      </c>
      <c r="R18" s="13" t="str">
        <f>IF(IF(ISNUMBER(F18),VLOOKUP($A18,List!$A$1:$B$29,2,FALSE))=FALSE,"",IF(ISNUMBER(F18),VLOOKUP($A18,List!$A$1:$B$29,2,FALSE)))</f>
        <v/>
      </c>
      <c r="S18" s="13" t="str">
        <f>IF(IF(ISNUMBER(G18),VLOOKUP($A18,List!$A$1:$B$29,2,FALSE))=FALSE,"",IF(ISNUMBER(G18),VLOOKUP($A18,List!$A$1:$B$29,2,FALSE)))</f>
        <v/>
      </c>
      <c r="T18" s="13" t="str">
        <f>IF(IF(ISNUMBER(H18),VLOOKUP($A18,List!$A$1:$B$29,2,FALSE))=FALSE,"",IF(ISNUMBER(H18),VLOOKUP($A18,List!$A$1:$B$29,2,FALSE)))</f>
        <v/>
      </c>
      <c r="U18" s="13" t="str">
        <f>IF(IF(ISNUMBER(I18),VLOOKUP($A18,List!$A$1:$B$29,2,FALSE))=FALSE,"",IF(ISNUMBER(I18),VLOOKUP($A18,List!$A$1:$B$29,2,FALSE)))</f>
        <v/>
      </c>
      <c r="V18" s="13" t="str">
        <f>IF(IF(ISNUMBER(J18),VLOOKUP($A18,List!$A$1:$B$29,2,FALSE))=FALSE,"",IF(ISNUMBER(J18),VLOOKUP($A18,List!$A$1:$B$29,2,FALSE)))</f>
        <v/>
      </c>
      <c r="W18" s="13" t="str">
        <f>IF(IF(ISNUMBER(K18),VLOOKUP($A18,List!$A$1:$B$29,2,FALSE))=FALSE,"",IF(ISNUMBER(K18),VLOOKUP($A18,List!$A$1:$B$29,2,FALSE)))</f>
        <v/>
      </c>
      <c r="X18" s="13" t="str">
        <f>IF(IF(ISNUMBER(L18),VLOOKUP($A18,List!$A$1:$B$29,2,FALSE))=FALSE,"",IF(ISNUMBER(L18),VLOOKUP($A18,List!$A$1:$B$29,2,FALSE)))</f>
        <v/>
      </c>
      <c r="Y18" s="13" t="str">
        <f>IF(IF(ISNUMBER(M18),VLOOKUP($A18,List!$A$1:$B$29,2,FALSE))=FALSE,"",IF(ISNUMBER(M18),VLOOKUP($A18,List!$A$1:$B$29,2,FALSE)))</f>
        <v/>
      </c>
    </row>
    <row r="19" spans="1:25" ht="15" thickBot="1" x14ac:dyDescent="0.35">
      <c r="A19" s="4">
        <v>7</v>
      </c>
      <c r="B19" s="6" t="s">
        <v>79</v>
      </c>
      <c r="C19" s="6" t="s">
        <v>79</v>
      </c>
      <c r="D19" s="6" t="s">
        <v>79</v>
      </c>
      <c r="E19" s="5">
        <v>0.74</v>
      </c>
      <c r="F19" s="6" t="s">
        <v>79</v>
      </c>
      <c r="G19" s="7" t="s">
        <v>79</v>
      </c>
      <c r="H19" s="7" t="s">
        <v>79</v>
      </c>
      <c r="I19" s="7" t="s">
        <v>79</v>
      </c>
      <c r="J19" s="7" t="s">
        <v>79</v>
      </c>
      <c r="K19" s="7" t="s">
        <v>79</v>
      </c>
      <c r="L19" s="7" t="s">
        <v>79</v>
      </c>
      <c r="M19" s="7" t="s">
        <v>79</v>
      </c>
      <c r="N19" s="13" t="str">
        <f>IF(IF(ISNUMBER(B19),VLOOKUP($A19,List!$A$1:$B$29,2,FALSE))=FALSE,"",IF(ISNUMBER(B19),VLOOKUP($A19,List!$A$1:$B$29,2,FALSE)))</f>
        <v/>
      </c>
      <c r="O19" s="13" t="str">
        <f>IF(IF(ISNUMBER(C19),VLOOKUP($A19,List!$A$1:$B$29,2,FALSE))=FALSE,"",IF(ISNUMBER(C19),VLOOKUP($A19,List!$A$1:$B$29,2,FALSE)))</f>
        <v/>
      </c>
      <c r="P19" s="13" t="str">
        <f>IF(IF(ISNUMBER(D19),VLOOKUP($A19,List!$A$1:$B$29,2,FALSE))=FALSE,"",IF(ISNUMBER(D19),VLOOKUP($A19,List!$A$1:$B$29,2,FALSE)))</f>
        <v/>
      </c>
      <c r="Q19" s="14" t="str">
        <f>IF(IF(ISNUMBER(E19),VLOOKUP($A19,List!$A$1:$B$29,2,FALSE))=FALSE,"",IF(ISNUMBER(E19),VLOOKUP($A19,List!$A$1:$B$29,2,FALSE)))</f>
        <v>Owning a boat gives me a sense of achievement</v>
      </c>
      <c r="R19" s="13" t="str">
        <f>IF(IF(ISNUMBER(F19),VLOOKUP($A19,List!$A$1:$B$29,2,FALSE))=FALSE,"",IF(ISNUMBER(F19),VLOOKUP($A19,List!$A$1:$B$29,2,FALSE)))</f>
        <v/>
      </c>
      <c r="S19" s="13" t="str">
        <f>IF(IF(ISNUMBER(G19),VLOOKUP($A19,List!$A$1:$B$29,2,FALSE))=FALSE,"",IF(ISNUMBER(G19),VLOOKUP($A19,List!$A$1:$B$29,2,FALSE)))</f>
        <v/>
      </c>
      <c r="T19" s="13" t="str">
        <f>IF(IF(ISNUMBER(H19),VLOOKUP($A19,List!$A$1:$B$29,2,FALSE))=FALSE,"",IF(ISNUMBER(H19),VLOOKUP($A19,List!$A$1:$B$29,2,FALSE)))</f>
        <v/>
      </c>
      <c r="U19" s="13" t="str">
        <f>IF(IF(ISNUMBER(I19),VLOOKUP($A19,List!$A$1:$B$29,2,FALSE))=FALSE,"",IF(ISNUMBER(I19),VLOOKUP($A19,List!$A$1:$B$29,2,FALSE)))</f>
        <v/>
      </c>
      <c r="V19" s="13" t="str">
        <f>IF(IF(ISNUMBER(J19),VLOOKUP($A19,List!$A$1:$B$29,2,FALSE))=FALSE,"",IF(ISNUMBER(J19),VLOOKUP($A19,List!$A$1:$B$29,2,FALSE)))</f>
        <v/>
      </c>
      <c r="W19" s="13" t="str">
        <f>IF(IF(ISNUMBER(K19),VLOOKUP($A19,List!$A$1:$B$29,2,FALSE))=FALSE,"",IF(ISNUMBER(K19),VLOOKUP($A19,List!$A$1:$B$29,2,FALSE)))</f>
        <v/>
      </c>
      <c r="X19" s="13" t="str">
        <f>IF(IF(ISNUMBER(L19),VLOOKUP($A19,List!$A$1:$B$29,2,FALSE))=FALSE,"",IF(ISNUMBER(L19),VLOOKUP($A19,List!$A$1:$B$29,2,FALSE)))</f>
        <v/>
      </c>
      <c r="Y19" s="13" t="str">
        <f>IF(IF(ISNUMBER(M19),VLOOKUP($A19,List!$A$1:$B$29,2,FALSE))=FALSE,"",IF(ISNUMBER(M19),VLOOKUP($A19,List!$A$1:$B$29,2,FALSE)))</f>
        <v/>
      </c>
    </row>
    <row r="20" spans="1:25" ht="15" thickBot="1" x14ac:dyDescent="0.35">
      <c r="A20" s="4">
        <v>12</v>
      </c>
      <c r="B20" s="6" t="s">
        <v>79</v>
      </c>
      <c r="C20" s="6" t="s">
        <v>79</v>
      </c>
      <c r="D20" s="6" t="s">
        <v>79</v>
      </c>
      <c r="E20" s="6" t="s">
        <v>79</v>
      </c>
      <c r="F20" s="5">
        <v>0.63</v>
      </c>
      <c r="G20" s="7" t="s">
        <v>79</v>
      </c>
      <c r="H20" s="7" t="s">
        <v>79</v>
      </c>
      <c r="I20" s="7" t="s">
        <v>79</v>
      </c>
      <c r="J20" s="7" t="s">
        <v>79</v>
      </c>
      <c r="K20" s="7" t="s">
        <v>79</v>
      </c>
      <c r="L20" s="7" t="s">
        <v>79</v>
      </c>
      <c r="M20" s="7" t="s">
        <v>79</v>
      </c>
      <c r="N20" s="13" t="str">
        <f>IF(IF(ISNUMBER(B20),VLOOKUP($A20,List!$A$1:$B$29,2,FALSE))=FALSE,"",IF(ISNUMBER(B20),VLOOKUP($A20,List!$A$1:$B$29,2,FALSE)))</f>
        <v/>
      </c>
      <c r="O20" s="13" t="str">
        <f>IF(IF(ISNUMBER(C20),VLOOKUP($A20,List!$A$1:$B$29,2,FALSE))=FALSE,"",IF(ISNUMBER(C20),VLOOKUP($A20,List!$A$1:$B$29,2,FALSE)))</f>
        <v/>
      </c>
      <c r="P20" s="13" t="str">
        <f>IF(IF(ISNUMBER(D20),VLOOKUP($A20,List!$A$1:$B$29,2,FALSE))=FALSE,"",IF(ISNUMBER(D20),VLOOKUP($A20,List!$A$1:$B$29,2,FALSE)))</f>
        <v/>
      </c>
      <c r="Q20" s="13" t="str">
        <f>IF(IF(ISNUMBER(E20),VLOOKUP($A20,List!$A$1:$B$29,2,FALSE))=FALSE,"",IF(ISNUMBER(E20),VLOOKUP($A20,List!$A$1:$B$29,2,FALSE)))</f>
        <v/>
      </c>
      <c r="R20" s="13" t="str">
        <f>IF(IF(ISNUMBER(F20),VLOOKUP($A20,List!$A$1:$B$29,2,FALSE))=FALSE,"",IF(ISNUMBER(F20),VLOOKUP($A20,List!$A$1:$B$29,2,FALSE)))</f>
        <v>When it comes to boating, I tend to prefer a basic boat with little to no frills</v>
      </c>
      <c r="S20" s="13" t="str">
        <f>IF(IF(ISNUMBER(G20),VLOOKUP($A20,List!$A$1:$B$29,2,FALSE))=FALSE,"",IF(ISNUMBER(G20),VLOOKUP($A20,List!$A$1:$B$29,2,FALSE)))</f>
        <v/>
      </c>
      <c r="T20" s="13" t="str">
        <f>IF(IF(ISNUMBER(H20),VLOOKUP($A20,List!$A$1:$B$29,2,FALSE))=FALSE,"",IF(ISNUMBER(H20),VLOOKUP($A20,List!$A$1:$B$29,2,FALSE)))</f>
        <v/>
      </c>
      <c r="U20" s="13" t="str">
        <f>IF(IF(ISNUMBER(I20),VLOOKUP($A20,List!$A$1:$B$29,2,FALSE))=FALSE,"",IF(ISNUMBER(I20),VLOOKUP($A20,List!$A$1:$B$29,2,FALSE)))</f>
        <v/>
      </c>
      <c r="V20" s="13" t="str">
        <f>IF(IF(ISNUMBER(J20),VLOOKUP($A20,List!$A$1:$B$29,2,FALSE))=FALSE,"",IF(ISNUMBER(J20),VLOOKUP($A20,List!$A$1:$B$29,2,FALSE)))</f>
        <v/>
      </c>
      <c r="W20" s="13" t="str">
        <f>IF(IF(ISNUMBER(K20),VLOOKUP($A20,List!$A$1:$B$29,2,FALSE))=FALSE,"",IF(ISNUMBER(K20),VLOOKUP($A20,List!$A$1:$B$29,2,FALSE)))</f>
        <v/>
      </c>
      <c r="X20" s="13" t="str">
        <f>IF(IF(ISNUMBER(L20),VLOOKUP($A20,List!$A$1:$B$29,2,FALSE))=FALSE,"",IF(ISNUMBER(L20),VLOOKUP($A20,List!$A$1:$B$29,2,FALSE)))</f>
        <v/>
      </c>
      <c r="Y20" s="13" t="str">
        <f>IF(IF(ISNUMBER(M20),VLOOKUP($A20,List!$A$1:$B$29,2,FALSE))=FALSE,"",IF(ISNUMBER(M20),VLOOKUP($A20,List!$A$1:$B$29,2,FALSE)))</f>
        <v/>
      </c>
    </row>
    <row r="21" spans="1:25" ht="15" thickBot="1" x14ac:dyDescent="0.35">
      <c r="A21" s="4">
        <v>24</v>
      </c>
      <c r="B21" s="6" t="s">
        <v>79</v>
      </c>
      <c r="C21" s="6" t="s">
        <v>79</v>
      </c>
      <c r="D21" s="6" t="s">
        <v>79</v>
      </c>
      <c r="E21" s="6" t="s">
        <v>79</v>
      </c>
      <c r="F21" s="6" t="s">
        <v>79</v>
      </c>
      <c r="G21" s="7" t="s">
        <v>79</v>
      </c>
      <c r="H21" s="7" t="s">
        <v>79</v>
      </c>
      <c r="I21" s="7" t="s">
        <v>79</v>
      </c>
      <c r="J21" s="7" t="s">
        <v>79</v>
      </c>
      <c r="K21" s="7" t="s">
        <v>79</v>
      </c>
      <c r="L21" s="7" t="s">
        <v>79</v>
      </c>
      <c r="M21" s="8">
        <v>0.77</v>
      </c>
      <c r="N21" s="13" t="str">
        <f>IF(IF(ISNUMBER(B21),VLOOKUP($A21,List!$A$1:$B$29,2,FALSE))=FALSE,"",IF(ISNUMBER(B21),VLOOKUP($A21,List!$A$1:$B$29,2,FALSE)))</f>
        <v/>
      </c>
      <c r="O21" s="13" t="str">
        <f>IF(IF(ISNUMBER(C21),VLOOKUP($A21,List!$A$1:$B$29,2,FALSE))=FALSE,"",IF(ISNUMBER(C21),VLOOKUP($A21,List!$A$1:$B$29,2,FALSE)))</f>
        <v/>
      </c>
      <c r="P21" s="13" t="str">
        <f>IF(IF(ISNUMBER(D21),VLOOKUP($A21,List!$A$1:$B$29,2,FALSE))=FALSE,"",IF(ISNUMBER(D21),VLOOKUP($A21,List!$A$1:$B$29,2,FALSE)))</f>
        <v/>
      </c>
      <c r="Q21" s="13" t="str">
        <f>IF(IF(ISNUMBER(E21),VLOOKUP($A21,List!$A$1:$B$29,2,FALSE))=FALSE,"",IF(ISNUMBER(E21),VLOOKUP($A21,List!$A$1:$B$29,2,FALSE)))</f>
        <v/>
      </c>
      <c r="R21" s="13" t="str">
        <f>IF(IF(ISNUMBER(F21),VLOOKUP($A21,List!$A$1:$B$29,2,FALSE))=FALSE,"",IF(ISNUMBER(F21),VLOOKUP($A21,List!$A$1:$B$29,2,FALSE)))</f>
        <v/>
      </c>
      <c r="S21" s="13" t="str">
        <f>IF(IF(ISNUMBER(G21),VLOOKUP($A21,List!$A$1:$B$29,2,FALSE))=FALSE,"",IF(ISNUMBER(G21),VLOOKUP($A21,List!$A$1:$B$29,2,FALSE)))</f>
        <v/>
      </c>
      <c r="T21" s="13" t="str">
        <f>IF(IF(ISNUMBER(H21),VLOOKUP($A21,List!$A$1:$B$29,2,FALSE))=FALSE,"",IF(ISNUMBER(H21),VLOOKUP($A21,List!$A$1:$B$29,2,FALSE)))</f>
        <v/>
      </c>
      <c r="U21" s="13" t="str">
        <f>IF(IF(ISNUMBER(I21),VLOOKUP($A21,List!$A$1:$B$29,2,FALSE))=FALSE,"",IF(ISNUMBER(I21),VLOOKUP($A21,List!$A$1:$B$29,2,FALSE)))</f>
        <v/>
      </c>
      <c r="V21" s="13" t="str">
        <f>IF(IF(ISNUMBER(J21),VLOOKUP($A21,List!$A$1:$B$29,2,FALSE))=FALSE,"",IF(ISNUMBER(J21),VLOOKUP($A21,List!$A$1:$B$29,2,FALSE)))</f>
        <v/>
      </c>
      <c r="W21" s="13" t="str">
        <f>IF(IF(ISNUMBER(K21),VLOOKUP($A21,List!$A$1:$B$29,2,FALSE))=FALSE,"",IF(ISNUMBER(K21),VLOOKUP($A21,List!$A$1:$B$29,2,FALSE)))</f>
        <v/>
      </c>
      <c r="X21" s="13" t="str">
        <f>IF(IF(ISNUMBER(L21),VLOOKUP($A21,List!$A$1:$B$29,2,FALSE))=FALSE,"",IF(ISNUMBER(L21),VLOOKUP($A21,List!$A$1:$B$29,2,FALSE)))</f>
        <v/>
      </c>
      <c r="Y21" s="13" t="str">
        <f>IF(IF(ISNUMBER(M21),VLOOKUP($A21,List!$A$1:$B$29,2,FALSE))=FALSE,"",IF(ISNUMBER(M21),VLOOKUP($A21,List!$A$1:$B$29,2,FALSE)))</f>
        <v>Boating gives me an outlet to socialize with family/friends</v>
      </c>
    </row>
    <row r="22" spans="1:25" ht="15" thickBot="1" x14ac:dyDescent="0.35">
      <c r="A22" s="4">
        <v>11</v>
      </c>
      <c r="B22" s="6" t="s">
        <v>79</v>
      </c>
      <c r="C22" s="6" t="s">
        <v>79</v>
      </c>
      <c r="D22" s="6" t="s">
        <v>79</v>
      </c>
      <c r="E22" s="6" t="s">
        <v>79</v>
      </c>
      <c r="F22" s="6" t="s">
        <v>79</v>
      </c>
      <c r="G22" s="8">
        <v>0.88</v>
      </c>
      <c r="H22" s="7" t="s">
        <v>79</v>
      </c>
      <c r="I22" s="7" t="s">
        <v>79</v>
      </c>
      <c r="J22" s="7" t="s">
        <v>79</v>
      </c>
      <c r="K22" s="7" t="s">
        <v>79</v>
      </c>
      <c r="L22" s="7" t="s">
        <v>79</v>
      </c>
      <c r="M22" s="7" t="s">
        <v>79</v>
      </c>
      <c r="N22" s="13" t="str">
        <f>IF(IF(ISNUMBER(B22),VLOOKUP($A22,List!$A$1:$B$29,2,FALSE))=FALSE,"",IF(ISNUMBER(B22),VLOOKUP($A22,List!$A$1:$B$29,2,FALSE)))</f>
        <v/>
      </c>
      <c r="O22" s="13" t="str">
        <f>IF(IF(ISNUMBER(C22),VLOOKUP($A22,List!$A$1:$B$29,2,FALSE))=FALSE,"",IF(ISNUMBER(C22),VLOOKUP($A22,List!$A$1:$B$29,2,FALSE)))</f>
        <v/>
      </c>
      <c r="P22" s="13" t="str">
        <f>IF(IF(ISNUMBER(D22),VLOOKUP($A22,List!$A$1:$B$29,2,FALSE))=FALSE,"",IF(ISNUMBER(D22),VLOOKUP($A22,List!$A$1:$B$29,2,FALSE)))</f>
        <v/>
      </c>
      <c r="Q22" s="13" t="str">
        <f>IF(IF(ISNUMBER(E22),VLOOKUP($A22,List!$A$1:$B$29,2,FALSE))=FALSE,"",IF(ISNUMBER(E22),VLOOKUP($A22,List!$A$1:$B$29,2,FALSE)))</f>
        <v/>
      </c>
      <c r="R22" s="13" t="str">
        <f>IF(IF(ISNUMBER(F22),VLOOKUP($A22,List!$A$1:$B$29,2,FALSE))=FALSE,"",IF(ISNUMBER(F22),VLOOKUP($A22,List!$A$1:$B$29,2,FALSE)))</f>
        <v/>
      </c>
      <c r="S22" s="13" t="str">
        <f>IF(IF(ISNUMBER(G22),VLOOKUP($A22,List!$A$1:$B$29,2,FALSE))=FALSE,"",IF(ISNUMBER(G22),VLOOKUP($A22,List!$A$1:$B$29,2,FALSE)))</f>
        <v>I tend to perform minor boat repairs and maintenance on my own</v>
      </c>
      <c r="T22" s="13" t="str">
        <f>IF(IF(ISNUMBER(H22),VLOOKUP($A22,List!$A$1:$B$29,2,FALSE))=FALSE,"",IF(ISNUMBER(H22),VLOOKUP($A22,List!$A$1:$B$29,2,FALSE)))</f>
        <v/>
      </c>
      <c r="U22" s="13" t="str">
        <f>IF(IF(ISNUMBER(I22),VLOOKUP($A22,List!$A$1:$B$29,2,FALSE))=FALSE,"",IF(ISNUMBER(I22),VLOOKUP($A22,List!$A$1:$B$29,2,FALSE)))</f>
        <v/>
      </c>
      <c r="V22" s="13" t="str">
        <f>IF(IF(ISNUMBER(J22),VLOOKUP($A22,List!$A$1:$B$29,2,FALSE))=FALSE,"",IF(ISNUMBER(J22),VLOOKUP($A22,List!$A$1:$B$29,2,FALSE)))</f>
        <v/>
      </c>
      <c r="W22" s="13" t="str">
        <f>IF(IF(ISNUMBER(K22),VLOOKUP($A22,List!$A$1:$B$29,2,FALSE))=FALSE,"",IF(ISNUMBER(K22),VLOOKUP($A22,List!$A$1:$B$29,2,FALSE)))</f>
        <v/>
      </c>
      <c r="X22" s="13" t="str">
        <f>IF(IF(ISNUMBER(L22),VLOOKUP($A22,List!$A$1:$B$29,2,FALSE))=FALSE,"",IF(ISNUMBER(L22),VLOOKUP($A22,List!$A$1:$B$29,2,FALSE)))</f>
        <v/>
      </c>
      <c r="Y22" s="13" t="str">
        <f>IF(IF(ISNUMBER(M22),VLOOKUP($A22,List!$A$1:$B$29,2,FALSE))=FALSE,"",IF(ISNUMBER(M22),VLOOKUP($A22,List!$A$1:$B$29,2,FALSE)))</f>
        <v/>
      </c>
    </row>
    <row r="23" spans="1:25" ht="15" thickBot="1" x14ac:dyDescent="0.35">
      <c r="A23" s="4">
        <v>18</v>
      </c>
      <c r="B23" s="6" t="s">
        <v>79</v>
      </c>
      <c r="C23" s="6" t="s">
        <v>79</v>
      </c>
      <c r="D23" s="5">
        <v>0.72</v>
      </c>
      <c r="E23" s="6" t="s">
        <v>79</v>
      </c>
      <c r="F23" s="6" t="s">
        <v>79</v>
      </c>
      <c r="G23" s="7" t="s">
        <v>79</v>
      </c>
      <c r="H23" s="7" t="s">
        <v>79</v>
      </c>
      <c r="I23" s="7" t="s">
        <v>79</v>
      </c>
      <c r="J23" s="7" t="s">
        <v>79</v>
      </c>
      <c r="K23" s="7" t="s">
        <v>79</v>
      </c>
      <c r="L23" s="7" t="s">
        <v>79</v>
      </c>
      <c r="M23" s="7" t="s">
        <v>79</v>
      </c>
      <c r="N23" s="13" t="str">
        <f>IF(IF(ISNUMBER(B23),VLOOKUP($A23,List!$A$1:$B$29,2,FALSE))=FALSE,"",IF(ISNUMBER(B23),VLOOKUP($A23,List!$A$1:$B$29,2,FALSE)))</f>
        <v/>
      </c>
      <c r="O23" s="13" t="str">
        <f>IF(IF(ISNUMBER(C23),VLOOKUP($A23,List!$A$1:$B$29,2,FALSE))=FALSE,"",IF(ISNUMBER(C23),VLOOKUP($A23,List!$A$1:$B$29,2,FALSE)))</f>
        <v/>
      </c>
      <c r="P23" s="13" t="str">
        <f>IF(IF(ISNUMBER(D23),VLOOKUP($A23,List!$A$1:$B$29,2,FALSE))=FALSE,"",IF(ISNUMBER(D23),VLOOKUP($A23,List!$A$1:$B$29,2,FALSE)))</f>
        <v>Boating gives me a feeling of adventure</v>
      </c>
      <c r="Q23" s="13" t="str">
        <f>IF(IF(ISNUMBER(E23),VLOOKUP($A23,List!$A$1:$B$29,2,FALSE))=FALSE,"",IF(ISNUMBER(E23),VLOOKUP($A23,List!$A$1:$B$29,2,FALSE)))</f>
        <v/>
      </c>
      <c r="R23" s="13" t="str">
        <f>IF(IF(ISNUMBER(F23),VLOOKUP($A23,List!$A$1:$B$29,2,FALSE))=FALSE,"",IF(ISNUMBER(F23),VLOOKUP($A23,List!$A$1:$B$29,2,FALSE)))</f>
        <v/>
      </c>
      <c r="S23" s="13" t="str">
        <f>IF(IF(ISNUMBER(G23),VLOOKUP($A23,List!$A$1:$B$29,2,FALSE))=FALSE,"",IF(ISNUMBER(G23),VLOOKUP($A23,List!$A$1:$B$29,2,FALSE)))</f>
        <v/>
      </c>
      <c r="T23" s="13" t="str">
        <f>IF(IF(ISNUMBER(H23),VLOOKUP($A23,List!$A$1:$B$29,2,FALSE))=FALSE,"",IF(ISNUMBER(H23),VLOOKUP($A23,List!$A$1:$B$29,2,FALSE)))</f>
        <v/>
      </c>
      <c r="U23" s="13" t="str">
        <f>IF(IF(ISNUMBER(I23),VLOOKUP($A23,List!$A$1:$B$29,2,FALSE))=FALSE,"",IF(ISNUMBER(I23),VLOOKUP($A23,List!$A$1:$B$29,2,FALSE)))</f>
        <v/>
      </c>
      <c r="V23" s="13" t="str">
        <f>IF(IF(ISNUMBER(J23),VLOOKUP($A23,List!$A$1:$B$29,2,FALSE))=FALSE,"",IF(ISNUMBER(J23),VLOOKUP($A23,List!$A$1:$B$29,2,FALSE)))</f>
        <v/>
      </c>
      <c r="W23" s="13" t="str">
        <f>IF(IF(ISNUMBER(K23),VLOOKUP($A23,List!$A$1:$B$29,2,FALSE))=FALSE,"",IF(ISNUMBER(K23),VLOOKUP($A23,List!$A$1:$B$29,2,FALSE)))</f>
        <v/>
      </c>
      <c r="X23" s="13" t="str">
        <f>IF(IF(ISNUMBER(L23),VLOOKUP($A23,List!$A$1:$B$29,2,FALSE))=FALSE,"",IF(ISNUMBER(L23),VLOOKUP($A23,List!$A$1:$B$29,2,FALSE)))</f>
        <v/>
      </c>
      <c r="Y23" s="13" t="str">
        <f>IF(IF(ISNUMBER(M23),VLOOKUP($A23,List!$A$1:$B$29,2,FALSE))=FALSE,"",IF(ISNUMBER(M23),VLOOKUP($A23,List!$A$1:$B$29,2,FALSE)))</f>
        <v/>
      </c>
    </row>
    <row r="24" spans="1:25" ht="15" thickBot="1" x14ac:dyDescent="0.35">
      <c r="A24" s="4">
        <v>21</v>
      </c>
      <c r="B24" s="6" t="s">
        <v>79</v>
      </c>
      <c r="C24" s="6" t="s">
        <v>79</v>
      </c>
      <c r="D24" s="5">
        <v>0.56999999999999995</v>
      </c>
      <c r="E24" s="6" t="s">
        <v>79</v>
      </c>
      <c r="F24" s="6" t="s">
        <v>79</v>
      </c>
      <c r="G24" s="7" t="s">
        <v>79</v>
      </c>
      <c r="H24" s="7" t="s">
        <v>79</v>
      </c>
      <c r="I24" s="7" t="s">
        <v>79</v>
      </c>
      <c r="J24" s="7" t="s">
        <v>79</v>
      </c>
      <c r="K24" s="7" t="s">
        <v>79</v>
      </c>
      <c r="L24" s="7" t="s">
        <v>79</v>
      </c>
      <c r="M24" s="7" t="s">
        <v>79</v>
      </c>
      <c r="N24" s="13" t="str">
        <f>IF(IF(ISNUMBER(B24),VLOOKUP($A24,List!$A$1:$B$29,2,FALSE))=FALSE,"",IF(ISNUMBER(B24),VLOOKUP($A24,List!$A$1:$B$29,2,FALSE)))</f>
        <v/>
      </c>
      <c r="O24" s="13" t="str">
        <f>IF(IF(ISNUMBER(C24),VLOOKUP($A24,List!$A$1:$B$29,2,FALSE))=FALSE,"",IF(ISNUMBER(C24),VLOOKUP($A24,List!$A$1:$B$29,2,FALSE)))</f>
        <v/>
      </c>
      <c r="P24" s="13" t="str">
        <f>IF(IF(ISNUMBER(D24),VLOOKUP($A24,List!$A$1:$B$29,2,FALSE))=FALSE,"",IF(ISNUMBER(D24),VLOOKUP($A24,List!$A$1:$B$29,2,FALSE)))</f>
        <v>Boating helps me escape from everyday life and relax</v>
      </c>
      <c r="Q24" s="13" t="str">
        <f>IF(IF(ISNUMBER(E24),VLOOKUP($A24,List!$A$1:$B$29,2,FALSE))=FALSE,"",IF(ISNUMBER(E24),VLOOKUP($A24,List!$A$1:$B$29,2,FALSE)))</f>
        <v/>
      </c>
      <c r="R24" s="13" t="str">
        <f>IF(IF(ISNUMBER(F24),VLOOKUP($A24,List!$A$1:$B$29,2,FALSE))=FALSE,"",IF(ISNUMBER(F24),VLOOKUP($A24,List!$A$1:$B$29,2,FALSE)))</f>
        <v/>
      </c>
      <c r="S24" s="13" t="str">
        <f>IF(IF(ISNUMBER(G24),VLOOKUP($A24,List!$A$1:$B$29,2,FALSE))=FALSE,"",IF(ISNUMBER(G24),VLOOKUP($A24,List!$A$1:$B$29,2,FALSE)))</f>
        <v/>
      </c>
      <c r="T24" s="13" t="str">
        <f>IF(IF(ISNUMBER(H24),VLOOKUP($A24,List!$A$1:$B$29,2,FALSE))=FALSE,"",IF(ISNUMBER(H24),VLOOKUP($A24,List!$A$1:$B$29,2,FALSE)))</f>
        <v/>
      </c>
      <c r="U24" s="13" t="str">
        <f>IF(IF(ISNUMBER(I24),VLOOKUP($A24,List!$A$1:$B$29,2,FALSE))=FALSE,"",IF(ISNUMBER(I24),VLOOKUP($A24,List!$A$1:$B$29,2,FALSE)))</f>
        <v/>
      </c>
      <c r="V24" s="13" t="str">
        <f>IF(IF(ISNUMBER(J24),VLOOKUP($A24,List!$A$1:$B$29,2,FALSE))=FALSE,"",IF(ISNUMBER(J24),VLOOKUP($A24,List!$A$1:$B$29,2,FALSE)))</f>
        <v/>
      </c>
      <c r="W24" s="13" t="str">
        <f>IF(IF(ISNUMBER(K24),VLOOKUP($A24,List!$A$1:$B$29,2,FALSE))=FALSE,"",IF(ISNUMBER(K24),VLOOKUP($A24,List!$A$1:$B$29,2,FALSE)))</f>
        <v/>
      </c>
      <c r="X24" s="13" t="str">
        <f>IF(IF(ISNUMBER(L24),VLOOKUP($A24,List!$A$1:$B$29,2,FALSE))=FALSE,"",IF(ISNUMBER(L24),VLOOKUP($A24,List!$A$1:$B$29,2,FALSE)))</f>
        <v/>
      </c>
      <c r="Y24" s="13" t="str">
        <f>IF(IF(ISNUMBER(M24),VLOOKUP($A24,List!$A$1:$B$29,2,FALSE))=FALSE,"",IF(ISNUMBER(M24),VLOOKUP($A24,List!$A$1:$B$29,2,FALSE)))</f>
        <v/>
      </c>
    </row>
    <row r="25" spans="1:25" ht="15" thickBot="1" x14ac:dyDescent="0.35">
      <c r="A25" s="4">
        <v>29</v>
      </c>
      <c r="B25" s="6" t="s">
        <v>79</v>
      </c>
      <c r="C25" s="6" t="s">
        <v>79</v>
      </c>
      <c r="D25" s="6" t="s">
        <v>79</v>
      </c>
      <c r="E25" s="6" t="s">
        <v>79</v>
      </c>
      <c r="F25" s="6" t="s">
        <v>79</v>
      </c>
      <c r="G25" s="7" t="s">
        <v>79</v>
      </c>
      <c r="H25" s="7" t="s">
        <v>79</v>
      </c>
      <c r="I25" s="7" t="s">
        <v>79</v>
      </c>
      <c r="J25" s="7" t="s">
        <v>79</v>
      </c>
      <c r="K25" s="7" t="s">
        <v>79</v>
      </c>
      <c r="L25" s="8">
        <v>0.9</v>
      </c>
      <c r="M25" s="7" t="s">
        <v>79</v>
      </c>
      <c r="N25" s="13" t="str">
        <f>IF(IF(ISNUMBER(B25),VLOOKUP($A25,List!$A$1:$B$29,2,FALSE))=FALSE,"",IF(ISNUMBER(B25),VLOOKUP($A25,List!$A$1:$B$29,2,FALSE)))</f>
        <v/>
      </c>
      <c r="O25" s="13" t="str">
        <f>IF(IF(ISNUMBER(C25),VLOOKUP($A25,List!$A$1:$B$29,2,FALSE))=FALSE,"",IF(ISNUMBER(C25),VLOOKUP($A25,List!$A$1:$B$29,2,FALSE)))</f>
        <v/>
      </c>
      <c r="P25" s="13" t="str">
        <f>IF(IF(ISNUMBER(D25),VLOOKUP($A25,List!$A$1:$B$29,2,FALSE))=FALSE,"",IF(ISNUMBER(D25),VLOOKUP($A25,List!$A$1:$B$29,2,FALSE)))</f>
        <v/>
      </c>
      <c r="Q25" s="13" t="str">
        <f>IF(IF(ISNUMBER(E25),VLOOKUP($A25,List!$A$1:$B$29,2,FALSE))=FALSE,"",IF(ISNUMBER(E25),VLOOKUP($A25,List!$A$1:$B$29,2,FALSE)))</f>
        <v/>
      </c>
      <c r="R25" s="13" t="str">
        <f>IF(IF(ISNUMBER(F25),VLOOKUP($A25,List!$A$1:$B$29,2,FALSE))=FALSE,"",IF(ISNUMBER(F25),VLOOKUP($A25,List!$A$1:$B$29,2,FALSE)))</f>
        <v/>
      </c>
      <c r="S25" s="13" t="str">
        <f>IF(IF(ISNUMBER(G25),VLOOKUP($A25,List!$A$1:$B$29,2,FALSE))=FALSE,"",IF(ISNUMBER(G25),VLOOKUP($A25,List!$A$1:$B$29,2,FALSE)))</f>
        <v/>
      </c>
      <c r="T25" s="13" t="str">
        <f>IF(IF(ISNUMBER(H25),VLOOKUP($A25,List!$A$1:$B$29,2,FALSE))=FALSE,"",IF(ISNUMBER(H25),VLOOKUP($A25,List!$A$1:$B$29,2,FALSE)))</f>
        <v/>
      </c>
      <c r="U25" s="13" t="str">
        <f>IF(IF(ISNUMBER(I25),VLOOKUP($A25,List!$A$1:$B$29,2,FALSE))=FALSE,"",IF(ISNUMBER(I25),VLOOKUP($A25,List!$A$1:$B$29,2,FALSE)))</f>
        <v/>
      </c>
      <c r="V25" s="13" t="str">
        <f>IF(IF(ISNUMBER(J25),VLOOKUP($A25,List!$A$1:$B$29,2,FALSE))=FALSE,"",IF(ISNUMBER(J25),VLOOKUP($A25,List!$A$1:$B$29,2,FALSE)))</f>
        <v/>
      </c>
      <c r="W25" s="13" t="str">
        <f>IF(IF(ISNUMBER(K25),VLOOKUP($A25,List!$A$1:$B$29,2,FALSE))=FALSE,"",IF(ISNUMBER(K25),VLOOKUP($A25,List!$A$1:$B$29,2,FALSE)))</f>
        <v/>
      </c>
      <c r="X25" s="13" t="str">
        <f>IF(IF(ISNUMBER(L25),VLOOKUP($A25,List!$A$1:$B$29,2,FALSE))=FALSE,"",IF(ISNUMBER(L25),VLOOKUP($A25,List!$A$1:$B$29,2,FALSE)))</f>
        <v>Boating is one of many things I do in my spare time</v>
      </c>
      <c r="Y25" s="13" t="str">
        <f>IF(IF(ISNUMBER(M25),VLOOKUP($A25,List!$A$1:$B$29,2,FALSE))=FALSE,"",IF(ISNUMBER(M25),VLOOKUP($A25,List!$A$1:$B$29,2,FALSE)))</f>
        <v/>
      </c>
    </row>
    <row r="26" spans="1:25" ht="15" thickBot="1" x14ac:dyDescent="0.35">
      <c r="A26" s="4">
        <v>1</v>
      </c>
      <c r="B26" s="6" t="s">
        <v>79</v>
      </c>
      <c r="C26" s="6" t="s">
        <v>79</v>
      </c>
      <c r="D26" s="6" t="s">
        <v>79</v>
      </c>
      <c r="E26" s="6" t="s">
        <v>79</v>
      </c>
      <c r="F26" s="6" t="s">
        <v>79</v>
      </c>
      <c r="G26" s="7" t="s">
        <v>79</v>
      </c>
      <c r="H26" s="7" t="s">
        <v>79</v>
      </c>
      <c r="I26" s="7" t="s">
        <v>79</v>
      </c>
      <c r="J26" s="7" t="s">
        <v>79</v>
      </c>
      <c r="K26" s="8">
        <v>0.94</v>
      </c>
      <c r="L26" s="7" t="s">
        <v>79</v>
      </c>
      <c r="M26" s="7" t="s">
        <v>79</v>
      </c>
      <c r="N26" s="13" t="str">
        <f>IF(IF(ISNUMBER(B26),VLOOKUP($A26,List!$A$1:$B$29,2,FALSE))=FALSE,"",IF(ISNUMBER(B26),VLOOKUP($A26,List!$A$1:$B$29,2,FALSE)))</f>
        <v/>
      </c>
      <c r="O26" s="13" t="str">
        <f>IF(IF(ISNUMBER(C26),VLOOKUP($A26,List!$A$1:$B$29,2,FALSE))=FALSE,"",IF(ISNUMBER(C26),VLOOKUP($A26,List!$A$1:$B$29,2,FALSE)))</f>
        <v/>
      </c>
      <c r="P26" s="13" t="str">
        <f>IF(IF(ISNUMBER(D26),VLOOKUP($A26,List!$A$1:$B$29,2,FALSE))=FALSE,"",IF(ISNUMBER(D26),VLOOKUP($A26,List!$A$1:$B$29,2,FALSE)))</f>
        <v/>
      </c>
      <c r="Q26" s="13" t="str">
        <f>IF(IF(ISNUMBER(E26),VLOOKUP($A26,List!$A$1:$B$29,2,FALSE))=FALSE,"",IF(ISNUMBER(E26),VLOOKUP($A26,List!$A$1:$B$29,2,FALSE)))</f>
        <v/>
      </c>
      <c r="R26" s="13" t="str">
        <f>IF(IF(ISNUMBER(F26),VLOOKUP($A26,List!$A$1:$B$29,2,FALSE))=FALSE,"",IF(ISNUMBER(F26),VLOOKUP($A26,List!$A$1:$B$29,2,FALSE)))</f>
        <v/>
      </c>
      <c r="S26" s="13" t="str">
        <f>IF(IF(ISNUMBER(G26),VLOOKUP($A26,List!$A$1:$B$29,2,FALSE))=FALSE,"",IF(ISNUMBER(G26),VLOOKUP($A26,List!$A$1:$B$29,2,FALSE)))</f>
        <v/>
      </c>
      <c r="T26" s="13" t="str">
        <f>IF(IF(ISNUMBER(H26),VLOOKUP($A26,List!$A$1:$B$29,2,FALSE))=FALSE,"",IF(ISNUMBER(H26),VLOOKUP($A26,List!$A$1:$B$29,2,FALSE)))</f>
        <v/>
      </c>
      <c r="U26" s="13" t="str">
        <f>IF(IF(ISNUMBER(I26),VLOOKUP($A26,List!$A$1:$B$29,2,FALSE))=FALSE,"",IF(ISNUMBER(I26),VLOOKUP($A26,List!$A$1:$B$29,2,FALSE)))</f>
        <v/>
      </c>
      <c r="V26" s="13" t="str">
        <f>IF(IF(ISNUMBER(J26),VLOOKUP($A26,List!$A$1:$B$29,2,FALSE))=FALSE,"",IF(ISNUMBER(J26),VLOOKUP($A26,List!$A$1:$B$29,2,FALSE)))</f>
        <v/>
      </c>
      <c r="W26" s="13" t="str">
        <f>IF(IF(ISNUMBER(K26),VLOOKUP($A26,List!$A$1:$B$29,2,FALSE))=FALSE,"",IF(ISNUMBER(K26),VLOOKUP($A26,List!$A$1:$B$29,2,FALSE)))</f>
        <v>When buying a boat, I do a lot of shopping around and visit multiple dealers</v>
      </c>
      <c r="X26" s="13" t="str">
        <f>IF(IF(ISNUMBER(L26),VLOOKUP($A26,List!$A$1:$B$29,2,FALSE))=FALSE,"",IF(ISNUMBER(L26),VLOOKUP($A26,List!$A$1:$B$29,2,FALSE)))</f>
        <v/>
      </c>
      <c r="Y26" s="13" t="str">
        <f>IF(IF(ISNUMBER(M26),VLOOKUP($A26,List!$A$1:$B$29,2,FALSE))=FALSE,"",IF(ISNUMBER(M26),VLOOKUP($A26,List!$A$1:$B$29,2,FALSE)))</f>
        <v/>
      </c>
    </row>
    <row r="27" spans="1:25" ht="15" thickBot="1" x14ac:dyDescent="0.35">
      <c r="A27" s="4">
        <v>4</v>
      </c>
      <c r="B27" s="6" t="s">
        <v>79</v>
      </c>
      <c r="C27" s="6" t="s">
        <v>79</v>
      </c>
      <c r="D27" s="6" t="s">
        <v>79</v>
      </c>
      <c r="E27" s="6" t="s">
        <v>79</v>
      </c>
      <c r="F27" s="6" t="s">
        <v>79</v>
      </c>
      <c r="G27" s="7" t="s">
        <v>79</v>
      </c>
      <c r="H27" s="8">
        <v>0.84</v>
      </c>
      <c r="I27" s="7" t="s">
        <v>79</v>
      </c>
      <c r="J27" s="7" t="s">
        <v>79</v>
      </c>
      <c r="K27" s="7" t="s">
        <v>79</v>
      </c>
      <c r="L27" s="7" t="s">
        <v>79</v>
      </c>
      <c r="M27" s="7" t="s">
        <v>79</v>
      </c>
      <c r="N27" s="13" t="str">
        <f>IF(IF(ISNUMBER(B27),VLOOKUP($A27,List!$A$1:$B$29,2,FALSE))=FALSE,"",IF(ISNUMBER(B27),VLOOKUP($A27,List!$A$1:$B$29,2,FALSE)))</f>
        <v/>
      </c>
      <c r="O27" s="13" t="str">
        <f>IF(IF(ISNUMBER(C27),VLOOKUP($A27,List!$A$1:$B$29,2,FALSE))=FALSE,"",IF(ISNUMBER(C27),VLOOKUP($A27,List!$A$1:$B$29,2,FALSE)))</f>
        <v/>
      </c>
      <c r="P27" s="13" t="str">
        <f>IF(IF(ISNUMBER(D27),VLOOKUP($A27,List!$A$1:$B$29,2,FALSE))=FALSE,"",IF(ISNUMBER(D27),VLOOKUP($A27,List!$A$1:$B$29,2,FALSE)))</f>
        <v/>
      </c>
      <c r="Q27" s="13" t="str">
        <f>IF(IF(ISNUMBER(E27),VLOOKUP($A27,List!$A$1:$B$29,2,FALSE))=FALSE,"",IF(ISNUMBER(E27),VLOOKUP($A27,List!$A$1:$B$29,2,FALSE)))</f>
        <v/>
      </c>
      <c r="R27" s="13" t="str">
        <f>IF(IF(ISNUMBER(F27),VLOOKUP($A27,List!$A$1:$B$29,2,FALSE))=FALSE,"",IF(ISNUMBER(F27),VLOOKUP($A27,List!$A$1:$B$29,2,FALSE)))</f>
        <v/>
      </c>
      <c r="S27" s="13" t="str">
        <f>IF(IF(ISNUMBER(G27),VLOOKUP($A27,List!$A$1:$B$29,2,FALSE))=FALSE,"",IF(ISNUMBER(G27),VLOOKUP($A27,List!$A$1:$B$29,2,FALSE)))</f>
        <v/>
      </c>
      <c r="T27" s="13" t="str">
        <f>IF(IF(ISNUMBER(H27),VLOOKUP($A27,List!$A$1:$B$29,2,FALSE))=FALSE,"",IF(ISNUMBER(H27),VLOOKUP($A27,List!$A$1:$B$29,2,FALSE)))</f>
        <v>I only consider buying a boat from a reputable brand</v>
      </c>
      <c r="U27" s="13" t="str">
        <f>IF(IF(ISNUMBER(I27),VLOOKUP($A27,List!$A$1:$B$29,2,FALSE))=FALSE,"",IF(ISNUMBER(I27),VLOOKUP($A27,List!$A$1:$B$29,2,FALSE)))</f>
        <v/>
      </c>
      <c r="V27" s="13" t="str">
        <f>IF(IF(ISNUMBER(J27),VLOOKUP($A27,List!$A$1:$B$29,2,FALSE))=FALSE,"",IF(ISNUMBER(J27),VLOOKUP($A27,List!$A$1:$B$29,2,FALSE)))</f>
        <v/>
      </c>
      <c r="W27" s="13" t="str">
        <f>IF(IF(ISNUMBER(K27),VLOOKUP($A27,List!$A$1:$B$29,2,FALSE))=FALSE,"",IF(ISNUMBER(K27),VLOOKUP($A27,List!$A$1:$B$29,2,FALSE)))</f>
        <v/>
      </c>
      <c r="X27" s="13" t="str">
        <f>IF(IF(ISNUMBER(L27),VLOOKUP($A27,List!$A$1:$B$29,2,FALSE))=FALSE,"",IF(ISNUMBER(L27),VLOOKUP($A27,List!$A$1:$B$29,2,FALSE)))</f>
        <v/>
      </c>
      <c r="Y27" s="13" t="str">
        <f>IF(IF(ISNUMBER(M27),VLOOKUP($A27,List!$A$1:$B$29,2,FALSE))=FALSE,"",IF(ISNUMBER(M27),VLOOKUP($A27,List!$A$1:$B$29,2,FALSE)))</f>
        <v/>
      </c>
    </row>
    <row r="28" spans="1:25" ht="15" thickBot="1" x14ac:dyDescent="0.35">
      <c r="A28" s="4">
        <v>19</v>
      </c>
      <c r="B28" s="6" t="s">
        <v>79</v>
      </c>
      <c r="C28" s="6" t="s">
        <v>79</v>
      </c>
      <c r="D28" s="5">
        <v>0.83</v>
      </c>
      <c r="E28" s="6" t="s">
        <v>79</v>
      </c>
      <c r="F28" s="6" t="s">
        <v>79</v>
      </c>
      <c r="G28" s="7" t="s">
        <v>79</v>
      </c>
      <c r="H28" s="7" t="s">
        <v>79</v>
      </c>
      <c r="I28" s="7" t="s">
        <v>79</v>
      </c>
      <c r="J28" s="7" t="s">
        <v>79</v>
      </c>
      <c r="K28" s="7" t="s">
        <v>79</v>
      </c>
      <c r="L28" s="7" t="s">
        <v>79</v>
      </c>
      <c r="M28" s="7" t="s">
        <v>79</v>
      </c>
      <c r="N28" s="13" t="str">
        <f>IF(IF(ISNUMBER(B28),VLOOKUP($A28,List!$A$1:$B$29,2,FALSE))=FALSE,"",IF(ISNUMBER(B28),VLOOKUP($A28,List!$A$1:$B$29,2,FALSE)))</f>
        <v/>
      </c>
      <c r="O28" s="13" t="str">
        <f>IF(IF(ISNUMBER(C28),VLOOKUP($A28,List!$A$1:$B$29,2,FALSE))=FALSE,"",IF(ISNUMBER(C28),VLOOKUP($A28,List!$A$1:$B$29,2,FALSE)))</f>
        <v/>
      </c>
      <c r="P28" s="13" t="str">
        <f>IF(IF(ISNUMBER(D28),VLOOKUP($A28,List!$A$1:$B$29,2,FALSE))=FALSE,"",IF(ISNUMBER(D28),VLOOKUP($A28,List!$A$1:$B$29,2,FALSE)))</f>
        <v>Boating allows me to experience nature</v>
      </c>
      <c r="Q28" s="13" t="str">
        <f>IF(IF(ISNUMBER(E28),VLOOKUP($A28,List!$A$1:$B$29,2,FALSE))=FALSE,"",IF(ISNUMBER(E28),VLOOKUP($A28,List!$A$1:$B$29,2,FALSE)))</f>
        <v/>
      </c>
      <c r="R28" s="13" t="str">
        <f>IF(IF(ISNUMBER(F28),VLOOKUP($A28,List!$A$1:$B$29,2,FALSE))=FALSE,"",IF(ISNUMBER(F28),VLOOKUP($A28,List!$A$1:$B$29,2,FALSE)))</f>
        <v/>
      </c>
      <c r="S28" s="13" t="str">
        <f>IF(IF(ISNUMBER(G28),VLOOKUP($A28,List!$A$1:$B$29,2,FALSE))=FALSE,"",IF(ISNUMBER(G28),VLOOKUP($A28,List!$A$1:$B$29,2,FALSE)))</f>
        <v/>
      </c>
      <c r="T28" s="13" t="str">
        <f>IF(IF(ISNUMBER(H28),VLOOKUP($A28,List!$A$1:$B$29,2,FALSE))=FALSE,"",IF(ISNUMBER(H28),VLOOKUP($A28,List!$A$1:$B$29,2,FALSE)))</f>
        <v/>
      </c>
      <c r="U28" s="13" t="str">
        <f>IF(IF(ISNUMBER(I28),VLOOKUP($A28,List!$A$1:$B$29,2,FALSE))=FALSE,"",IF(ISNUMBER(I28),VLOOKUP($A28,List!$A$1:$B$29,2,FALSE)))</f>
        <v/>
      </c>
      <c r="V28" s="13" t="str">
        <f>IF(IF(ISNUMBER(J28),VLOOKUP($A28,List!$A$1:$B$29,2,FALSE))=FALSE,"",IF(ISNUMBER(J28),VLOOKUP($A28,List!$A$1:$B$29,2,FALSE)))</f>
        <v/>
      </c>
      <c r="W28" s="13" t="str">
        <f>IF(IF(ISNUMBER(K28),VLOOKUP($A28,List!$A$1:$B$29,2,FALSE))=FALSE,"",IF(ISNUMBER(K28),VLOOKUP($A28,List!$A$1:$B$29,2,FALSE)))</f>
        <v/>
      </c>
      <c r="X28" s="13" t="str">
        <f>IF(IF(ISNUMBER(L28),VLOOKUP($A28,List!$A$1:$B$29,2,FALSE))=FALSE,"",IF(ISNUMBER(L28),VLOOKUP($A28,List!$A$1:$B$29,2,FALSE)))</f>
        <v/>
      </c>
      <c r="Y28" s="13" t="str">
        <f>IF(IF(ISNUMBER(M28),VLOOKUP($A28,List!$A$1:$B$29,2,FALSE))=FALSE,"",IF(ISNUMBER(M28),VLOOKUP($A28,List!$A$1:$B$29,2,FALSE)))</f>
        <v/>
      </c>
    </row>
    <row r="29" spans="1:25" ht="15" thickBot="1" x14ac:dyDescent="0.35">
      <c r="A29" s="4">
        <v>8</v>
      </c>
      <c r="B29" s="6" t="s">
        <v>79</v>
      </c>
      <c r="C29" s="6" t="s">
        <v>79</v>
      </c>
      <c r="D29" s="6" t="s">
        <v>79</v>
      </c>
      <c r="E29" s="6" t="s">
        <v>79</v>
      </c>
      <c r="F29" s="6" t="s">
        <v>79</v>
      </c>
      <c r="G29" s="7" t="s">
        <v>79</v>
      </c>
      <c r="H29" s="7" t="s">
        <v>79</v>
      </c>
      <c r="I29" s="7" t="s">
        <v>79</v>
      </c>
      <c r="J29" s="8">
        <v>0.95</v>
      </c>
      <c r="K29" s="7" t="s">
        <v>79</v>
      </c>
      <c r="L29" s="7" t="s">
        <v>79</v>
      </c>
      <c r="M29" s="7" t="s">
        <v>79</v>
      </c>
      <c r="N29" s="13" t="str">
        <f>IF(IF(ISNUMBER(B29),VLOOKUP($A29,List!$A$1:$B$29,2,FALSE))=FALSE,"",IF(ISNUMBER(B29),VLOOKUP($A29,List!$A$1:$B$29,2,FALSE)))</f>
        <v/>
      </c>
      <c r="O29" s="13" t="str">
        <f>IF(IF(ISNUMBER(C29),VLOOKUP($A29,List!$A$1:$B$29,2,FALSE))=FALSE,"",IF(ISNUMBER(C29),VLOOKUP($A29,List!$A$1:$B$29,2,FALSE)))</f>
        <v/>
      </c>
      <c r="P29" s="13" t="str">
        <f>IF(IF(ISNUMBER(D29),VLOOKUP($A29,List!$A$1:$B$29,2,FALSE))=FALSE,"",IF(ISNUMBER(D29),VLOOKUP($A29,List!$A$1:$B$29,2,FALSE)))</f>
        <v/>
      </c>
      <c r="Q29" s="13" t="str">
        <f>IF(IF(ISNUMBER(E29),VLOOKUP($A29,List!$A$1:$B$29,2,FALSE))=FALSE,"",IF(ISNUMBER(E29),VLOOKUP($A29,List!$A$1:$B$29,2,FALSE)))</f>
        <v/>
      </c>
      <c r="R29" s="13" t="str">
        <f>IF(IF(ISNUMBER(F29),VLOOKUP($A29,List!$A$1:$B$29,2,FALSE))=FALSE,"",IF(ISNUMBER(F29),VLOOKUP($A29,List!$A$1:$B$29,2,FALSE)))</f>
        <v/>
      </c>
      <c r="S29" s="13" t="str">
        <f>IF(IF(ISNUMBER(G29),VLOOKUP($A29,List!$A$1:$B$29,2,FALSE))=FALSE,"",IF(ISNUMBER(G29),VLOOKUP($A29,List!$A$1:$B$29,2,FALSE)))</f>
        <v/>
      </c>
      <c r="T29" s="13" t="str">
        <f>IF(IF(ISNUMBER(H29),VLOOKUP($A29,List!$A$1:$B$29,2,FALSE))=FALSE,"",IF(ISNUMBER(H29),VLOOKUP($A29,List!$A$1:$B$29,2,FALSE)))</f>
        <v/>
      </c>
      <c r="U29" s="13" t="str">
        <f>IF(IF(ISNUMBER(I29),VLOOKUP($A29,List!$A$1:$B$29,2,FALSE))=FALSE,"",IF(ISNUMBER(I29),VLOOKUP($A29,List!$A$1:$B$29,2,FALSE)))</f>
        <v/>
      </c>
      <c r="V29" s="13" t="str">
        <f>IF(IF(ISNUMBER(J29),VLOOKUP($A29,List!$A$1:$B$29,2,FALSE))=FALSE,"",IF(ISNUMBER(J29),VLOOKUP($A29,List!$A$1:$B$29,2,FALSE)))</f>
        <v>When buying a boat, functionality is more important than style</v>
      </c>
      <c r="W29" s="13" t="str">
        <f>IF(IF(ISNUMBER(K29),VLOOKUP($A29,List!$A$1:$B$29,2,FALSE))=FALSE,"",IF(ISNUMBER(K29),VLOOKUP($A29,List!$A$1:$B$29,2,FALSE)))</f>
        <v/>
      </c>
      <c r="X29" s="13" t="str">
        <f>IF(IF(ISNUMBER(L29),VLOOKUP($A29,List!$A$1:$B$29,2,FALSE))=FALSE,"",IF(ISNUMBER(L29),VLOOKUP($A29,List!$A$1:$B$29,2,FALSE)))</f>
        <v/>
      </c>
      <c r="Y29" s="13" t="str">
        <f>IF(IF(ISNUMBER(M29),VLOOKUP($A29,List!$A$1:$B$29,2,FALSE))=FALSE,"",IF(ISNUMBER(M29),VLOOKUP($A29,List!$A$1:$B$29,2,FALSE)))</f>
        <v/>
      </c>
    </row>
    <row r="30" spans="1:25" ht="15" thickBot="1" x14ac:dyDescent="0.35">
      <c r="A30" s="4">
        <v>2</v>
      </c>
      <c r="B30" s="6" t="s">
        <v>79</v>
      </c>
      <c r="C30" s="6" t="s">
        <v>79</v>
      </c>
      <c r="D30" s="6" t="s">
        <v>79</v>
      </c>
      <c r="E30" s="6" t="s">
        <v>79</v>
      </c>
      <c r="F30" s="5">
        <v>0.83</v>
      </c>
      <c r="G30" s="7" t="s">
        <v>79</v>
      </c>
      <c r="H30" s="7" t="s">
        <v>79</v>
      </c>
      <c r="I30" s="7" t="s">
        <v>79</v>
      </c>
      <c r="J30" s="7" t="s">
        <v>79</v>
      </c>
      <c r="K30" s="7" t="s">
        <v>79</v>
      </c>
      <c r="L30" s="7" t="s">
        <v>79</v>
      </c>
      <c r="M30" s="7" t="s">
        <v>79</v>
      </c>
      <c r="N30" s="13" t="str">
        <f>IF(IF(ISNUMBER(B30),VLOOKUP($A30,List!$A$1:$B$29,2,FALSE))=FALSE,"",IF(ISNUMBER(B30),VLOOKUP($A30,List!$A$1:$B$29,2,FALSE)))</f>
        <v/>
      </c>
      <c r="O30" s="13" t="str">
        <f>IF(IF(ISNUMBER(C30),VLOOKUP($A30,List!$A$1:$B$29,2,FALSE))=FALSE,"",IF(ISNUMBER(C30),VLOOKUP($A30,List!$A$1:$B$29,2,FALSE)))</f>
        <v/>
      </c>
      <c r="P30" s="13" t="str">
        <f>IF(IF(ISNUMBER(D30),VLOOKUP($A30,List!$A$1:$B$29,2,FALSE))=FALSE,"",IF(ISNUMBER(D30),VLOOKUP($A30,List!$A$1:$B$29,2,FALSE)))</f>
        <v/>
      </c>
      <c r="Q30" s="13" t="str">
        <f>IF(IF(ISNUMBER(E30),VLOOKUP($A30,List!$A$1:$B$29,2,FALSE))=FALSE,"",IF(ISNUMBER(E30),VLOOKUP($A30,List!$A$1:$B$29,2,FALSE)))</f>
        <v/>
      </c>
      <c r="R30" s="13" t="str">
        <f>IF(IF(ISNUMBER(F30),VLOOKUP($A30,List!$A$1:$B$29,2,FALSE))=FALSE,"",IF(ISNUMBER(F30),VLOOKUP($A30,List!$A$1:$B$29,2,FALSE)))</f>
        <v>When buying a bot, getting the lowest P is more important than brand</v>
      </c>
      <c r="S30" s="13" t="str">
        <f>IF(IF(ISNUMBER(G30),VLOOKUP($A30,List!$A$1:$B$29,2,FALSE))=FALSE,"",IF(ISNUMBER(G30),VLOOKUP($A30,List!$A$1:$B$29,2,FALSE)))</f>
        <v/>
      </c>
      <c r="T30" s="13" t="str">
        <f>IF(IF(ISNUMBER(H30),VLOOKUP($A30,List!$A$1:$B$29,2,FALSE))=FALSE,"",IF(ISNUMBER(H30),VLOOKUP($A30,List!$A$1:$B$29,2,FALSE)))</f>
        <v/>
      </c>
      <c r="U30" s="13" t="str">
        <f>IF(IF(ISNUMBER(I30),VLOOKUP($A30,List!$A$1:$B$29,2,FALSE))=FALSE,"",IF(ISNUMBER(I30),VLOOKUP($A30,List!$A$1:$B$29,2,FALSE)))</f>
        <v/>
      </c>
      <c r="V30" s="13" t="str">
        <f>IF(IF(ISNUMBER(J30),VLOOKUP($A30,List!$A$1:$B$29,2,FALSE))=FALSE,"",IF(ISNUMBER(J30),VLOOKUP($A30,List!$A$1:$B$29,2,FALSE)))</f>
        <v/>
      </c>
      <c r="W30" s="13" t="str">
        <f>IF(IF(ISNUMBER(K30),VLOOKUP($A30,List!$A$1:$B$29,2,FALSE))=FALSE,"",IF(ISNUMBER(K30),VLOOKUP($A30,List!$A$1:$B$29,2,FALSE)))</f>
        <v/>
      </c>
      <c r="X30" s="13" t="str">
        <f>IF(IF(ISNUMBER(L30),VLOOKUP($A30,List!$A$1:$B$29,2,FALSE))=FALSE,"",IF(ISNUMBER(L30),VLOOKUP($A30,List!$A$1:$B$29,2,FALSE)))</f>
        <v/>
      </c>
      <c r="Y30" s="13" t="str">
        <f>IF(IF(ISNUMBER(M30),VLOOKUP($A30,List!$A$1:$B$29,2,FALSE))=FALSE,"",IF(ISNUMBER(M30),VLOOKUP($A30,List!$A$1:$B$29,2,FALSE)))</f>
        <v/>
      </c>
    </row>
    <row r="31" spans="1:25" ht="15" thickBot="1" x14ac:dyDescent="0.35">
      <c r="A31" s="4">
        <v>10</v>
      </c>
      <c r="B31" s="6" t="s">
        <v>79</v>
      </c>
      <c r="C31" s="6" t="s">
        <v>79</v>
      </c>
      <c r="D31" s="6" t="s">
        <v>79</v>
      </c>
      <c r="E31" s="6" t="s">
        <v>79</v>
      </c>
      <c r="F31" s="6" t="s">
        <v>79</v>
      </c>
      <c r="G31" s="7" t="s">
        <v>79</v>
      </c>
      <c r="H31" s="7" t="s">
        <v>79</v>
      </c>
      <c r="I31" s="8">
        <v>0.92</v>
      </c>
      <c r="J31" s="7" t="s">
        <v>79</v>
      </c>
      <c r="K31" s="7" t="s">
        <v>79</v>
      </c>
      <c r="L31" s="7" t="s">
        <v>79</v>
      </c>
      <c r="M31" s="7" t="s">
        <v>79</v>
      </c>
      <c r="N31" s="13" t="str">
        <f>IF(IF(ISNUMBER(B31),VLOOKUP($A31,List!$A$1:$B$29,2,FALSE))=FALSE,"",IF(ISNUMBER(B31),VLOOKUP($A31,List!$A$1:$B$29,2,FALSE)))</f>
        <v/>
      </c>
      <c r="O31" s="13" t="str">
        <f>IF(IF(ISNUMBER(C31),VLOOKUP($A31,List!$A$1:$B$29,2,FALSE))=FALSE,"",IF(ISNUMBER(C31),VLOOKUP($A31,List!$A$1:$B$29,2,FALSE)))</f>
        <v/>
      </c>
      <c r="P31" s="13" t="str">
        <f>IF(IF(ISNUMBER(D31),VLOOKUP($A31,List!$A$1:$B$29,2,FALSE))=FALSE,"",IF(ISNUMBER(D31),VLOOKUP($A31,List!$A$1:$B$29,2,FALSE)))</f>
        <v/>
      </c>
      <c r="Q31" s="13" t="str">
        <f>IF(IF(ISNUMBER(E31),VLOOKUP($A31,List!$A$1:$B$29,2,FALSE))=FALSE,"",IF(ISNUMBER(E31),VLOOKUP($A31,List!$A$1:$B$29,2,FALSE)))</f>
        <v/>
      </c>
      <c r="R31" s="13" t="str">
        <f>IF(IF(ISNUMBER(F31),VLOOKUP($A31,List!$A$1:$B$29,2,FALSE))=FALSE,"",IF(ISNUMBER(F31),VLOOKUP($A31,List!$A$1:$B$29,2,FALSE)))</f>
        <v/>
      </c>
      <c r="S31" s="13" t="str">
        <f>IF(IF(ISNUMBER(G31),VLOOKUP($A31,List!$A$1:$B$29,2,FALSE))=FALSE,"",IF(ISNUMBER(G31),VLOOKUP($A31,List!$A$1:$B$29,2,FALSE)))</f>
        <v/>
      </c>
      <c r="T31" s="13" t="str">
        <f>IF(IF(ISNUMBER(H31),VLOOKUP($A31,List!$A$1:$B$29,2,FALSE))=FALSE,"",IF(ISNUMBER(H31),VLOOKUP($A31,List!$A$1:$B$29,2,FALSE)))</f>
        <v/>
      </c>
      <c r="U31" s="13" t="str">
        <f>IF(IF(ISNUMBER(I31),VLOOKUP($A31,List!$A$1:$B$29,2,FALSE))=FALSE,"",IF(ISNUMBER(I31),VLOOKUP($A31,List!$A$1:$B$29,2,FALSE)))</f>
        <v>When buying a boat, I rely more on expert opinion than my own</v>
      </c>
      <c r="V31" s="13" t="str">
        <f>IF(IF(ISNUMBER(J31),VLOOKUP($A31,List!$A$1:$B$29,2,FALSE))=FALSE,"",IF(ISNUMBER(J31),VLOOKUP($A31,List!$A$1:$B$29,2,FALSE)))</f>
        <v/>
      </c>
      <c r="W31" s="13" t="str">
        <f>IF(IF(ISNUMBER(K31),VLOOKUP($A31,List!$A$1:$B$29,2,FALSE))=FALSE,"",IF(ISNUMBER(K31),VLOOKUP($A31,List!$A$1:$B$29,2,FALSE)))</f>
        <v/>
      </c>
      <c r="X31" s="13" t="str">
        <f>IF(IF(ISNUMBER(L31),VLOOKUP($A31,List!$A$1:$B$29,2,FALSE))=FALSE,"",IF(ISNUMBER(L31),VLOOKUP($A31,List!$A$1:$B$29,2,FALSE)))</f>
        <v/>
      </c>
      <c r="Y31" s="13" t="str">
        <f>IF(IF(ISNUMBER(M31),VLOOKUP($A31,List!$A$1:$B$29,2,FALSE))=FALSE,"",IF(ISNUMBER(M31),VLOOKUP($A31,List!$A$1:$B$29,2,FALSE)))</f>
        <v/>
      </c>
    </row>
    <row r="32" spans="1:25" ht="15" thickBot="1" x14ac:dyDescent="0.35">
      <c r="N32" s="3"/>
      <c r="O32" s="3"/>
      <c r="P32" s="3"/>
      <c r="Q32" s="3"/>
      <c r="R32" s="3"/>
      <c r="S32" s="3"/>
      <c r="T32" s="3"/>
      <c r="U32" s="3"/>
      <c r="V32" s="3"/>
      <c r="W32" s="3"/>
      <c r="X32" s="3"/>
      <c r="Y32" s="3"/>
    </row>
    <row r="33" spans="1:25" ht="23.4" x14ac:dyDescent="0.45">
      <c r="A33" s="18" t="s">
        <v>121</v>
      </c>
      <c r="D33" s="18" t="s">
        <v>126</v>
      </c>
    </row>
    <row r="34" spans="1:25" ht="15" thickBot="1" x14ac:dyDescent="0.35">
      <c r="A34" s="3" t="s">
        <v>63</v>
      </c>
      <c r="B34" s="3" t="s">
        <v>49</v>
      </c>
      <c r="C34" s="3" t="s">
        <v>50</v>
      </c>
      <c r="D34" s="3" t="s">
        <v>51</v>
      </c>
      <c r="E34" s="3" t="s">
        <v>52</v>
      </c>
      <c r="F34" s="3" t="s">
        <v>53</v>
      </c>
      <c r="G34" s="3" t="s">
        <v>54</v>
      </c>
      <c r="H34" s="3" t="s">
        <v>55</v>
      </c>
      <c r="I34" s="3" t="s">
        <v>56</v>
      </c>
      <c r="J34" s="3" t="s">
        <v>57</v>
      </c>
      <c r="K34" s="3" t="s">
        <v>58</v>
      </c>
      <c r="L34" s="3" t="s">
        <v>59</v>
      </c>
      <c r="M34" s="3" t="s">
        <v>60</v>
      </c>
      <c r="N34" s="3" t="s">
        <v>80</v>
      </c>
      <c r="O34" s="3" t="s">
        <v>81</v>
      </c>
      <c r="P34" s="3" t="s">
        <v>82</v>
      </c>
      <c r="Q34" s="3" t="s">
        <v>83</v>
      </c>
      <c r="R34" s="3" t="s">
        <v>84</v>
      </c>
      <c r="S34" s="3" t="s">
        <v>85</v>
      </c>
      <c r="T34" s="3" t="s">
        <v>86</v>
      </c>
      <c r="U34" s="3" t="s">
        <v>87</v>
      </c>
      <c r="V34" s="3" t="s">
        <v>88</v>
      </c>
      <c r="W34" s="3" t="s">
        <v>90</v>
      </c>
      <c r="X34" s="3" t="s">
        <v>61</v>
      </c>
      <c r="Y34" s="3" t="s">
        <v>62</v>
      </c>
    </row>
    <row r="35" spans="1:25" ht="15" thickBot="1" x14ac:dyDescent="0.35">
      <c r="A35" s="4">
        <v>28</v>
      </c>
      <c r="B35" s="5">
        <v>0.7</v>
      </c>
      <c r="C35" s="6" t="s">
        <v>79</v>
      </c>
      <c r="D35" s="6" t="s">
        <v>79</v>
      </c>
      <c r="E35" s="6" t="s">
        <v>79</v>
      </c>
      <c r="F35" s="6" t="s">
        <v>79</v>
      </c>
      <c r="G35" s="7" t="s">
        <v>79</v>
      </c>
      <c r="H35" s="7" t="s">
        <v>79</v>
      </c>
      <c r="I35" s="7" t="s">
        <v>79</v>
      </c>
      <c r="J35" s="7" t="s">
        <v>79</v>
      </c>
      <c r="K35" s="7" t="s">
        <v>79</v>
      </c>
      <c r="L35" s="7" t="s">
        <v>79</v>
      </c>
      <c r="M35" s="7" t="s">
        <v>79</v>
      </c>
      <c r="N35" s="13" t="str">
        <f>IF(IF(ISNUMBER(B35),VLOOKUP($A35,List!$A$1:$B$29,2,FALSE))=FALSE,"",IF(ISNUMBER(B35),VLOOKUP($A35,List!$A$1:$B$29,2,FALSE)))</f>
        <v>Boating is my true passion in life</v>
      </c>
      <c r="O35" s="13" t="str">
        <f>IF(IF(ISNUMBER(C35),VLOOKUP($A35,List!$A$1:$B$29,2,FALSE))=FALSE,"",IF(ISNUMBER(C35),VLOOKUP($A35,List!$A$1:$B$29,2,FALSE)))</f>
        <v/>
      </c>
      <c r="P35" s="13" t="str">
        <f>IF(IF(ISNUMBER(D35),VLOOKUP($A35,List!$A$1:$B$29,2,FALSE))=FALSE,"",IF(ISNUMBER(D35),VLOOKUP($A35,List!$A$1:$B$29,2,FALSE)))</f>
        <v/>
      </c>
      <c r="Q35" s="13" t="str">
        <f>IF(IF(ISNUMBER(E35),VLOOKUP($A35,List!$A$1:$B$29,2,FALSE))=FALSE,"",IF(ISNUMBER(E35),VLOOKUP($A35,List!$A$1:$B$29,2,FALSE)))</f>
        <v/>
      </c>
      <c r="R35" s="13" t="str">
        <f>IF(IF(ISNUMBER(F35),VLOOKUP($A35,List!$A$1:$B$29,2,FALSE))=FALSE,"",IF(ISNUMBER(F35),VLOOKUP($A35,List!$A$1:$B$29,2,FALSE)))</f>
        <v/>
      </c>
      <c r="S35" s="13" t="str">
        <f>IF(IF(ISNUMBER(G35),VLOOKUP($A35,List!$A$1:$B$29,2,FALSE))=FALSE,"",IF(ISNUMBER(G35),VLOOKUP($A35,List!$A$1:$B$29,2,FALSE)))</f>
        <v/>
      </c>
      <c r="T35" s="13" t="str">
        <f>IF(IF(ISNUMBER(H35),VLOOKUP($A35,List!$A$1:$B$29,2,FALSE))=FALSE,"",IF(ISNUMBER(H35),VLOOKUP($A35,List!$A$1:$B$29,2,FALSE)))</f>
        <v/>
      </c>
      <c r="U35" s="13" t="str">
        <f>IF(IF(ISNUMBER(I35),VLOOKUP($A35,List!$A$1:$B$29,2,FALSE))=FALSE,"",IF(ISNUMBER(I35),VLOOKUP($A35,List!$A$1:$B$29,2,FALSE)))</f>
        <v/>
      </c>
      <c r="V35" s="13" t="str">
        <f>IF(IF(ISNUMBER(J35),VLOOKUP($A35,List!$A$1:$B$29,2,FALSE))=FALSE,"",IF(ISNUMBER(J35),VLOOKUP($A35,List!$A$1:$B$29,2,FALSE)))</f>
        <v/>
      </c>
      <c r="W35" s="13" t="str">
        <f>IF(IF(ISNUMBER(K35),VLOOKUP($A35,List!$A$1:$B$29,2,FALSE))=FALSE,"",IF(ISNUMBER(K35),VLOOKUP($A35,List!$A$1:$B$29,2,FALSE)))</f>
        <v/>
      </c>
      <c r="X35" s="13" t="str">
        <f>IF(IF(ISNUMBER(L35),VLOOKUP($A35,List!$A$1:$B$29,2,FALSE))=FALSE,"",IF(ISNUMBER(L35),VLOOKUP($A35,List!$A$1:$B$29,2,FALSE)))</f>
        <v/>
      </c>
      <c r="Y35" s="13" t="str">
        <f>IF(IF(ISNUMBER(M35),VLOOKUP($A35,List!$A$1:$B$29,2,FALSE))=FALSE,"",IF(ISNUMBER(M35),VLOOKUP($A35,List!$A$1:$B$29,2,FALSE)))</f>
        <v/>
      </c>
    </row>
    <row r="36" spans="1:25" ht="15" thickBot="1" x14ac:dyDescent="0.35">
      <c r="A36" s="4">
        <v>14</v>
      </c>
      <c r="B36" s="5">
        <v>0.67</v>
      </c>
      <c r="C36" s="6" t="s">
        <v>79</v>
      </c>
      <c r="D36" s="6" t="s">
        <v>79</v>
      </c>
      <c r="E36" s="6" t="s">
        <v>79</v>
      </c>
      <c r="F36" s="6" t="s">
        <v>79</v>
      </c>
      <c r="G36" s="7" t="s">
        <v>79</v>
      </c>
      <c r="H36" s="7" t="s">
        <v>79</v>
      </c>
      <c r="I36" s="7" t="s">
        <v>79</v>
      </c>
      <c r="J36" s="7" t="s">
        <v>79</v>
      </c>
      <c r="K36" s="7" t="s">
        <v>79</v>
      </c>
      <c r="L36" s="7" t="s">
        <v>79</v>
      </c>
      <c r="M36" s="7" t="s">
        <v>79</v>
      </c>
      <c r="N36" s="13" t="str">
        <f>IF(IF(ISNUMBER(B36),VLOOKUP($A36,List!$A$1:$B$29,2,FALSE))=FALSE,"",IF(ISNUMBER(B36),VLOOKUP($A36,List!$A$1:$B$29,2,FALSE)))</f>
        <v>When buying accessories for my boat, I tend to buy the latest and greatest</v>
      </c>
      <c r="O36" s="13" t="str">
        <f>IF(IF(ISNUMBER(C36),VLOOKUP($A36,List!$A$1:$B$29,2,FALSE))=FALSE,"",IF(ISNUMBER(C36),VLOOKUP($A36,List!$A$1:$B$29,2,FALSE)))</f>
        <v/>
      </c>
      <c r="P36" s="13" t="str">
        <f>IF(IF(ISNUMBER(D36),VLOOKUP($A36,List!$A$1:$B$29,2,FALSE))=FALSE,"",IF(ISNUMBER(D36),VLOOKUP($A36,List!$A$1:$B$29,2,FALSE)))</f>
        <v/>
      </c>
      <c r="Q36" s="13" t="str">
        <f>IF(IF(ISNUMBER(E36),VLOOKUP($A36,List!$A$1:$B$29,2,FALSE))=FALSE,"",IF(ISNUMBER(E36),VLOOKUP($A36,List!$A$1:$B$29,2,FALSE)))</f>
        <v/>
      </c>
      <c r="R36" s="13" t="str">
        <f>IF(IF(ISNUMBER(F36),VLOOKUP($A36,List!$A$1:$B$29,2,FALSE))=FALSE,"",IF(ISNUMBER(F36),VLOOKUP($A36,List!$A$1:$B$29,2,FALSE)))</f>
        <v/>
      </c>
      <c r="S36" s="13" t="str">
        <f>IF(IF(ISNUMBER(G36),VLOOKUP($A36,List!$A$1:$B$29,2,FALSE))=FALSE,"",IF(ISNUMBER(G36),VLOOKUP($A36,List!$A$1:$B$29,2,FALSE)))</f>
        <v/>
      </c>
      <c r="T36" s="13" t="str">
        <f>IF(IF(ISNUMBER(H36),VLOOKUP($A36,List!$A$1:$B$29,2,FALSE))=FALSE,"",IF(ISNUMBER(H36),VLOOKUP($A36,List!$A$1:$B$29,2,FALSE)))</f>
        <v/>
      </c>
      <c r="U36" s="13" t="str">
        <f>IF(IF(ISNUMBER(I36),VLOOKUP($A36,List!$A$1:$B$29,2,FALSE))=FALSE,"",IF(ISNUMBER(I36),VLOOKUP($A36,List!$A$1:$B$29,2,FALSE)))</f>
        <v/>
      </c>
      <c r="V36" s="13" t="str">
        <f>IF(IF(ISNUMBER(J36),VLOOKUP($A36,List!$A$1:$B$29,2,FALSE))=FALSE,"",IF(ISNUMBER(J36),VLOOKUP($A36,List!$A$1:$B$29,2,FALSE)))</f>
        <v/>
      </c>
      <c r="W36" s="13" t="str">
        <f>IF(IF(ISNUMBER(K36),VLOOKUP($A36,List!$A$1:$B$29,2,FALSE))=FALSE,"",IF(ISNUMBER(K36),VLOOKUP($A36,List!$A$1:$B$29,2,FALSE)))</f>
        <v/>
      </c>
      <c r="X36" s="13" t="str">
        <f>IF(IF(ISNUMBER(L36),VLOOKUP($A36,List!$A$1:$B$29,2,FALSE))=FALSE,"",IF(ISNUMBER(L36),VLOOKUP($A36,List!$A$1:$B$29,2,FALSE)))</f>
        <v/>
      </c>
      <c r="Y36" s="13" t="str">
        <f>IF(IF(ISNUMBER(M36),VLOOKUP($A36,List!$A$1:$B$29,2,FALSE))=FALSE,"",IF(ISNUMBER(M36),VLOOKUP($A36,List!$A$1:$B$29,2,FALSE)))</f>
        <v/>
      </c>
    </row>
    <row r="37" spans="1:25" ht="15" thickBot="1" x14ac:dyDescent="0.35">
      <c r="A37" s="4">
        <v>20</v>
      </c>
      <c r="B37" s="5">
        <v>0.67</v>
      </c>
      <c r="C37" s="6" t="s">
        <v>79</v>
      </c>
      <c r="D37" s="6" t="s">
        <v>79</v>
      </c>
      <c r="E37" s="6" t="s">
        <v>79</v>
      </c>
      <c r="F37" s="6" t="s">
        <v>79</v>
      </c>
      <c r="G37" s="7" t="s">
        <v>79</v>
      </c>
      <c r="H37" s="7" t="s">
        <v>79</v>
      </c>
      <c r="I37" s="7" t="s">
        <v>79</v>
      </c>
      <c r="J37" s="7" t="s">
        <v>79</v>
      </c>
      <c r="K37" s="7" t="s">
        <v>79</v>
      </c>
      <c r="L37" s="7" t="s">
        <v>79</v>
      </c>
      <c r="M37" s="7" t="s">
        <v>79</v>
      </c>
      <c r="N37" s="13" t="str">
        <f>IF(IF(ISNUMBER(B37),VLOOKUP($A37,List!$A$1:$B$29,2,FALSE))=FALSE,"",IF(ISNUMBER(B37),VLOOKUP($A37,List!$A$1:$B$29,2,FALSE)))</f>
        <v>When not on my boat, I often find myself doing boating related activities</v>
      </c>
      <c r="O37" s="13" t="str">
        <f>IF(IF(ISNUMBER(C37),VLOOKUP($A37,List!$A$1:$B$29,2,FALSE))=FALSE,"",IF(ISNUMBER(C37),VLOOKUP($A37,List!$A$1:$B$29,2,FALSE)))</f>
        <v/>
      </c>
      <c r="P37" s="13" t="str">
        <f>IF(IF(ISNUMBER(D37),VLOOKUP($A37,List!$A$1:$B$29,2,FALSE))=FALSE,"",IF(ISNUMBER(D37),VLOOKUP($A37,List!$A$1:$B$29,2,FALSE)))</f>
        <v/>
      </c>
      <c r="Q37" s="13" t="str">
        <f>IF(IF(ISNUMBER(E37),VLOOKUP($A37,List!$A$1:$B$29,2,FALSE))=FALSE,"",IF(ISNUMBER(E37),VLOOKUP($A37,List!$A$1:$B$29,2,FALSE)))</f>
        <v/>
      </c>
      <c r="R37" s="13" t="str">
        <f>IF(IF(ISNUMBER(F37),VLOOKUP($A37,List!$A$1:$B$29,2,FALSE))=FALSE,"",IF(ISNUMBER(F37),VLOOKUP($A37,List!$A$1:$B$29,2,FALSE)))</f>
        <v/>
      </c>
      <c r="S37" s="13" t="str">
        <f>IF(IF(ISNUMBER(G37),VLOOKUP($A37,List!$A$1:$B$29,2,FALSE))=FALSE,"",IF(ISNUMBER(G37),VLOOKUP($A37,List!$A$1:$B$29,2,FALSE)))</f>
        <v/>
      </c>
      <c r="T37" s="13" t="str">
        <f>IF(IF(ISNUMBER(H37),VLOOKUP($A37,List!$A$1:$B$29,2,FALSE))=FALSE,"",IF(ISNUMBER(H37),VLOOKUP($A37,List!$A$1:$B$29,2,FALSE)))</f>
        <v/>
      </c>
      <c r="U37" s="13" t="str">
        <f>IF(IF(ISNUMBER(I37),VLOOKUP($A37,List!$A$1:$B$29,2,FALSE))=FALSE,"",IF(ISNUMBER(I37),VLOOKUP($A37,List!$A$1:$B$29,2,FALSE)))</f>
        <v/>
      </c>
      <c r="V37" s="13" t="str">
        <f>IF(IF(ISNUMBER(J37),VLOOKUP($A37,List!$A$1:$B$29,2,FALSE))=FALSE,"",IF(ISNUMBER(J37),VLOOKUP($A37,List!$A$1:$B$29,2,FALSE)))</f>
        <v/>
      </c>
      <c r="W37" s="13" t="str">
        <f>IF(IF(ISNUMBER(K37),VLOOKUP($A37,List!$A$1:$B$29,2,FALSE))=FALSE,"",IF(ISNUMBER(K37),VLOOKUP($A37,List!$A$1:$B$29,2,FALSE)))</f>
        <v/>
      </c>
      <c r="X37" s="13" t="str">
        <f>IF(IF(ISNUMBER(L37),VLOOKUP($A37,List!$A$1:$B$29,2,FALSE))=FALSE,"",IF(ISNUMBER(L37),VLOOKUP($A37,List!$A$1:$B$29,2,FALSE)))</f>
        <v/>
      </c>
      <c r="Y37" s="13" t="str">
        <f>IF(IF(ISNUMBER(M37),VLOOKUP($A37,List!$A$1:$B$29,2,FALSE))=FALSE,"",IF(ISNUMBER(M37),VLOOKUP($A37,List!$A$1:$B$29,2,FALSE)))</f>
        <v/>
      </c>
    </row>
    <row r="38" spans="1:25" ht="15" thickBot="1" x14ac:dyDescent="0.35">
      <c r="A38" s="4">
        <v>27</v>
      </c>
      <c r="B38" s="5">
        <v>0.66</v>
      </c>
      <c r="C38" s="6" t="s">
        <v>79</v>
      </c>
      <c r="D38" s="6" t="s">
        <v>79</v>
      </c>
      <c r="E38" s="6" t="s">
        <v>79</v>
      </c>
      <c r="F38" s="6" t="s">
        <v>79</v>
      </c>
      <c r="G38" s="7" t="s">
        <v>79</v>
      </c>
      <c r="H38" s="7" t="s">
        <v>79</v>
      </c>
      <c r="I38" s="7" t="s">
        <v>79</v>
      </c>
      <c r="J38" s="7" t="s">
        <v>79</v>
      </c>
      <c r="K38" s="7" t="s">
        <v>79</v>
      </c>
      <c r="L38" s="7" t="s">
        <v>79</v>
      </c>
      <c r="M38" s="7" t="s">
        <v>79</v>
      </c>
      <c r="N38" s="13" t="str">
        <f>IF(IF(ISNUMBER(B38),VLOOKUP($A38,List!$A$1:$B$29,2,FALSE))=FALSE,"",IF(ISNUMBER(B38),VLOOKUP($A38,List!$A$1:$B$29,2,FALSE)))</f>
        <v>Boating is the number one thing I do with my spare time</v>
      </c>
      <c r="O38" s="13" t="str">
        <f>IF(IF(ISNUMBER(C38),VLOOKUP($A38,List!$A$1:$B$29,2,FALSE))=FALSE,"",IF(ISNUMBER(C38),VLOOKUP($A38,List!$A$1:$B$29,2,FALSE)))</f>
        <v/>
      </c>
      <c r="P38" s="13" t="str">
        <f>IF(IF(ISNUMBER(D38),VLOOKUP($A38,List!$A$1:$B$29,2,FALSE))=FALSE,"",IF(ISNUMBER(D38),VLOOKUP($A38,List!$A$1:$B$29,2,FALSE)))</f>
        <v/>
      </c>
      <c r="Q38" s="13" t="str">
        <f>IF(IF(ISNUMBER(E38),VLOOKUP($A38,List!$A$1:$B$29,2,FALSE))=FALSE,"",IF(ISNUMBER(E38),VLOOKUP($A38,List!$A$1:$B$29,2,FALSE)))</f>
        <v/>
      </c>
      <c r="R38" s="13" t="str">
        <f>IF(IF(ISNUMBER(F38),VLOOKUP($A38,List!$A$1:$B$29,2,FALSE))=FALSE,"",IF(ISNUMBER(F38),VLOOKUP($A38,List!$A$1:$B$29,2,FALSE)))</f>
        <v/>
      </c>
      <c r="S38" s="13" t="str">
        <f>IF(IF(ISNUMBER(G38),VLOOKUP($A38,List!$A$1:$B$29,2,FALSE))=FALSE,"",IF(ISNUMBER(G38),VLOOKUP($A38,List!$A$1:$B$29,2,FALSE)))</f>
        <v/>
      </c>
      <c r="T38" s="13" t="str">
        <f>IF(IF(ISNUMBER(H38),VLOOKUP($A38,List!$A$1:$B$29,2,FALSE))=FALSE,"",IF(ISNUMBER(H38),VLOOKUP($A38,List!$A$1:$B$29,2,FALSE)))</f>
        <v/>
      </c>
      <c r="U38" s="13" t="str">
        <f>IF(IF(ISNUMBER(I38),VLOOKUP($A38,List!$A$1:$B$29,2,FALSE))=FALSE,"",IF(ISNUMBER(I38),VLOOKUP($A38,List!$A$1:$B$29,2,FALSE)))</f>
        <v/>
      </c>
      <c r="V38" s="13" t="str">
        <f>IF(IF(ISNUMBER(J38),VLOOKUP($A38,List!$A$1:$B$29,2,FALSE))=FALSE,"",IF(ISNUMBER(J38),VLOOKUP($A38,List!$A$1:$B$29,2,FALSE)))</f>
        <v/>
      </c>
      <c r="W38" s="13" t="str">
        <f>IF(IF(ISNUMBER(K38),VLOOKUP($A38,List!$A$1:$B$29,2,FALSE))=FALSE,"",IF(ISNUMBER(K38),VLOOKUP($A38,List!$A$1:$B$29,2,FALSE)))</f>
        <v/>
      </c>
      <c r="X38" s="13" t="str">
        <f>IF(IF(ISNUMBER(L38),VLOOKUP($A38,List!$A$1:$B$29,2,FALSE))=FALSE,"",IF(ISNUMBER(L38),VLOOKUP($A38,List!$A$1:$B$29,2,FALSE)))</f>
        <v/>
      </c>
      <c r="Y38" s="13" t="str">
        <f>IF(IF(ISNUMBER(M38),VLOOKUP($A38,List!$A$1:$B$29,2,FALSE))=FALSE,"",IF(ISNUMBER(M38),VLOOKUP($A38,List!$A$1:$B$29,2,FALSE)))</f>
        <v/>
      </c>
    </row>
    <row r="39" spans="1:25" ht="15" thickBot="1" x14ac:dyDescent="0.35">
      <c r="A39" s="4">
        <v>3</v>
      </c>
      <c r="B39" s="5">
        <v>0.65</v>
      </c>
      <c r="C39" s="6" t="s">
        <v>79</v>
      </c>
      <c r="D39" s="6" t="s">
        <v>79</v>
      </c>
      <c r="E39" s="6" t="s">
        <v>79</v>
      </c>
      <c r="F39" s="6" t="s">
        <v>79</v>
      </c>
      <c r="G39" s="7" t="s">
        <v>79</v>
      </c>
      <c r="H39" s="7" t="s">
        <v>79</v>
      </c>
      <c r="I39" s="7" t="s">
        <v>79</v>
      </c>
      <c r="J39" s="7" t="s">
        <v>79</v>
      </c>
      <c r="K39" s="7" t="s">
        <v>79</v>
      </c>
      <c r="L39" s="7" t="s">
        <v>79</v>
      </c>
      <c r="M39" s="7" t="s">
        <v>79</v>
      </c>
      <c r="N39" s="13" t="str">
        <f>IF(IF(ISNUMBER(B39),VLOOKUP($A39,List!$A$1:$B$29,2,FALSE))=FALSE,"",IF(ISNUMBER(B39),VLOOKUP($A39,List!$A$1:$B$29,2,FALSE)))</f>
        <v>The brand of the boat I buy says a lot about who I am</v>
      </c>
      <c r="O39" s="13" t="str">
        <f>IF(IF(ISNUMBER(C39),VLOOKUP($A39,List!$A$1:$B$29,2,FALSE))=FALSE,"",IF(ISNUMBER(C39),VLOOKUP($A39,List!$A$1:$B$29,2,FALSE)))</f>
        <v/>
      </c>
      <c r="P39" s="13" t="str">
        <f>IF(IF(ISNUMBER(D39),VLOOKUP($A39,List!$A$1:$B$29,2,FALSE))=FALSE,"",IF(ISNUMBER(D39),VLOOKUP($A39,List!$A$1:$B$29,2,FALSE)))</f>
        <v/>
      </c>
      <c r="Q39" s="13" t="str">
        <f>IF(IF(ISNUMBER(E39),VLOOKUP($A39,List!$A$1:$B$29,2,FALSE))=FALSE,"",IF(ISNUMBER(E39),VLOOKUP($A39,List!$A$1:$B$29,2,FALSE)))</f>
        <v/>
      </c>
      <c r="R39" s="13" t="str">
        <f>IF(IF(ISNUMBER(F39),VLOOKUP($A39,List!$A$1:$B$29,2,FALSE))=FALSE,"",IF(ISNUMBER(F39),VLOOKUP($A39,List!$A$1:$B$29,2,FALSE)))</f>
        <v/>
      </c>
      <c r="S39" s="13" t="str">
        <f>IF(IF(ISNUMBER(G39),VLOOKUP($A39,List!$A$1:$B$29,2,FALSE))=FALSE,"",IF(ISNUMBER(G39),VLOOKUP($A39,List!$A$1:$B$29,2,FALSE)))</f>
        <v/>
      </c>
      <c r="T39" s="13" t="str">
        <f>IF(IF(ISNUMBER(H39),VLOOKUP($A39,List!$A$1:$B$29,2,FALSE))=FALSE,"",IF(ISNUMBER(H39),VLOOKUP($A39,List!$A$1:$B$29,2,FALSE)))</f>
        <v/>
      </c>
      <c r="U39" s="13" t="str">
        <f>IF(IF(ISNUMBER(I39),VLOOKUP($A39,List!$A$1:$B$29,2,FALSE))=FALSE,"",IF(ISNUMBER(I39),VLOOKUP($A39,List!$A$1:$B$29,2,FALSE)))</f>
        <v/>
      </c>
      <c r="V39" s="13" t="str">
        <f>IF(IF(ISNUMBER(J39),VLOOKUP($A39,List!$A$1:$B$29,2,FALSE))=FALSE,"",IF(ISNUMBER(J39),VLOOKUP($A39,List!$A$1:$B$29,2,FALSE)))</f>
        <v/>
      </c>
      <c r="W39" s="13" t="str">
        <f>IF(IF(ISNUMBER(K39),VLOOKUP($A39,List!$A$1:$B$29,2,FALSE))=FALSE,"",IF(ISNUMBER(K39),VLOOKUP($A39,List!$A$1:$B$29,2,FALSE)))</f>
        <v/>
      </c>
      <c r="X39" s="13" t="str">
        <f>IF(IF(ISNUMBER(L39),VLOOKUP($A39,List!$A$1:$B$29,2,FALSE))=FALSE,"",IF(ISNUMBER(L39),VLOOKUP($A39,List!$A$1:$B$29,2,FALSE)))</f>
        <v/>
      </c>
      <c r="Y39" s="13" t="str">
        <f>IF(IF(ISNUMBER(M39),VLOOKUP($A39,List!$A$1:$B$29,2,FALSE))=FALSE,"",IF(ISNUMBER(M39),VLOOKUP($A39,List!$A$1:$B$29,2,FALSE)))</f>
        <v/>
      </c>
    </row>
    <row r="40" spans="1:25" ht="15" thickBot="1" x14ac:dyDescent="0.35">
      <c r="A40" s="4">
        <v>7</v>
      </c>
      <c r="B40" s="5">
        <v>0.65</v>
      </c>
      <c r="C40" s="6" t="s">
        <v>79</v>
      </c>
      <c r="D40" s="6" t="s">
        <v>79</v>
      </c>
      <c r="E40" s="6" t="s">
        <v>79</v>
      </c>
      <c r="F40" s="6" t="s">
        <v>79</v>
      </c>
      <c r="G40" s="7" t="s">
        <v>79</v>
      </c>
      <c r="H40" s="7" t="s">
        <v>79</v>
      </c>
      <c r="I40" s="7" t="s">
        <v>79</v>
      </c>
      <c r="J40" s="7" t="s">
        <v>79</v>
      </c>
      <c r="K40" s="7" t="s">
        <v>79</v>
      </c>
      <c r="L40" s="7" t="s">
        <v>79</v>
      </c>
      <c r="M40" s="7" t="s">
        <v>79</v>
      </c>
      <c r="N40" s="13" t="str">
        <f>IF(IF(ISNUMBER(B40),VLOOKUP($A40,List!$A$1:$B$29,2,FALSE))=FALSE,"",IF(ISNUMBER(B40),VLOOKUP($A40,List!$A$1:$B$29,2,FALSE)))</f>
        <v>Owning a boat gives me a sense of achievement</v>
      </c>
      <c r="O40" s="13" t="str">
        <f>IF(IF(ISNUMBER(C40),VLOOKUP($A40,List!$A$1:$B$29,2,FALSE))=FALSE,"",IF(ISNUMBER(C40),VLOOKUP($A40,List!$A$1:$B$29,2,FALSE)))</f>
        <v/>
      </c>
      <c r="P40" s="13" t="str">
        <f>IF(IF(ISNUMBER(D40),VLOOKUP($A40,List!$A$1:$B$29,2,FALSE))=FALSE,"",IF(ISNUMBER(D40),VLOOKUP($A40,List!$A$1:$B$29,2,FALSE)))</f>
        <v/>
      </c>
      <c r="Q40" s="13" t="str">
        <f>IF(IF(ISNUMBER(E40),VLOOKUP($A40,List!$A$1:$B$29,2,FALSE))=FALSE,"",IF(ISNUMBER(E40),VLOOKUP($A40,List!$A$1:$B$29,2,FALSE)))</f>
        <v/>
      </c>
      <c r="R40" s="13" t="str">
        <f>IF(IF(ISNUMBER(F40),VLOOKUP($A40,List!$A$1:$B$29,2,FALSE))=FALSE,"",IF(ISNUMBER(F40),VLOOKUP($A40,List!$A$1:$B$29,2,FALSE)))</f>
        <v/>
      </c>
      <c r="S40" s="13" t="str">
        <f>IF(IF(ISNUMBER(G40),VLOOKUP($A40,List!$A$1:$B$29,2,FALSE))=FALSE,"",IF(ISNUMBER(G40),VLOOKUP($A40,List!$A$1:$B$29,2,FALSE)))</f>
        <v/>
      </c>
      <c r="T40" s="13" t="str">
        <f>IF(IF(ISNUMBER(H40),VLOOKUP($A40,List!$A$1:$B$29,2,FALSE))=FALSE,"",IF(ISNUMBER(H40),VLOOKUP($A40,List!$A$1:$B$29,2,FALSE)))</f>
        <v/>
      </c>
      <c r="U40" s="13" t="str">
        <f>IF(IF(ISNUMBER(I40),VLOOKUP($A40,List!$A$1:$B$29,2,FALSE))=FALSE,"",IF(ISNUMBER(I40),VLOOKUP($A40,List!$A$1:$B$29,2,FALSE)))</f>
        <v/>
      </c>
      <c r="V40" s="13" t="str">
        <f>IF(IF(ISNUMBER(J40),VLOOKUP($A40,List!$A$1:$B$29,2,FALSE))=FALSE,"",IF(ISNUMBER(J40),VLOOKUP($A40,List!$A$1:$B$29,2,FALSE)))</f>
        <v/>
      </c>
      <c r="W40" s="13" t="str">
        <f>IF(IF(ISNUMBER(K40),VLOOKUP($A40,List!$A$1:$B$29,2,FALSE))=FALSE,"",IF(ISNUMBER(K40),VLOOKUP($A40,List!$A$1:$B$29,2,FALSE)))</f>
        <v/>
      </c>
      <c r="X40" s="13" t="str">
        <f>IF(IF(ISNUMBER(L40),VLOOKUP($A40,List!$A$1:$B$29,2,FALSE))=FALSE,"",IF(ISNUMBER(L40),VLOOKUP($A40,List!$A$1:$B$29,2,FALSE)))</f>
        <v/>
      </c>
      <c r="Y40" s="13" t="str">
        <f>IF(IF(ISNUMBER(M40),VLOOKUP($A40,List!$A$1:$B$29,2,FALSE))=FALSE,"",IF(ISNUMBER(M40),VLOOKUP($A40,List!$A$1:$B$29,2,FALSE)))</f>
        <v/>
      </c>
    </row>
    <row r="41" spans="1:25" ht="15" thickBot="1" x14ac:dyDescent="0.35">
      <c r="A41" s="4">
        <v>15</v>
      </c>
      <c r="B41" s="6">
        <v>0.65</v>
      </c>
      <c r="C41" s="6" t="s">
        <v>79</v>
      </c>
      <c r="D41" s="6" t="s">
        <v>79</v>
      </c>
      <c r="E41" s="6" t="s">
        <v>79</v>
      </c>
      <c r="F41" s="6" t="s">
        <v>79</v>
      </c>
      <c r="G41" s="7" t="s">
        <v>79</v>
      </c>
      <c r="H41" s="7" t="s">
        <v>79</v>
      </c>
      <c r="I41" s="7" t="s">
        <v>79</v>
      </c>
      <c r="J41" s="7" t="s">
        <v>79</v>
      </c>
      <c r="K41" s="7" t="s">
        <v>79</v>
      </c>
      <c r="L41" s="7" t="s">
        <v>79</v>
      </c>
      <c r="M41" s="7" t="s">
        <v>79</v>
      </c>
      <c r="N41" s="13" t="str">
        <f>IF(IF(ISNUMBER(B41),VLOOKUP($A41,List!$A$1:$B$29,2,FALSE))=FALSE,"",IF(ISNUMBER(B41),VLOOKUP($A41,List!$A$1:$B$29,2,FALSE)))</f>
        <v>I am serious about the technology on my boat</v>
      </c>
      <c r="O41" s="13" t="str">
        <f>IF(IF(ISNUMBER(C41),VLOOKUP($A41,List!$A$1:$B$29,2,FALSE))=FALSE,"",IF(ISNUMBER(C41),VLOOKUP($A41,List!$A$1:$B$29,2,FALSE)))</f>
        <v/>
      </c>
      <c r="P41" s="13" t="str">
        <f>IF(IF(ISNUMBER(D41),VLOOKUP($A41,List!$A$1:$B$29,2,FALSE))=FALSE,"",IF(ISNUMBER(D41),VLOOKUP($A41,List!$A$1:$B$29,2,FALSE)))</f>
        <v/>
      </c>
      <c r="Q41" s="13" t="str">
        <f>IF(IF(ISNUMBER(E41),VLOOKUP($A41,List!$A$1:$B$29,2,FALSE))=FALSE,"",IF(ISNUMBER(E41),VLOOKUP($A41,List!$A$1:$B$29,2,FALSE)))</f>
        <v/>
      </c>
      <c r="R41" s="13" t="str">
        <f>IF(IF(ISNUMBER(F41),VLOOKUP($A41,List!$A$1:$B$29,2,FALSE))=FALSE,"",IF(ISNUMBER(F41),VLOOKUP($A41,List!$A$1:$B$29,2,FALSE)))</f>
        <v/>
      </c>
      <c r="S41" s="13" t="str">
        <f>IF(IF(ISNUMBER(G41),VLOOKUP($A41,List!$A$1:$B$29,2,FALSE))=FALSE,"",IF(ISNUMBER(G41),VLOOKUP($A41,List!$A$1:$B$29,2,FALSE)))</f>
        <v/>
      </c>
      <c r="T41" s="13" t="str">
        <f>IF(IF(ISNUMBER(H41),VLOOKUP($A41,List!$A$1:$B$29,2,FALSE))=FALSE,"",IF(ISNUMBER(H41),VLOOKUP($A41,List!$A$1:$B$29,2,FALSE)))</f>
        <v/>
      </c>
      <c r="U41" s="13" t="str">
        <f>IF(IF(ISNUMBER(I41),VLOOKUP($A41,List!$A$1:$B$29,2,FALSE))=FALSE,"",IF(ISNUMBER(I41),VLOOKUP($A41,List!$A$1:$B$29,2,FALSE)))</f>
        <v/>
      </c>
      <c r="V41" s="13" t="str">
        <f>IF(IF(ISNUMBER(J41),VLOOKUP($A41,List!$A$1:$B$29,2,FALSE))=FALSE,"",IF(ISNUMBER(J41),VLOOKUP($A41,List!$A$1:$B$29,2,FALSE)))</f>
        <v/>
      </c>
      <c r="W41" s="13" t="str">
        <f>IF(IF(ISNUMBER(K41),VLOOKUP($A41,List!$A$1:$B$29,2,FALSE))=FALSE,"",IF(ISNUMBER(K41),VLOOKUP($A41,List!$A$1:$B$29,2,FALSE)))</f>
        <v/>
      </c>
      <c r="X41" s="13" t="str">
        <f>IF(IF(ISNUMBER(L41),VLOOKUP($A41,List!$A$1:$B$29,2,FALSE))=FALSE,"",IF(ISNUMBER(L41),VLOOKUP($A41,List!$A$1:$B$29,2,FALSE)))</f>
        <v/>
      </c>
      <c r="Y41" s="13" t="str">
        <f>IF(IF(ISNUMBER(M41),VLOOKUP($A41,List!$A$1:$B$29,2,FALSE))=FALSE,"",IF(ISNUMBER(M41),VLOOKUP($A41,List!$A$1:$B$29,2,FALSE)))</f>
        <v/>
      </c>
    </row>
    <row r="42" spans="1:25" ht="15" thickBot="1" x14ac:dyDescent="0.35">
      <c r="A42" s="4">
        <v>16</v>
      </c>
      <c r="B42" s="6">
        <v>0.65</v>
      </c>
      <c r="C42" s="6" t="s">
        <v>79</v>
      </c>
      <c r="D42" s="6" t="s">
        <v>79</v>
      </c>
      <c r="E42" s="6" t="s">
        <v>79</v>
      </c>
      <c r="F42" s="6" t="s">
        <v>79</v>
      </c>
      <c r="G42" s="7" t="s">
        <v>79</v>
      </c>
      <c r="H42" s="7" t="s">
        <v>79</v>
      </c>
      <c r="I42" s="7" t="s">
        <v>79</v>
      </c>
      <c r="J42" s="7" t="s">
        <v>79</v>
      </c>
      <c r="K42" s="7" t="s">
        <v>79</v>
      </c>
      <c r="L42" s="7" t="s">
        <v>79</v>
      </c>
      <c r="M42" s="7" t="s">
        <v>79</v>
      </c>
      <c r="N42" s="13" t="str">
        <f>IF(IF(ISNUMBER(B42),VLOOKUP($A42,List!$A$1:$B$29,2,FALSE))=FALSE,"",IF(ISNUMBER(B42),VLOOKUP($A42,List!$A$1:$B$29,2,FALSE)))</f>
        <v>People tend to come to me for advice about boating</v>
      </c>
      <c r="O42" s="13" t="str">
        <f>IF(IF(ISNUMBER(C42),VLOOKUP($A42,List!$A$1:$B$29,2,FALSE))=FALSE,"",IF(ISNUMBER(C42),VLOOKUP($A42,List!$A$1:$B$29,2,FALSE)))</f>
        <v/>
      </c>
      <c r="P42" s="13" t="str">
        <f>IF(IF(ISNUMBER(D42),VLOOKUP($A42,List!$A$1:$B$29,2,FALSE))=FALSE,"",IF(ISNUMBER(D42),VLOOKUP($A42,List!$A$1:$B$29,2,FALSE)))</f>
        <v/>
      </c>
      <c r="Q42" s="13" t="str">
        <f>IF(IF(ISNUMBER(E42),VLOOKUP($A42,List!$A$1:$B$29,2,FALSE))=FALSE,"",IF(ISNUMBER(E42),VLOOKUP($A42,List!$A$1:$B$29,2,FALSE)))</f>
        <v/>
      </c>
      <c r="R42" s="13" t="str">
        <f>IF(IF(ISNUMBER(F42),VLOOKUP($A42,List!$A$1:$B$29,2,FALSE))=FALSE,"",IF(ISNUMBER(F42),VLOOKUP($A42,List!$A$1:$B$29,2,FALSE)))</f>
        <v/>
      </c>
      <c r="S42" s="13" t="str">
        <f>IF(IF(ISNUMBER(G42),VLOOKUP($A42,List!$A$1:$B$29,2,FALSE))=FALSE,"",IF(ISNUMBER(G42),VLOOKUP($A42,List!$A$1:$B$29,2,FALSE)))</f>
        <v/>
      </c>
      <c r="T42" s="13" t="str">
        <f>IF(IF(ISNUMBER(H42),VLOOKUP($A42,List!$A$1:$B$29,2,FALSE))=FALSE,"",IF(ISNUMBER(H42),VLOOKUP($A42,List!$A$1:$B$29,2,FALSE)))</f>
        <v/>
      </c>
      <c r="U42" s="13" t="str">
        <f>IF(IF(ISNUMBER(I42),VLOOKUP($A42,List!$A$1:$B$29,2,FALSE))=FALSE,"",IF(ISNUMBER(I42),VLOOKUP($A42,List!$A$1:$B$29,2,FALSE)))</f>
        <v/>
      </c>
      <c r="V42" s="13" t="str">
        <f>IF(IF(ISNUMBER(J42),VLOOKUP($A42,List!$A$1:$B$29,2,FALSE))=FALSE,"",IF(ISNUMBER(J42),VLOOKUP($A42,List!$A$1:$B$29,2,FALSE)))</f>
        <v/>
      </c>
      <c r="W42" s="13" t="str">
        <f>IF(IF(ISNUMBER(K42),VLOOKUP($A42,List!$A$1:$B$29,2,FALSE))=FALSE,"",IF(ISNUMBER(K42),VLOOKUP($A42,List!$A$1:$B$29,2,FALSE)))</f>
        <v/>
      </c>
      <c r="X42" s="13" t="str">
        <f>IF(IF(ISNUMBER(L42),VLOOKUP($A42,List!$A$1:$B$29,2,FALSE))=FALSE,"",IF(ISNUMBER(L42),VLOOKUP($A42,List!$A$1:$B$29,2,FALSE)))</f>
        <v/>
      </c>
      <c r="Y42" s="13" t="str">
        <f>IF(IF(ISNUMBER(M42),VLOOKUP($A42,List!$A$1:$B$29,2,FALSE))=FALSE,"",IF(ISNUMBER(M42),VLOOKUP($A42,List!$A$1:$B$29,2,FALSE)))</f>
        <v/>
      </c>
    </row>
    <row r="43" spans="1:25" ht="15" thickBot="1" x14ac:dyDescent="0.35">
      <c r="A43" s="4">
        <v>13</v>
      </c>
      <c r="B43" s="6">
        <v>0.64</v>
      </c>
      <c r="C43" s="6" t="s">
        <v>79</v>
      </c>
      <c r="D43" s="6" t="s">
        <v>79</v>
      </c>
      <c r="E43" s="5" t="s">
        <v>79</v>
      </c>
      <c r="F43" s="6" t="s">
        <v>79</v>
      </c>
      <c r="G43" s="7" t="s">
        <v>79</v>
      </c>
      <c r="H43" s="7" t="s">
        <v>79</v>
      </c>
      <c r="I43" s="7" t="s">
        <v>79</v>
      </c>
      <c r="J43" s="7" t="s">
        <v>79</v>
      </c>
      <c r="K43" s="7" t="s">
        <v>79</v>
      </c>
      <c r="L43" s="7" t="s">
        <v>79</v>
      </c>
      <c r="M43" s="7" t="s">
        <v>79</v>
      </c>
      <c r="N43" s="13" t="str">
        <f>IF(IF(ISNUMBER(B43),VLOOKUP($A43,List!$A$1:$B$29,2,FALSE))=FALSE,"",IF(ISNUMBER(B43),VLOOKUP($A43,List!$A$1:$B$29,2,FALSE)))</f>
        <v>When buying a boat, I tend to buy the latest and greatest</v>
      </c>
      <c r="O43" s="13" t="str">
        <f>IF(IF(ISNUMBER(C43),VLOOKUP($A43,List!$A$1:$B$29,2,FALSE))=FALSE,"",IF(ISNUMBER(C43),VLOOKUP($A43,List!$A$1:$B$29,2,FALSE)))</f>
        <v/>
      </c>
      <c r="P43" s="13" t="str">
        <f>IF(IF(ISNUMBER(D43),VLOOKUP($A43,List!$A$1:$B$29,2,FALSE))=FALSE,"",IF(ISNUMBER(D43),VLOOKUP($A43,List!$A$1:$B$29,2,FALSE)))</f>
        <v/>
      </c>
      <c r="Q43" s="13" t="str">
        <f>IF(IF(ISNUMBER(E43),VLOOKUP($A43,List!$A$1:$B$29,2,FALSE))=FALSE,"",IF(ISNUMBER(E43),VLOOKUP($A43,List!$A$1:$B$29,2,FALSE)))</f>
        <v/>
      </c>
      <c r="R43" s="13" t="str">
        <f>IF(IF(ISNUMBER(F43),VLOOKUP($A43,List!$A$1:$B$29,2,FALSE))=FALSE,"",IF(ISNUMBER(F43),VLOOKUP($A43,List!$A$1:$B$29,2,FALSE)))</f>
        <v/>
      </c>
      <c r="S43" s="13" t="str">
        <f>IF(IF(ISNUMBER(G43),VLOOKUP($A43,List!$A$1:$B$29,2,FALSE))=FALSE,"",IF(ISNUMBER(G43),VLOOKUP($A43,List!$A$1:$B$29,2,FALSE)))</f>
        <v/>
      </c>
      <c r="T43" s="13" t="str">
        <f>IF(IF(ISNUMBER(H43),VLOOKUP($A43,List!$A$1:$B$29,2,FALSE))=FALSE,"",IF(ISNUMBER(H43),VLOOKUP($A43,List!$A$1:$B$29,2,FALSE)))</f>
        <v/>
      </c>
      <c r="U43" s="13" t="str">
        <f>IF(IF(ISNUMBER(I43),VLOOKUP($A43,List!$A$1:$B$29,2,FALSE))=FALSE,"",IF(ISNUMBER(I43),VLOOKUP($A43,List!$A$1:$B$29,2,FALSE)))</f>
        <v/>
      </c>
      <c r="V43" s="13" t="str">
        <f>IF(IF(ISNUMBER(J43),VLOOKUP($A43,List!$A$1:$B$29,2,FALSE))=FALSE,"",IF(ISNUMBER(J43),VLOOKUP($A43,List!$A$1:$B$29,2,FALSE)))</f>
        <v/>
      </c>
      <c r="W43" s="13" t="str">
        <f>IF(IF(ISNUMBER(K43),VLOOKUP($A43,List!$A$1:$B$29,2,FALSE))=FALSE,"",IF(ISNUMBER(K43),VLOOKUP($A43,List!$A$1:$B$29,2,FALSE)))</f>
        <v/>
      </c>
      <c r="X43" s="13" t="str">
        <f>IF(IF(ISNUMBER(L43),VLOOKUP($A43,List!$A$1:$B$29,2,FALSE))=FALSE,"",IF(ISNUMBER(L43),VLOOKUP($A43,List!$A$1:$B$29,2,FALSE)))</f>
        <v/>
      </c>
      <c r="Y43" s="13" t="str">
        <f>IF(IF(ISNUMBER(M43),VLOOKUP($A43,List!$A$1:$B$29,2,FALSE))=FALSE,"",IF(ISNUMBER(M43),VLOOKUP($A43,List!$A$1:$B$29,2,FALSE)))</f>
        <v/>
      </c>
    </row>
    <row r="44" spans="1:25" ht="15" thickBot="1" x14ac:dyDescent="0.35">
      <c r="A44" s="4">
        <v>25</v>
      </c>
      <c r="B44" s="6">
        <v>0.64</v>
      </c>
      <c r="C44" s="6" t="s">
        <v>79</v>
      </c>
      <c r="D44" s="6" t="s">
        <v>79</v>
      </c>
      <c r="E44" s="5" t="s">
        <v>79</v>
      </c>
      <c r="F44" s="6" t="s">
        <v>79</v>
      </c>
      <c r="G44" s="7" t="s">
        <v>79</v>
      </c>
      <c r="H44" s="7" t="s">
        <v>79</v>
      </c>
      <c r="I44" s="7" t="s">
        <v>79</v>
      </c>
      <c r="J44" s="7" t="s">
        <v>79</v>
      </c>
      <c r="K44" s="7" t="s">
        <v>79</v>
      </c>
      <c r="L44" s="7" t="s">
        <v>79</v>
      </c>
      <c r="M44" s="7" t="s">
        <v>79</v>
      </c>
      <c r="N44" s="13" t="str">
        <f>IF(IF(ISNUMBER(B44),VLOOKUP($A44,List!$A$1:$B$29,2,FALSE))=FALSE,"",IF(ISNUMBER(B44),VLOOKUP($A44,List!$A$1:$B$29,2,FALSE)))</f>
        <v>Being in charge of my boat is what is most important to me</v>
      </c>
      <c r="O44" s="13" t="str">
        <f>IF(IF(ISNUMBER(C44),VLOOKUP($A44,List!$A$1:$B$29,2,FALSE))=FALSE,"",IF(ISNUMBER(C44),VLOOKUP($A44,List!$A$1:$B$29,2,FALSE)))</f>
        <v/>
      </c>
      <c r="P44" s="13" t="str">
        <f>IF(IF(ISNUMBER(D44),VLOOKUP($A44,List!$A$1:$B$29,2,FALSE))=FALSE,"",IF(ISNUMBER(D44),VLOOKUP($A44,List!$A$1:$B$29,2,FALSE)))</f>
        <v/>
      </c>
      <c r="Q44" s="13" t="str">
        <f>IF(IF(ISNUMBER(E44),VLOOKUP($A44,List!$A$1:$B$29,2,FALSE))=FALSE,"",IF(ISNUMBER(E44),VLOOKUP($A44,List!$A$1:$B$29,2,FALSE)))</f>
        <v/>
      </c>
      <c r="R44" s="13" t="str">
        <f>IF(IF(ISNUMBER(F44),VLOOKUP($A44,List!$A$1:$B$29,2,FALSE))=FALSE,"",IF(ISNUMBER(F44),VLOOKUP($A44,List!$A$1:$B$29,2,FALSE)))</f>
        <v/>
      </c>
      <c r="S44" s="13" t="str">
        <f>IF(IF(ISNUMBER(G44),VLOOKUP($A44,List!$A$1:$B$29,2,FALSE))=FALSE,"",IF(ISNUMBER(G44),VLOOKUP($A44,List!$A$1:$B$29,2,FALSE)))</f>
        <v/>
      </c>
      <c r="T44" s="13" t="str">
        <f>IF(IF(ISNUMBER(H44),VLOOKUP($A44,List!$A$1:$B$29,2,FALSE))=FALSE,"",IF(ISNUMBER(H44),VLOOKUP($A44,List!$A$1:$B$29,2,FALSE)))</f>
        <v/>
      </c>
      <c r="U44" s="13" t="str">
        <f>IF(IF(ISNUMBER(I44),VLOOKUP($A44,List!$A$1:$B$29,2,FALSE))=FALSE,"",IF(ISNUMBER(I44),VLOOKUP($A44,List!$A$1:$B$29,2,FALSE)))</f>
        <v/>
      </c>
      <c r="V44" s="13" t="str">
        <f>IF(IF(ISNUMBER(J44),VLOOKUP($A44,List!$A$1:$B$29,2,FALSE))=FALSE,"",IF(ISNUMBER(J44),VLOOKUP($A44,List!$A$1:$B$29,2,FALSE)))</f>
        <v/>
      </c>
      <c r="W44" s="13" t="str">
        <f>IF(IF(ISNUMBER(K44),VLOOKUP($A44,List!$A$1:$B$29,2,FALSE))=FALSE,"",IF(ISNUMBER(K44),VLOOKUP($A44,List!$A$1:$B$29,2,FALSE)))</f>
        <v/>
      </c>
      <c r="X44" s="13" t="str">
        <f>IF(IF(ISNUMBER(L44),VLOOKUP($A44,List!$A$1:$B$29,2,FALSE))=FALSE,"",IF(ISNUMBER(L44),VLOOKUP($A44,List!$A$1:$B$29,2,FALSE)))</f>
        <v/>
      </c>
      <c r="Y44" s="13" t="str">
        <f>IF(IF(ISNUMBER(M44),VLOOKUP($A44,List!$A$1:$B$29,2,FALSE))=FALSE,"",IF(ISNUMBER(M44),VLOOKUP($A44,List!$A$1:$B$29,2,FALSE)))</f>
        <v/>
      </c>
    </row>
    <row r="45" spans="1:25" ht="15" thickBot="1" x14ac:dyDescent="0.35">
      <c r="A45" s="4">
        <v>6</v>
      </c>
      <c r="B45" s="6">
        <v>0.63</v>
      </c>
      <c r="C45" s="5" t="s">
        <v>79</v>
      </c>
      <c r="D45" s="6" t="s">
        <v>79</v>
      </c>
      <c r="E45" s="6" t="s">
        <v>79</v>
      </c>
      <c r="F45" s="6" t="s">
        <v>79</v>
      </c>
      <c r="G45" s="7" t="s">
        <v>79</v>
      </c>
      <c r="H45" s="7" t="s">
        <v>79</v>
      </c>
      <c r="I45" s="7" t="s">
        <v>79</v>
      </c>
      <c r="J45" s="7" t="s">
        <v>79</v>
      </c>
      <c r="K45" s="7" t="s">
        <v>79</v>
      </c>
      <c r="L45" s="7" t="s">
        <v>79</v>
      </c>
      <c r="M45" s="7" t="s">
        <v>79</v>
      </c>
      <c r="N45" s="13" t="str">
        <f>IF(IF(ISNUMBER(B45),VLOOKUP($A45,List!$A$1:$B$29,2,FALSE))=FALSE,"",IF(ISNUMBER(B45),VLOOKUP($A45,List!$A$1:$B$29,2,FALSE)))</f>
        <v>Owning a boat is a way of rewarding myself for hard work</v>
      </c>
      <c r="O45" s="13" t="str">
        <f>IF(IF(ISNUMBER(C45),VLOOKUP($A45,List!$A$1:$B$29,2,FALSE))=FALSE,"",IF(ISNUMBER(C45),VLOOKUP($A45,List!$A$1:$B$29,2,FALSE)))</f>
        <v/>
      </c>
      <c r="P45" s="13" t="str">
        <f>IF(IF(ISNUMBER(D45),VLOOKUP($A45,List!$A$1:$B$29,2,FALSE))=FALSE,"",IF(ISNUMBER(D45),VLOOKUP($A45,List!$A$1:$B$29,2,FALSE)))</f>
        <v/>
      </c>
      <c r="Q45" s="13" t="str">
        <f>IF(IF(ISNUMBER(E45),VLOOKUP($A45,List!$A$1:$B$29,2,FALSE))=FALSE,"",IF(ISNUMBER(E45),VLOOKUP($A45,List!$A$1:$B$29,2,FALSE)))</f>
        <v/>
      </c>
      <c r="R45" s="13" t="str">
        <f>IF(IF(ISNUMBER(F45),VLOOKUP($A45,List!$A$1:$B$29,2,FALSE))=FALSE,"",IF(ISNUMBER(F45),VLOOKUP($A45,List!$A$1:$B$29,2,FALSE)))</f>
        <v/>
      </c>
      <c r="S45" s="13" t="str">
        <f>IF(IF(ISNUMBER(G45),VLOOKUP($A45,List!$A$1:$B$29,2,FALSE))=FALSE,"",IF(ISNUMBER(G45),VLOOKUP($A45,List!$A$1:$B$29,2,FALSE)))</f>
        <v/>
      </c>
      <c r="T45" s="13" t="str">
        <f>IF(IF(ISNUMBER(H45),VLOOKUP($A45,List!$A$1:$B$29,2,FALSE))=FALSE,"",IF(ISNUMBER(H45),VLOOKUP($A45,List!$A$1:$B$29,2,FALSE)))</f>
        <v/>
      </c>
      <c r="U45" s="13" t="str">
        <f>IF(IF(ISNUMBER(I45),VLOOKUP($A45,List!$A$1:$B$29,2,FALSE))=FALSE,"",IF(ISNUMBER(I45),VLOOKUP($A45,List!$A$1:$B$29,2,FALSE)))</f>
        <v/>
      </c>
      <c r="V45" s="13" t="str">
        <f>IF(IF(ISNUMBER(J45),VLOOKUP($A45,List!$A$1:$B$29,2,FALSE))=FALSE,"",IF(ISNUMBER(J45),VLOOKUP($A45,List!$A$1:$B$29,2,FALSE)))</f>
        <v/>
      </c>
      <c r="W45" s="13" t="str">
        <f>IF(IF(ISNUMBER(K45),VLOOKUP($A45,List!$A$1:$B$29,2,FALSE))=FALSE,"",IF(ISNUMBER(K45),VLOOKUP($A45,List!$A$1:$B$29,2,FALSE)))</f>
        <v/>
      </c>
      <c r="X45" s="13" t="str">
        <f>IF(IF(ISNUMBER(L45),VLOOKUP($A45,List!$A$1:$B$29,2,FALSE))=FALSE,"",IF(ISNUMBER(L45),VLOOKUP($A45,List!$A$1:$B$29,2,FALSE)))</f>
        <v/>
      </c>
      <c r="Y45" s="13" t="str">
        <f>IF(IF(ISNUMBER(M45),VLOOKUP($A45,List!$A$1:$B$29,2,FALSE))=FALSE,"",IF(ISNUMBER(M45),VLOOKUP($A45,List!$A$1:$B$29,2,FALSE)))</f>
        <v/>
      </c>
    </row>
    <row r="46" spans="1:25" ht="15" thickBot="1" x14ac:dyDescent="0.35">
      <c r="A46" s="4">
        <v>26</v>
      </c>
      <c r="B46" s="6">
        <v>0.63</v>
      </c>
      <c r="C46" s="5" t="s">
        <v>79</v>
      </c>
      <c r="D46" s="6" t="s">
        <v>79</v>
      </c>
      <c r="E46" s="6" t="s">
        <v>79</v>
      </c>
      <c r="F46" s="6" t="s">
        <v>79</v>
      </c>
      <c r="G46" s="7" t="s">
        <v>79</v>
      </c>
      <c r="H46" s="7" t="s">
        <v>79</v>
      </c>
      <c r="I46" s="7" t="s">
        <v>79</v>
      </c>
      <c r="J46" s="7" t="s">
        <v>79</v>
      </c>
      <c r="K46" s="7" t="s">
        <v>79</v>
      </c>
      <c r="L46" s="7" t="s">
        <v>79</v>
      </c>
      <c r="M46" s="7" t="s">
        <v>79</v>
      </c>
      <c r="N46" s="13" t="str">
        <f>IF(IF(ISNUMBER(B46),VLOOKUP($A46,List!$A$1:$B$29,2,FALSE))=FALSE,"",IF(ISNUMBER(B46),VLOOKUP($A46,List!$A$1:$B$29,2,FALSE)))</f>
        <v>Having a powerful boat is what is most important to me</v>
      </c>
      <c r="O46" s="13" t="str">
        <f>IF(IF(ISNUMBER(C46),VLOOKUP($A46,List!$A$1:$B$29,2,FALSE))=FALSE,"",IF(ISNUMBER(C46),VLOOKUP($A46,List!$A$1:$B$29,2,FALSE)))</f>
        <v/>
      </c>
      <c r="P46" s="13" t="str">
        <f>IF(IF(ISNUMBER(D46),VLOOKUP($A46,List!$A$1:$B$29,2,FALSE))=FALSE,"",IF(ISNUMBER(D46),VLOOKUP($A46,List!$A$1:$B$29,2,FALSE)))</f>
        <v/>
      </c>
      <c r="Q46" s="13" t="str">
        <f>IF(IF(ISNUMBER(E46),VLOOKUP($A46,List!$A$1:$B$29,2,FALSE))=FALSE,"",IF(ISNUMBER(E46),VLOOKUP($A46,List!$A$1:$B$29,2,FALSE)))</f>
        <v/>
      </c>
      <c r="R46" s="13" t="str">
        <f>IF(IF(ISNUMBER(F46),VLOOKUP($A46,List!$A$1:$B$29,2,FALSE))=FALSE,"",IF(ISNUMBER(F46),VLOOKUP($A46,List!$A$1:$B$29,2,FALSE)))</f>
        <v/>
      </c>
      <c r="S46" s="13" t="str">
        <f>IF(IF(ISNUMBER(G46),VLOOKUP($A46,List!$A$1:$B$29,2,FALSE))=FALSE,"",IF(ISNUMBER(G46),VLOOKUP($A46,List!$A$1:$B$29,2,FALSE)))</f>
        <v/>
      </c>
      <c r="T46" s="13" t="str">
        <f>IF(IF(ISNUMBER(H46),VLOOKUP($A46,List!$A$1:$B$29,2,FALSE))=FALSE,"",IF(ISNUMBER(H46),VLOOKUP($A46,List!$A$1:$B$29,2,FALSE)))</f>
        <v/>
      </c>
      <c r="U46" s="13" t="str">
        <f>IF(IF(ISNUMBER(I46),VLOOKUP($A46,List!$A$1:$B$29,2,FALSE))=FALSE,"",IF(ISNUMBER(I46),VLOOKUP($A46,List!$A$1:$B$29,2,FALSE)))</f>
        <v/>
      </c>
      <c r="V46" s="13" t="str">
        <f>IF(IF(ISNUMBER(J46),VLOOKUP($A46,List!$A$1:$B$29,2,FALSE))=FALSE,"",IF(ISNUMBER(J46),VLOOKUP($A46,List!$A$1:$B$29,2,FALSE)))</f>
        <v/>
      </c>
      <c r="W46" s="13" t="str">
        <f>IF(IF(ISNUMBER(K46),VLOOKUP($A46,List!$A$1:$B$29,2,FALSE))=FALSE,"",IF(ISNUMBER(K46),VLOOKUP($A46,List!$A$1:$B$29,2,FALSE)))</f>
        <v/>
      </c>
      <c r="X46" s="13" t="str">
        <f>IF(IF(ISNUMBER(L46),VLOOKUP($A46,List!$A$1:$B$29,2,FALSE))=FALSE,"",IF(ISNUMBER(L46),VLOOKUP($A46,List!$A$1:$B$29,2,FALSE)))</f>
        <v/>
      </c>
      <c r="Y46" s="13" t="str">
        <f>IF(IF(ISNUMBER(M46),VLOOKUP($A46,List!$A$1:$B$29,2,FALSE))=FALSE,"",IF(ISNUMBER(M46),VLOOKUP($A46,List!$A$1:$B$29,2,FALSE)))</f>
        <v/>
      </c>
    </row>
    <row r="47" spans="1:25" ht="15" thickBot="1" x14ac:dyDescent="0.35">
      <c r="A47" s="4">
        <v>9</v>
      </c>
      <c r="B47" s="6">
        <v>0.61</v>
      </c>
      <c r="C47" s="6" t="s">
        <v>79</v>
      </c>
      <c r="D47" s="6" t="s">
        <v>79</v>
      </c>
      <c r="E47" s="6" t="s">
        <v>79</v>
      </c>
      <c r="F47" s="6" t="s">
        <v>79</v>
      </c>
      <c r="G47" s="7" t="s">
        <v>79</v>
      </c>
      <c r="H47" s="7" t="s">
        <v>79</v>
      </c>
      <c r="I47" s="7" t="s">
        <v>79</v>
      </c>
      <c r="J47" s="7" t="s">
        <v>79</v>
      </c>
      <c r="K47" s="7" t="s">
        <v>79</v>
      </c>
      <c r="L47" s="7" t="s">
        <v>79</v>
      </c>
      <c r="M47" s="7" t="s">
        <v>79</v>
      </c>
      <c r="N47" s="13" t="str">
        <f>IF(IF(ISNUMBER(B47),VLOOKUP($A47,List!$A$1:$B$29,2,FALSE))=FALSE,"",IF(ISNUMBER(B47),VLOOKUP($A47,List!$A$1:$B$29,2,FALSE)))</f>
        <v>I see my boat as status symbol</v>
      </c>
      <c r="O47" s="13" t="str">
        <f>IF(IF(ISNUMBER(C47),VLOOKUP($A47,List!$A$1:$B$29,2,FALSE))=FALSE,"",IF(ISNUMBER(C47),VLOOKUP($A47,List!$A$1:$B$29,2,FALSE)))</f>
        <v/>
      </c>
      <c r="P47" s="13" t="str">
        <f>IF(IF(ISNUMBER(D47),VLOOKUP($A47,List!$A$1:$B$29,2,FALSE))=FALSE,"",IF(ISNUMBER(D47),VLOOKUP($A47,List!$A$1:$B$29,2,FALSE)))</f>
        <v/>
      </c>
      <c r="Q47" s="13" t="str">
        <f>IF(IF(ISNUMBER(E47),VLOOKUP($A47,List!$A$1:$B$29,2,FALSE))=FALSE,"",IF(ISNUMBER(E47),VLOOKUP($A47,List!$A$1:$B$29,2,FALSE)))</f>
        <v/>
      </c>
      <c r="R47" s="13" t="str">
        <f>IF(IF(ISNUMBER(F47),VLOOKUP($A47,List!$A$1:$B$29,2,FALSE))=FALSE,"",IF(ISNUMBER(F47),VLOOKUP($A47,List!$A$1:$B$29,2,FALSE)))</f>
        <v/>
      </c>
      <c r="S47" s="13" t="str">
        <f>IF(IF(ISNUMBER(G47),VLOOKUP($A47,List!$A$1:$B$29,2,FALSE))=FALSE,"",IF(ISNUMBER(G47),VLOOKUP($A47,List!$A$1:$B$29,2,FALSE)))</f>
        <v/>
      </c>
      <c r="T47" s="13" t="str">
        <f>IF(IF(ISNUMBER(H47),VLOOKUP($A47,List!$A$1:$B$29,2,FALSE))=FALSE,"",IF(ISNUMBER(H47),VLOOKUP($A47,List!$A$1:$B$29,2,FALSE)))</f>
        <v/>
      </c>
      <c r="U47" s="13" t="str">
        <f>IF(IF(ISNUMBER(I47),VLOOKUP($A47,List!$A$1:$B$29,2,FALSE))=FALSE,"",IF(ISNUMBER(I47),VLOOKUP($A47,List!$A$1:$B$29,2,FALSE)))</f>
        <v/>
      </c>
      <c r="V47" s="13" t="str">
        <f>IF(IF(ISNUMBER(J47),VLOOKUP($A47,List!$A$1:$B$29,2,FALSE))=FALSE,"",IF(ISNUMBER(J47),VLOOKUP($A47,List!$A$1:$B$29,2,FALSE)))</f>
        <v/>
      </c>
      <c r="W47" s="13" t="str">
        <f>IF(IF(ISNUMBER(K47),VLOOKUP($A47,List!$A$1:$B$29,2,FALSE))=FALSE,"",IF(ISNUMBER(K47),VLOOKUP($A47,List!$A$1:$B$29,2,FALSE)))</f>
        <v/>
      </c>
      <c r="X47" s="13" t="str">
        <f>IF(IF(ISNUMBER(L47),VLOOKUP($A47,List!$A$1:$B$29,2,FALSE))=FALSE,"",IF(ISNUMBER(L47),VLOOKUP($A47,List!$A$1:$B$29,2,FALSE)))</f>
        <v/>
      </c>
      <c r="Y47" s="13" t="str">
        <f>IF(IF(ISNUMBER(M47),VLOOKUP($A47,List!$A$1:$B$29,2,FALSE))=FALSE,"",IF(ISNUMBER(M47),VLOOKUP($A47,List!$A$1:$B$29,2,FALSE)))</f>
        <v/>
      </c>
    </row>
    <row r="48" spans="1:25" ht="15" thickBot="1" x14ac:dyDescent="0.35">
      <c r="A48" s="4">
        <v>17</v>
      </c>
      <c r="B48" s="6">
        <v>0.61</v>
      </c>
      <c r="C48" s="6" t="s">
        <v>79</v>
      </c>
      <c r="D48" s="6" t="s">
        <v>79</v>
      </c>
      <c r="E48" s="6" t="s">
        <v>79</v>
      </c>
      <c r="F48" s="6" t="s">
        <v>79</v>
      </c>
      <c r="G48" s="7" t="s">
        <v>79</v>
      </c>
      <c r="H48" s="7" t="s">
        <v>79</v>
      </c>
      <c r="I48" s="7" t="s">
        <v>79</v>
      </c>
      <c r="J48" s="7" t="s">
        <v>79</v>
      </c>
      <c r="K48" s="7" t="s">
        <v>79</v>
      </c>
      <c r="L48" s="7" t="s">
        <v>79</v>
      </c>
      <c r="M48" s="7" t="s">
        <v>79</v>
      </c>
      <c r="N48" s="13" t="str">
        <f>IF(IF(ISNUMBER(B48),VLOOKUP($A48,List!$A$1:$B$29,2,FALSE))=FALSE,"",IF(ISNUMBER(B48),VLOOKUP($A48,List!$A$1:$B$29,2,FALSE)))</f>
        <v>I consider myself more knowledgeable about boating than the rest of my boating peers</v>
      </c>
      <c r="O48" s="13" t="str">
        <f>IF(IF(ISNUMBER(C48),VLOOKUP($A48,List!$A$1:$B$29,2,FALSE))=FALSE,"",IF(ISNUMBER(C48),VLOOKUP($A48,List!$A$1:$B$29,2,FALSE)))</f>
        <v/>
      </c>
      <c r="P48" s="13" t="str">
        <f>IF(IF(ISNUMBER(D48),VLOOKUP($A48,List!$A$1:$B$29,2,FALSE))=FALSE,"",IF(ISNUMBER(D48),VLOOKUP($A48,List!$A$1:$B$29,2,FALSE)))</f>
        <v/>
      </c>
      <c r="Q48" s="13" t="str">
        <f>IF(IF(ISNUMBER(E48),VLOOKUP($A48,List!$A$1:$B$29,2,FALSE))=FALSE,"",IF(ISNUMBER(E48),VLOOKUP($A48,List!$A$1:$B$29,2,FALSE)))</f>
        <v/>
      </c>
      <c r="R48" s="13" t="str">
        <f>IF(IF(ISNUMBER(F48),VLOOKUP($A48,List!$A$1:$B$29,2,FALSE))=FALSE,"",IF(ISNUMBER(F48),VLOOKUP($A48,List!$A$1:$B$29,2,FALSE)))</f>
        <v/>
      </c>
      <c r="S48" s="13" t="str">
        <f>IF(IF(ISNUMBER(G48),VLOOKUP($A48,List!$A$1:$B$29,2,FALSE))=FALSE,"",IF(ISNUMBER(G48),VLOOKUP($A48,List!$A$1:$B$29,2,FALSE)))</f>
        <v/>
      </c>
      <c r="T48" s="13" t="str">
        <f>IF(IF(ISNUMBER(H48),VLOOKUP($A48,List!$A$1:$B$29,2,FALSE))=FALSE,"",IF(ISNUMBER(H48),VLOOKUP($A48,List!$A$1:$B$29,2,FALSE)))</f>
        <v/>
      </c>
      <c r="U48" s="13" t="str">
        <f>IF(IF(ISNUMBER(I48),VLOOKUP($A48,List!$A$1:$B$29,2,FALSE))=FALSE,"",IF(ISNUMBER(I48),VLOOKUP($A48,List!$A$1:$B$29,2,FALSE)))</f>
        <v/>
      </c>
      <c r="V48" s="13" t="str">
        <f>IF(IF(ISNUMBER(J48),VLOOKUP($A48,List!$A$1:$B$29,2,FALSE))=FALSE,"",IF(ISNUMBER(J48),VLOOKUP($A48,List!$A$1:$B$29,2,FALSE)))</f>
        <v/>
      </c>
      <c r="W48" s="13" t="str">
        <f>IF(IF(ISNUMBER(K48),VLOOKUP($A48,List!$A$1:$B$29,2,FALSE))=FALSE,"",IF(ISNUMBER(K48),VLOOKUP($A48,List!$A$1:$B$29,2,FALSE)))</f>
        <v/>
      </c>
      <c r="X48" s="13" t="str">
        <f>IF(IF(ISNUMBER(L48),VLOOKUP($A48,List!$A$1:$B$29,2,FALSE))=FALSE,"",IF(ISNUMBER(L48),VLOOKUP($A48,List!$A$1:$B$29,2,FALSE)))</f>
        <v/>
      </c>
      <c r="Y48" s="13" t="str">
        <f>IF(IF(ISNUMBER(M48),VLOOKUP($A48,List!$A$1:$B$29,2,FALSE))=FALSE,"",IF(ISNUMBER(M48),VLOOKUP($A48,List!$A$1:$B$29,2,FALSE)))</f>
        <v/>
      </c>
    </row>
    <row r="49" spans="1:25" ht="15" thickBot="1" x14ac:dyDescent="0.35">
      <c r="A49" s="4">
        <v>22</v>
      </c>
      <c r="B49" s="6">
        <v>0.59</v>
      </c>
      <c r="C49" s="5" t="s">
        <v>79</v>
      </c>
      <c r="D49" s="6" t="s">
        <v>79</v>
      </c>
      <c r="E49" s="6" t="s">
        <v>79</v>
      </c>
      <c r="F49" s="6" t="s">
        <v>79</v>
      </c>
      <c r="G49" s="7" t="s">
        <v>79</v>
      </c>
      <c r="H49" s="7" t="s">
        <v>79</v>
      </c>
      <c r="I49" s="7" t="s">
        <v>79</v>
      </c>
      <c r="J49" s="7" t="s">
        <v>79</v>
      </c>
      <c r="K49" s="7" t="s">
        <v>79</v>
      </c>
      <c r="L49" s="7" t="s">
        <v>79</v>
      </c>
      <c r="M49" s="7" t="s">
        <v>79</v>
      </c>
      <c r="N49" s="13" t="str">
        <f>IF(IF(ISNUMBER(B49),VLOOKUP($A49,List!$A$1:$B$29,2,FALSE))=FALSE,"",IF(ISNUMBER(B49),VLOOKUP($A49,List!$A$1:$B$29,2,FALSE)))</f>
        <v>Boating helps me stay active</v>
      </c>
      <c r="O49" s="13" t="str">
        <f>IF(IF(ISNUMBER(C49),VLOOKUP($A49,List!$A$1:$B$29,2,FALSE))=FALSE,"",IF(ISNUMBER(C49),VLOOKUP($A49,List!$A$1:$B$29,2,FALSE)))</f>
        <v/>
      </c>
      <c r="P49" s="13" t="str">
        <f>IF(IF(ISNUMBER(D49),VLOOKUP($A49,List!$A$1:$B$29,2,FALSE))=FALSE,"",IF(ISNUMBER(D49),VLOOKUP($A49,List!$A$1:$B$29,2,FALSE)))</f>
        <v/>
      </c>
      <c r="Q49" s="13" t="str">
        <f>IF(IF(ISNUMBER(E49),VLOOKUP($A49,List!$A$1:$B$29,2,FALSE))=FALSE,"",IF(ISNUMBER(E49),VLOOKUP($A49,List!$A$1:$B$29,2,FALSE)))</f>
        <v/>
      </c>
      <c r="R49" s="13" t="str">
        <f>IF(IF(ISNUMBER(F49),VLOOKUP($A49,List!$A$1:$B$29,2,FALSE))=FALSE,"",IF(ISNUMBER(F49),VLOOKUP($A49,List!$A$1:$B$29,2,FALSE)))</f>
        <v/>
      </c>
      <c r="S49" s="13" t="str">
        <f>IF(IF(ISNUMBER(G49),VLOOKUP($A49,List!$A$1:$B$29,2,FALSE))=FALSE,"",IF(ISNUMBER(G49),VLOOKUP($A49,List!$A$1:$B$29,2,FALSE)))</f>
        <v/>
      </c>
      <c r="T49" s="13" t="str">
        <f>IF(IF(ISNUMBER(H49),VLOOKUP($A49,List!$A$1:$B$29,2,FALSE))=FALSE,"",IF(ISNUMBER(H49),VLOOKUP($A49,List!$A$1:$B$29,2,FALSE)))</f>
        <v/>
      </c>
      <c r="U49" s="13" t="str">
        <f>IF(IF(ISNUMBER(I49),VLOOKUP($A49,List!$A$1:$B$29,2,FALSE))=FALSE,"",IF(ISNUMBER(I49),VLOOKUP($A49,List!$A$1:$B$29,2,FALSE)))</f>
        <v/>
      </c>
      <c r="V49" s="13" t="str">
        <f>IF(IF(ISNUMBER(J49),VLOOKUP($A49,List!$A$1:$B$29,2,FALSE))=FALSE,"",IF(ISNUMBER(J49),VLOOKUP($A49,List!$A$1:$B$29,2,FALSE)))</f>
        <v/>
      </c>
      <c r="W49" s="13" t="str">
        <f>IF(IF(ISNUMBER(K49),VLOOKUP($A49,List!$A$1:$B$29,2,FALSE))=FALSE,"",IF(ISNUMBER(K49),VLOOKUP($A49,List!$A$1:$B$29,2,FALSE)))</f>
        <v/>
      </c>
      <c r="X49" s="13" t="str">
        <f>IF(IF(ISNUMBER(L49),VLOOKUP($A49,List!$A$1:$B$29,2,FALSE))=FALSE,"",IF(ISNUMBER(L49),VLOOKUP($A49,List!$A$1:$B$29,2,FALSE)))</f>
        <v/>
      </c>
      <c r="Y49" s="13" t="str">
        <f>IF(IF(ISNUMBER(M49),VLOOKUP($A49,List!$A$1:$B$29,2,FALSE))=FALSE,"",IF(ISNUMBER(M49),VLOOKUP($A49,List!$A$1:$B$29,2,FALSE)))</f>
        <v/>
      </c>
    </row>
    <row r="50" spans="1:25" ht="15" thickBot="1" x14ac:dyDescent="0.35">
      <c r="A50" s="4">
        <v>23</v>
      </c>
      <c r="B50" s="6">
        <v>0.59</v>
      </c>
      <c r="C50" s="6" t="s">
        <v>79</v>
      </c>
      <c r="D50" s="6" t="s">
        <v>79</v>
      </c>
      <c r="E50" s="5" t="s">
        <v>79</v>
      </c>
      <c r="F50" s="6" t="s">
        <v>79</v>
      </c>
      <c r="G50" s="7" t="s">
        <v>79</v>
      </c>
      <c r="H50" s="7" t="s">
        <v>79</v>
      </c>
      <c r="I50" s="7" t="s">
        <v>79</v>
      </c>
      <c r="J50" s="7" t="s">
        <v>79</v>
      </c>
      <c r="K50" s="7" t="s">
        <v>79</v>
      </c>
      <c r="L50" s="7" t="s">
        <v>79</v>
      </c>
      <c r="M50" s="7" t="s">
        <v>79</v>
      </c>
      <c r="N50" s="13" t="str">
        <f>IF(IF(ISNUMBER(B50),VLOOKUP($A50,List!$A$1:$B$29,2,FALSE))=FALSE,"",IF(ISNUMBER(B50),VLOOKUP($A50,List!$A$1:$B$29,2,FALSE)))</f>
        <v>Boating allows me to excel in the sports that I am passionate about</v>
      </c>
      <c r="O50" s="13" t="str">
        <f>IF(IF(ISNUMBER(C50),VLOOKUP($A50,List!$A$1:$B$29,2,FALSE))=FALSE,"",IF(ISNUMBER(C50),VLOOKUP($A50,List!$A$1:$B$29,2,FALSE)))</f>
        <v/>
      </c>
      <c r="P50" s="13" t="str">
        <f>IF(IF(ISNUMBER(D50),VLOOKUP($A50,List!$A$1:$B$29,2,FALSE))=FALSE,"",IF(ISNUMBER(D50),VLOOKUP($A50,List!$A$1:$B$29,2,FALSE)))</f>
        <v/>
      </c>
      <c r="Q50" s="14" t="str">
        <f>IF(IF(ISNUMBER(E50),VLOOKUP($A50,List!$A$1:$B$29,2,FALSE))=FALSE,"",IF(ISNUMBER(E50),VLOOKUP($A50,List!$A$1:$B$29,2,FALSE)))</f>
        <v/>
      </c>
      <c r="R50" s="13" t="str">
        <f>IF(IF(ISNUMBER(F50),VLOOKUP($A50,List!$A$1:$B$29,2,FALSE))=FALSE,"",IF(ISNUMBER(F50),VLOOKUP($A50,List!$A$1:$B$29,2,FALSE)))</f>
        <v/>
      </c>
      <c r="S50" s="13" t="str">
        <f>IF(IF(ISNUMBER(G50),VLOOKUP($A50,List!$A$1:$B$29,2,FALSE))=FALSE,"",IF(ISNUMBER(G50),VLOOKUP($A50,List!$A$1:$B$29,2,FALSE)))</f>
        <v/>
      </c>
      <c r="T50" s="13" t="str">
        <f>IF(IF(ISNUMBER(H50),VLOOKUP($A50,List!$A$1:$B$29,2,FALSE))=FALSE,"",IF(ISNUMBER(H50),VLOOKUP($A50,List!$A$1:$B$29,2,FALSE)))</f>
        <v/>
      </c>
      <c r="U50" s="13" t="str">
        <f>IF(IF(ISNUMBER(I50),VLOOKUP($A50,List!$A$1:$B$29,2,FALSE))=FALSE,"",IF(ISNUMBER(I50),VLOOKUP($A50,List!$A$1:$B$29,2,FALSE)))</f>
        <v/>
      </c>
      <c r="V50" s="13" t="str">
        <f>IF(IF(ISNUMBER(J50),VLOOKUP($A50,List!$A$1:$B$29,2,FALSE))=FALSE,"",IF(ISNUMBER(J50),VLOOKUP($A50,List!$A$1:$B$29,2,FALSE)))</f>
        <v/>
      </c>
      <c r="W50" s="13" t="str">
        <f>IF(IF(ISNUMBER(K50),VLOOKUP($A50,List!$A$1:$B$29,2,FALSE))=FALSE,"",IF(ISNUMBER(K50),VLOOKUP($A50,List!$A$1:$B$29,2,FALSE)))</f>
        <v/>
      </c>
      <c r="X50" s="13" t="str">
        <f>IF(IF(ISNUMBER(L50),VLOOKUP($A50,List!$A$1:$B$29,2,FALSE))=FALSE,"",IF(ISNUMBER(L50),VLOOKUP($A50,List!$A$1:$B$29,2,FALSE)))</f>
        <v/>
      </c>
      <c r="Y50" s="13" t="str">
        <f>IF(IF(ISNUMBER(M50),VLOOKUP($A50,List!$A$1:$B$29,2,FALSE))=FALSE,"",IF(ISNUMBER(M50),VLOOKUP($A50,List!$A$1:$B$29,2,FALSE)))</f>
        <v/>
      </c>
    </row>
    <row r="51" spans="1:25" ht="15" thickBot="1" x14ac:dyDescent="0.35">
      <c r="A51" s="4">
        <v>5</v>
      </c>
      <c r="B51" s="6">
        <v>0.56999999999999995</v>
      </c>
      <c r="C51" s="6" t="s">
        <v>79</v>
      </c>
      <c r="D51" s="6" t="s">
        <v>79</v>
      </c>
      <c r="E51" s="5" t="s">
        <v>79</v>
      </c>
      <c r="F51" s="6" t="s">
        <v>79</v>
      </c>
      <c r="G51" s="7" t="s">
        <v>79</v>
      </c>
      <c r="H51" s="7" t="s">
        <v>79</v>
      </c>
      <c r="I51" s="7" t="s">
        <v>79</v>
      </c>
      <c r="J51" s="7" t="s">
        <v>79</v>
      </c>
      <c r="K51" s="7" t="s">
        <v>79</v>
      </c>
      <c r="L51" s="7" t="s">
        <v>79</v>
      </c>
      <c r="M51" s="7" t="s">
        <v>79</v>
      </c>
      <c r="N51" s="13" t="str">
        <f>IF(IF(ISNUMBER(B51),VLOOKUP($A51,List!$A$1:$B$29,2,FALSE))=FALSE,"",IF(ISNUMBER(B51),VLOOKUP($A51,List!$A$1:$B$29,2,FALSE)))</f>
        <v>I am willing to pay a premium for a brand with a reputation for high quality</v>
      </c>
      <c r="O51" s="13" t="str">
        <f>IF(IF(ISNUMBER(C51),VLOOKUP($A51,List!$A$1:$B$29,2,FALSE))=FALSE,"",IF(ISNUMBER(C51),VLOOKUP($A51,List!$A$1:$B$29,2,FALSE)))</f>
        <v/>
      </c>
      <c r="P51" s="13" t="str">
        <f>IF(IF(ISNUMBER(D51),VLOOKUP($A51,List!$A$1:$B$29,2,FALSE))=FALSE,"",IF(ISNUMBER(D51),VLOOKUP($A51,List!$A$1:$B$29,2,FALSE)))</f>
        <v/>
      </c>
      <c r="Q51" s="14" t="str">
        <f>IF(IF(ISNUMBER(E51),VLOOKUP($A51,List!$A$1:$B$29,2,FALSE))=FALSE,"",IF(ISNUMBER(E51),VLOOKUP($A51,List!$A$1:$B$29,2,FALSE)))</f>
        <v/>
      </c>
      <c r="R51" s="13" t="str">
        <f>IF(IF(ISNUMBER(F51),VLOOKUP($A51,List!$A$1:$B$29,2,FALSE))=FALSE,"",IF(ISNUMBER(F51),VLOOKUP($A51,List!$A$1:$B$29,2,FALSE)))</f>
        <v/>
      </c>
      <c r="S51" s="13" t="str">
        <f>IF(IF(ISNUMBER(G51),VLOOKUP($A51,List!$A$1:$B$29,2,FALSE))=FALSE,"",IF(ISNUMBER(G51),VLOOKUP($A51,List!$A$1:$B$29,2,FALSE)))</f>
        <v/>
      </c>
      <c r="T51" s="13" t="str">
        <f>IF(IF(ISNUMBER(H51),VLOOKUP($A51,List!$A$1:$B$29,2,FALSE))=FALSE,"",IF(ISNUMBER(H51),VLOOKUP($A51,List!$A$1:$B$29,2,FALSE)))</f>
        <v/>
      </c>
      <c r="U51" s="13" t="str">
        <f>IF(IF(ISNUMBER(I51),VLOOKUP($A51,List!$A$1:$B$29,2,FALSE))=FALSE,"",IF(ISNUMBER(I51),VLOOKUP($A51,List!$A$1:$B$29,2,FALSE)))</f>
        <v/>
      </c>
      <c r="V51" s="13" t="str">
        <f>IF(IF(ISNUMBER(J51),VLOOKUP($A51,List!$A$1:$B$29,2,FALSE))=FALSE,"",IF(ISNUMBER(J51),VLOOKUP($A51,List!$A$1:$B$29,2,FALSE)))</f>
        <v/>
      </c>
      <c r="W51" s="13" t="str">
        <f>IF(IF(ISNUMBER(K51),VLOOKUP($A51,List!$A$1:$B$29,2,FALSE))=FALSE,"",IF(ISNUMBER(K51),VLOOKUP($A51,List!$A$1:$B$29,2,FALSE)))</f>
        <v/>
      </c>
      <c r="X51" s="13" t="str">
        <f>IF(IF(ISNUMBER(L51),VLOOKUP($A51,List!$A$1:$B$29,2,FALSE))=FALSE,"",IF(ISNUMBER(L51),VLOOKUP($A51,List!$A$1:$B$29,2,FALSE)))</f>
        <v/>
      </c>
      <c r="Y51" s="13" t="str">
        <f>IF(IF(ISNUMBER(M51),VLOOKUP($A51,List!$A$1:$B$29,2,FALSE))=FALSE,"",IF(ISNUMBER(M51),VLOOKUP($A51,List!$A$1:$B$29,2,FALSE)))</f>
        <v/>
      </c>
    </row>
    <row r="52" spans="1:25" ht="15" thickBot="1" x14ac:dyDescent="0.35">
      <c r="A52" s="4">
        <v>18</v>
      </c>
      <c r="B52" s="6">
        <v>0.55000000000000004</v>
      </c>
      <c r="C52" s="6" t="s">
        <v>79</v>
      </c>
      <c r="D52" s="6" t="s">
        <v>79</v>
      </c>
      <c r="E52" s="6" t="s">
        <v>79</v>
      </c>
      <c r="F52" s="5" t="s">
        <v>79</v>
      </c>
      <c r="G52" s="7" t="s">
        <v>79</v>
      </c>
      <c r="H52" s="7" t="s">
        <v>79</v>
      </c>
      <c r="I52" s="7" t="s">
        <v>79</v>
      </c>
      <c r="J52" s="7" t="s">
        <v>79</v>
      </c>
      <c r="K52" s="7" t="s">
        <v>79</v>
      </c>
      <c r="L52" s="7" t="s">
        <v>79</v>
      </c>
      <c r="M52" s="7" t="s">
        <v>79</v>
      </c>
      <c r="N52" s="13" t="str">
        <f>IF(IF(ISNUMBER(B52),VLOOKUP($A52,List!$A$1:$B$29,2,FALSE))=FALSE,"",IF(ISNUMBER(B52),VLOOKUP($A52,List!$A$1:$B$29,2,FALSE)))</f>
        <v>Boating gives me a feeling of adventure</v>
      </c>
      <c r="O52" s="13" t="str">
        <f>IF(IF(ISNUMBER(C52),VLOOKUP($A52,List!$A$1:$B$29,2,FALSE))=FALSE,"",IF(ISNUMBER(C52),VLOOKUP($A52,List!$A$1:$B$29,2,FALSE)))</f>
        <v/>
      </c>
      <c r="P52" s="13" t="str">
        <f>IF(IF(ISNUMBER(D52),VLOOKUP($A52,List!$A$1:$B$29,2,FALSE))=FALSE,"",IF(ISNUMBER(D52),VLOOKUP($A52,List!$A$1:$B$29,2,FALSE)))</f>
        <v/>
      </c>
      <c r="Q52" s="13" t="str">
        <f>IF(IF(ISNUMBER(E52),VLOOKUP($A52,List!$A$1:$B$29,2,FALSE))=FALSE,"",IF(ISNUMBER(E52),VLOOKUP($A52,List!$A$1:$B$29,2,FALSE)))</f>
        <v/>
      </c>
      <c r="R52" s="13" t="str">
        <f>IF(IF(ISNUMBER(F52),VLOOKUP($A52,List!$A$1:$B$29,2,FALSE))=FALSE,"",IF(ISNUMBER(F52),VLOOKUP($A52,List!$A$1:$B$29,2,FALSE)))</f>
        <v/>
      </c>
      <c r="S52" s="13" t="str">
        <f>IF(IF(ISNUMBER(G52),VLOOKUP($A52,List!$A$1:$B$29,2,FALSE))=FALSE,"",IF(ISNUMBER(G52),VLOOKUP($A52,List!$A$1:$B$29,2,FALSE)))</f>
        <v/>
      </c>
      <c r="T52" s="13" t="str">
        <f>IF(IF(ISNUMBER(H52),VLOOKUP($A52,List!$A$1:$B$29,2,FALSE))=FALSE,"",IF(ISNUMBER(H52),VLOOKUP($A52,List!$A$1:$B$29,2,FALSE)))</f>
        <v/>
      </c>
      <c r="U52" s="13" t="str">
        <f>IF(IF(ISNUMBER(I52),VLOOKUP($A52,List!$A$1:$B$29,2,FALSE))=FALSE,"",IF(ISNUMBER(I52),VLOOKUP($A52,List!$A$1:$B$29,2,FALSE)))</f>
        <v/>
      </c>
      <c r="V52" s="13" t="str">
        <f>IF(IF(ISNUMBER(J52),VLOOKUP($A52,List!$A$1:$B$29,2,FALSE))=FALSE,"",IF(ISNUMBER(J52),VLOOKUP($A52,List!$A$1:$B$29,2,FALSE)))</f>
        <v/>
      </c>
      <c r="W52" s="13" t="str">
        <f>IF(IF(ISNUMBER(K52),VLOOKUP($A52,List!$A$1:$B$29,2,FALSE))=FALSE,"",IF(ISNUMBER(K52),VLOOKUP($A52,List!$A$1:$B$29,2,FALSE)))</f>
        <v/>
      </c>
      <c r="X52" s="13" t="str">
        <f>IF(IF(ISNUMBER(L52),VLOOKUP($A52,List!$A$1:$B$29,2,FALSE))=FALSE,"",IF(ISNUMBER(L52),VLOOKUP($A52,List!$A$1:$B$29,2,FALSE)))</f>
        <v/>
      </c>
      <c r="Y52" s="13" t="str">
        <f>IF(IF(ISNUMBER(M52),VLOOKUP($A52,List!$A$1:$B$29,2,FALSE))=FALSE,"",IF(ISNUMBER(M52),VLOOKUP($A52,List!$A$1:$B$29,2,FALSE)))</f>
        <v/>
      </c>
    </row>
    <row r="53" spans="1:25" ht="15" thickBot="1" x14ac:dyDescent="0.35">
      <c r="A53" s="4">
        <v>24</v>
      </c>
      <c r="B53" s="6" t="s">
        <v>79</v>
      </c>
      <c r="C53" s="6" t="s">
        <v>79</v>
      </c>
      <c r="D53" s="6" t="s">
        <v>79</v>
      </c>
      <c r="E53" s="6" t="s">
        <v>79</v>
      </c>
      <c r="F53" s="6" t="s">
        <v>79</v>
      </c>
      <c r="G53" s="7" t="s">
        <v>79</v>
      </c>
      <c r="H53" s="7" t="s">
        <v>79</v>
      </c>
      <c r="I53" s="7" t="s">
        <v>79</v>
      </c>
      <c r="J53" s="7" t="s">
        <v>79</v>
      </c>
      <c r="K53" s="7" t="s">
        <v>79</v>
      </c>
      <c r="L53" s="7" t="s">
        <v>79</v>
      </c>
      <c r="M53" s="8" t="s">
        <v>79</v>
      </c>
      <c r="N53" s="13" t="str">
        <f>IF(IF(ISNUMBER(B53),VLOOKUP($A53,List!$A$1:$B$29,2,FALSE))=FALSE,"",IF(ISNUMBER(B53),VLOOKUP($A53,List!$A$1:$B$29,2,FALSE)))</f>
        <v/>
      </c>
      <c r="O53" s="13" t="str">
        <f>IF(IF(ISNUMBER(C53),VLOOKUP($A53,List!$A$1:$B$29,2,FALSE))=FALSE,"",IF(ISNUMBER(C53),VLOOKUP($A53,List!$A$1:$B$29,2,FALSE)))</f>
        <v/>
      </c>
      <c r="P53" s="13" t="str">
        <f>IF(IF(ISNUMBER(D53),VLOOKUP($A53,List!$A$1:$B$29,2,FALSE))=FALSE,"",IF(ISNUMBER(D53),VLOOKUP($A53,List!$A$1:$B$29,2,FALSE)))</f>
        <v/>
      </c>
      <c r="Q53" s="13" t="str">
        <f>IF(IF(ISNUMBER(E53),VLOOKUP($A53,List!$A$1:$B$29,2,FALSE))=FALSE,"",IF(ISNUMBER(E53),VLOOKUP($A53,List!$A$1:$B$29,2,FALSE)))</f>
        <v/>
      </c>
      <c r="R53" s="13" t="str">
        <f>IF(IF(ISNUMBER(F53),VLOOKUP($A53,List!$A$1:$B$29,2,FALSE))=FALSE,"",IF(ISNUMBER(F53),VLOOKUP($A53,List!$A$1:$B$29,2,FALSE)))</f>
        <v/>
      </c>
      <c r="S53" s="13" t="str">
        <f>IF(IF(ISNUMBER(G53),VLOOKUP($A53,List!$A$1:$B$29,2,FALSE))=FALSE,"",IF(ISNUMBER(G53),VLOOKUP($A53,List!$A$1:$B$29,2,FALSE)))</f>
        <v/>
      </c>
      <c r="T53" s="13" t="str">
        <f>IF(IF(ISNUMBER(H53),VLOOKUP($A53,List!$A$1:$B$29,2,FALSE))=FALSE,"",IF(ISNUMBER(H53),VLOOKUP($A53,List!$A$1:$B$29,2,FALSE)))</f>
        <v/>
      </c>
      <c r="U53" s="13" t="str">
        <f>IF(IF(ISNUMBER(I53),VLOOKUP($A53,List!$A$1:$B$29,2,FALSE))=FALSE,"",IF(ISNUMBER(I53),VLOOKUP($A53,List!$A$1:$B$29,2,FALSE)))</f>
        <v/>
      </c>
      <c r="V53" s="13" t="str">
        <f>IF(IF(ISNUMBER(J53),VLOOKUP($A53,List!$A$1:$B$29,2,FALSE))=FALSE,"",IF(ISNUMBER(J53),VLOOKUP($A53,List!$A$1:$B$29,2,FALSE)))</f>
        <v/>
      </c>
      <c r="W53" s="13" t="str">
        <f>IF(IF(ISNUMBER(K53),VLOOKUP($A53,List!$A$1:$B$29,2,FALSE))=FALSE,"",IF(ISNUMBER(K53),VLOOKUP($A53,List!$A$1:$B$29,2,FALSE)))</f>
        <v/>
      </c>
      <c r="X53" s="13" t="str">
        <f>IF(IF(ISNUMBER(L53),VLOOKUP($A53,List!$A$1:$B$29,2,FALSE))=FALSE,"",IF(ISNUMBER(L53),VLOOKUP($A53,List!$A$1:$B$29,2,FALSE)))</f>
        <v/>
      </c>
      <c r="Y53" s="13" t="str">
        <f>IF(IF(ISNUMBER(M53),VLOOKUP($A53,List!$A$1:$B$29,2,FALSE))=FALSE,"",IF(ISNUMBER(M53),VLOOKUP($A53,List!$A$1:$B$29,2,FALSE)))</f>
        <v/>
      </c>
    </row>
    <row r="54" spans="1:25" ht="15" thickBot="1" x14ac:dyDescent="0.35">
      <c r="A54" s="4">
        <v>21</v>
      </c>
      <c r="B54" s="6" t="s">
        <v>79</v>
      </c>
      <c r="C54" s="6">
        <v>0.55000000000000004</v>
      </c>
      <c r="D54" s="6" t="s">
        <v>79</v>
      </c>
      <c r="E54" s="6" t="s">
        <v>79</v>
      </c>
      <c r="F54" s="6" t="s">
        <v>79</v>
      </c>
      <c r="G54" s="8" t="s">
        <v>79</v>
      </c>
      <c r="H54" s="7" t="s">
        <v>79</v>
      </c>
      <c r="I54" s="7" t="s">
        <v>79</v>
      </c>
      <c r="J54" s="7" t="s">
        <v>79</v>
      </c>
      <c r="K54" s="7" t="s">
        <v>79</v>
      </c>
      <c r="L54" s="7" t="s">
        <v>79</v>
      </c>
      <c r="M54" s="7" t="s">
        <v>79</v>
      </c>
      <c r="N54" s="13" t="str">
        <f>IF(IF(ISNUMBER(B54),VLOOKUP($A54,List!$A$1:$B$29,2,FALSE))=FALSE,"",IF(ISNUMBER(B54),VLOOKUP($A54,List!$A$1:$B$29,2,FALSE)))</f>
        <v/>
      </c>
      <c r="O54" s="13" t="str">
        <f>IF(IF(ISNUMBER(C54),VLOOKUP($A54,List!$A$1:$B$29,2,FALSE))=FALSE,"",IF(ISNUMBER(C54),VLOOKUP($A54,List!$A$1:$B$29,2,FALSE)))</f>
        <v>Boating helps me escape from everyday life and relax</v>
      </c>
      <c r="P54" s="13" t="str">
        <f>IF(IF(ISNUMBER(D54),VLOOKUP($A54,List!$A$1:$B$29,2,FALSE))=FALSE,"",IF(ISNUMBER(D54),VLOOKUP($A54,List!$A$1:$B$29,2,FALSE)))</f>
        <v/>
      </c>
      <c r="Q54" s="13" t="str">
        <f>IF(IF(ISNUMBER(E54),VLOOKUP($A54,List!$A$1:$B$29,2,FALSE))=FALSE,"",IF(ISNUMBER(E54),VLOOKUP($A54,List!$A$1:$B$29,2,FALSE)))</f>
        <v/>
      </c>
      <c r="R54" s="13" t="str">
        <f>IF(IF(ISNUMBER(F54),VLOOKUP($A54,List!$A$1:$B$29,2,FALSE))=FALSE,"",IF(ISNUMBER(F54),VLOOKUP($A54,List!$A$1:$B$29,2,FALSE)))</f>
        <v/>
      </c>
      <c r="S54" s="13" t="str">
        <f>IF(IF(ISNUMBER(G54),VLOOKUP($A54,List!$A$1:$B$29,2,FALSE))=FALSE,"",IF(ISNUMBER(G54),VLOOKUP($A54,List!$A$1:$B$29,2,FALSE)))</f>
        <v/>
      </c>
      <c r="T54" s="13" t="str">
        <f>IF(IF(ISNUMBER(H54),VLOOKUP($A54,List!$A$1:$B$29,2,FALSE))=FALSE,"",IF(ISNUMBER(H54),VLOOKUP($A54,List!$A$1:$B$29,2,FALSE)))</f>
        <v/>
      </c>
      <c r="U54" s="13" t="str">
        <f>IF(IF(ISNUMBER(I54),VLOOKUP($A54,List!$A$1:$B$29,2,FALSE))=FALSE,"",IF(ISNUMBER(I54),VLOOKUP($A54,List!$A$1:$B$29,2,FALSE)))</f>
        <v/>
      </c>
      <c r="V54" s="13" t="str">
        <f>IF(IF(ISNUMBER(J54),VLOOKUP($A54,List!$A$1:$B$29,2,FALSE))=FALSE,"",IF(ISNUMBER(J54),VLOOKUP($A54,List!$A$1:$B$29,2,FALSE)))</f>
        <v/>
      </c>
      <c r="W54" s="13" t="str">
        <f>IF(IF(ISNUMBER(K54),VLOOKUP($A54,List!$A$1:$B$29,2,FALSE))=FALSE,"",IF(ISNUMBER(K54),VLOOKUP($A54,List!$A$1:$B$29,2,FALSE)))</f>
        <v/>
      </c>
      <c r="X54" s="13" t="str">
        <f>IF(IF(ISNUMBER(L54),VLOOKUP($A54,List!$A$1:$B$29,2,FALSE))=FALSE,"",IF(ISNUMBER(L54),VLOOKUP($A54,List!$A$1:$B$29,2,FALSE)))</f>
        <v/>
      </c>
      <c r="Y54" s="13" t="str">
        <f>IF(IF(ISNUMBER(M54),VLOOKUP($A54,List!$A$1:$B$29,2,FALSE))=FALSE,"",IF(ISNUMBER(M54),VLOOKUP($A54,List!$A$1:$B$29,2,FALSE)))</f>
        <v/>
      </c>
    </row>
    <row r="55" spans="1:25" ht="15" thickBot="1" x14ac:dyDescent="0.35">
      <c r="A55" s="4">
        <v>19</v>
      </c>
      <c r="B55" s="6" t="s">
        <v>79</v>
      </c>
      <c r="C55" s="6">
        <v>0.56000000000000005</v>
      </c>
      <c r="D55" s="5" t="s">
        <v>79</v>
      </c>
      <c r="E55" s="6" t="s">
        <v>79</v>
      </c>
      <c r="F55" s="6" t="s">
        <v>79</v>
      </c>
      <c r="G55" s="7" t="s">
        <v>79</v>
      </c>
      <c r="H55" s="7" t="s">
        <v>79</v>
      </c>
      <c r="I55" s="7" t="s">
        <v>79</v>
      </c>
      <c r="J55" s="7" t="s">
        <v>79</v>
      </c>
      <c r="K55" s="7" t="s">
        <v>79</v>
      </c>
      <c r="L55" s="7" t="s">
        <v>79</v>
      </c>
      <c r="M55" s="7" t="s">
        <v>79</v>
      </c>
      <c r="N55" s="13" t="str">
        <f>IF(IF(ISNUMBER(B55),VLOOKUP($A55,List!$A$1:$B$29,2,FALSE))=FALSE,"",IF(ISNUMBER(B55),VLOOKUP($A55,List!$A$1:$B$29,2,FALSE)))</f>
        <v/>
      </c>
      <c r="O55" s="13" t="str">
        <f>IF(IF(ISNUMBER(C55),VLOOKUP($A55,List!$A$1:$B$29,2,FALSE))=FALSE,"",IF(ISNUMBER(C55),VLOOKUP($A55,List!$A$1:$B$29,2,FALSE)))</f>
        <v>Boating allows me to experience nature</v>
      </c>
      <c r="P55" s="13" t="str">
        <f>IF(IF(ISNUMBER(D55),VLOOKUP($A55,List!$A$1:$B$29,2,FALSE))=FALSE,"",IF(ISNUMBER(D55),VLOOKUP($A55,List!$A$1:$B$29,2,FALSE)))</f>
        <v/>
      </c>
      <c r="Q55" s="13" t="str">
        <f>IF(IF(ISNUMBER(E55),VLOOKUP($A55,List!$A$1:$B$29,2,FALSE))=FALSE,"",IF(ISNUMBER(E55),VLOOKUP($A55,List!$A$1:$B$29,2,FALSE)))</f>
        <v/>
      </c>
      <c r="R55" s="13" t="str">
        <f>IF(IF(ISNUMBER(F55),VLOOKUP($A55,List!$A$1:$B$29,2,FALSE))=FALSE,"",IF(ISNUMBER(F55),VLOOKUP($A55,List!$A$1:$B$29,2,FALSE)))</f>
        <v/>
      </c>
      <c r="S55" s="13" t="str">
        <f>IF(IF(ISNUMBER(G55),VLOOKUP($A55,List!$A$1:$B$29,2,FALSE))=FALSE,"",IF(ISNUMBER(G55),VLOOKUP($A55,List!$A$1:$B$29,2,FALSE)))</f>
        <v/>
      </c>
      <c r="T55" s="13" t="str">
        <f>IF(IF(ISNUMBER(H55),VLOOKUP($A55,List!$A$1:$B$29,2,FALSE))=FALSE,"",IF(ISNUMBER(H55),VLOOKUP($A55,List!$A$1:$B$29,2,FALSE)))</f>
        <v/>
      </c>
      <c r="U55" s="13" t="str">
        <f>IF(IF(ISNUMBER(I55),VLOOKUP($A55,List!$A$1:$B$29,2,FALSE))=FALSE,"",IF(ISNUMBER(I55),VLOOKUP($A55,List!$A$1:$B$29,2,FALSE)))</f>
        <v/>
      </c>
      <c r="V55" s="13" t="str">
        <f>IF(IF(ISNUMBER(J55),VLOOKUP($A55,List!$A$1:$B$29,2,FALSE))=FALSE,"",IF(ISNUMBER(J55),VLOOKUP($A55,List!$A$1:$B$29,2,FALSE)))</f>
        <v/>
      </c>
      <c r="W55" s="13" t="str">
        <f>IF(IF(ISNUMBER(K55),VLOOKUP($A55,List!$A$1:$B$29,2,FALSE))=FALSE,"",IF(ISNUMBER(K55),VLOOKUP($A55,List!$A$1:$B$29,2,FALSE)))</f>
        <v/>
      </c>
      <c r="X55" s="13" t="str">
        <f>IF(IF(ISNUMBER(L55),VLOOKUP($A55,List!$A$1:$B$29,2,FALSE))=FALSE,"",IF(ISNUMBER(L55),VLOOKUP($A55,List!$A$1:$B$29,2,FALSE)))</f>
        <v/>
      </c>
      <c r="Y55" s="13" t="str">
        <f>IF(IF(ISNUMBER(M55),VLOOKUP($A55,List!$A$1:$B$29,2,FALSE))=FALSE,"",IF(ISNUMBER(M55),VLOOKUP($A55,List!$A$1:$B$29,2,FALSE)))</f>
        <v/>
      </c>
    </row>
    <row r="56" spans="1:25" ht="15" thickBot="1" x14ac:dyDescent="0.35">
      <c r="A56" s="4">
        <v>29</v>
      </c>
      <c r="B56" s="6" t="s">
        <v>79</v>
      </c>
      <c r="C56" s="6" t="s">
        <v>79</v>
      </c>
      <c r="D56" s="5" t="s">
        <v>79</v>
      </c>
      <c r="E56" s="6" t="s">
        <v>79</v>
      </c>
      <c r="F56" s="6" t="s">
        <v>79</v>
      </c>
      <c r="G56" s="7" t="s">
        <v>79</v>
      </c>
      <c r="H56" s="7" t="s">
        <v>79</v>
      </c>
      <c r="I56" s="7" t="s">
        <v>79</v>
      </c>
      <c r="J56" s="7">
        <v>0.62</v>
      </c>
      <c r="K56" s="7" t="s">
        <v>79</v>
      </c>
      <c r="L56" s="7" t="s">
        <v>79</v>
      </c>
      <c r="M56" s="7" t="s">
        <v>79</v>
      </c>
      <c r="N56" s="13" t="str">
        <f>IF(IF(ISNUMBER(B56),VLOOKUP($A56,List!$A$1:$B$29,2,FALSE))=FALSE,"",IF(ISNUMBER(B56),VLOOKUP($A56,List!$A$1:$B$29,2,FALSE)))</f>
        <v/>
      </c>
      <c r="O56" s="13" t="str">
        <f>IF(IF(ISNUMBER(C56),VLOOKUP($A56,List!$A$1:$B$29,2,FALSE))=FALSE,"",IF(ISNUMBER(C56),VLOOKUP($A56,List!$A$1:$B$29,2,FALSE)))</f>
        <v/>
      </c>
      <c r="P56" s="13" t="str">
        <f>IF(IF(ISNUMBER(D56),VLOOKUP($A56,List!$A$1:$B$29,2,FALSE))=FALSE,"",IF(ISNUMBER(D56),VLOOKUP($A56,List!$A$1:$B$29,2,FALSE)))</f>
        <v/>
      </c>
      <c r="Q56" s="13" t="str">
        <f>IF(IF(ISNUMBER(E56),VLOOKUP($A56,List!$A$1:$B$29,2,FALSE))=FALSE,"",IF(ISNUMBER(E56),VLOOKUP($A56,List!$A$1:$B$29,2,FALSE)))</f>
        <v/>
      </c>
      <c r="R56" s="13" t="str">
        <f>IF(IF(ISNUMBER(F56),VLOOKUP($A56,List!$A$1:$B$29,2,FALSE))=FALSE,"",IF(ISNUMBER(F56),VLOOKUP($A56,List!$A$1:$B$29,2,FALSE)))</f>
        <v/>
      </c>
      <c r="S56" s="13" t="str">
        <f>IF(IF(ISNUMBER(G56),VLOOKUP($A56,List!$A$1:$B$29,2,FALSE))=FALSE,"",IF(ISNUMBER(G56),VLOOKUP($A56,List!$A$1:$B$29,2,FALSE)))</f>
        <v/>
      </c>
      <c r="T56" s="13" t="str">
        <f>IF(IF(ISNUMBER(H56),VLOOKUP($A56,List!$A$1:$B$29,2,FALSE))=FALSE,"",IF(ISNUMBER(H56),VLOOKUP($A56,List!$A$1:$B$29,2,FALSE)))</f>
        <v/>
      </c>
      <c r="U56" s="13" t="str">
        <f>IF(IF(ISNUMBER(I56),VLOOKUP($A56,List!$A$1:$B$29,2,FALSE))=FALSE,"",IF(ISNUMBER(I56),VLOOKUP($A56,List!$A$1:$B$29,2,FALSE)))</f>
        <v/>
      </c>
      <c r="V56" s="13" t="str">
        <f>IF(IF(ISNUMBER(J56),VLOOKUP($A56,List!$A$1:$B$29,2,FALSE))=FALSE,"",IF(ISNUMBER(J56),VLOOKUP($A56,List!$A$1:$B$29,2,FALSE)))</f>
        <v>Boating is one of many things I do in my spare time</v>
      </c>
      <c r="W56" s="13" t="str">
        <f>IF(IF(ISNUMBER(K56),VLOOKUP($A56,List!$A$1:$B$29,2,FALSE))=FALSE,"",IF(ISNUMBER(K56),VLOOKUP($A56,List!$A$1:$B$29,2,FALSE)))</f>
        <v/>
      </c>
      <c r="X56" s="13" t="str">
        <f>IF(IF(ISNUMBER(L56),VLOOKUP($A56,List!$A$1:$B$29,2,FALSE))=FALSE,"",IF(ISNUMBER(L56),VLOOKUP($A56,List!$A$1:$B$29,2,FALSE)))</f>
        <v/>
      </c>
      <c r="Y56" s="13" t="str">
        <f>IF(IF(ISNUMBER(M56),VLOOKUP($A56,List!$A$1:$B$29,2,FALSE))=FALSE,"",IF(ISNUMBER(M56),VLOOKUP($A56,List!$A$1:$B$29,2,FALSE)))</f>
        <v/>
      </c>
    </row>
    <row r="57" spans="1:25" ht="15" thickBot="1" x14ac:dyDescent="0.35">
      <c r="A57" s="4">
        <v>4</v>
      </c>
      <c r="B57" s="6" t="s">
        <v>79</v>
      </c>
      <c r="C57" s="6" t="s">
        <v>79</v>
      </c>
      <c r="D57" s="6" t="s">
        <v>79</v>
      </c>
      <c r="E57" s="6" t="s">
        <v>79</v>
      </c>
      <c r="F57" s="6" t="s">
        <v>79</v>
      </c>
      <c r="G57" s="7" t="s">
        <v>79</v>
      </c>
      <c r="H57" s="7" t="s">
        <v>79</v>
      </c>
      <c r="I57" s="7" t="s">
        <v>79</v>
      </c>
      <c r="J57" s="7" t="s">
        <v>79</v>
      </c>
      <c r="K57" s="7" t="s">
        <v>79</v>
      </c>
      <c r="L57" s="8" t="s">
        <v>79</v>
      </c>
      <c r="M57" s="7" t="s">
        <v>79</v>
      </c>
      <c r="N57" s="13" t="str">
        <f>IF(IF(ISNUMBER(B57),VLOOKUP($A57,List!$A$1:$B$29,2,FALSE))=FALSE,"",IF(ISNUMBER(B57),VLOOKUP($A57,List!$A$1:$B$29,2,FALSE)))</f>
        <v/>
      </c>
      <c r="O57" s="13" t="str">
        <f>IF(IF(ISNUMBER(C57),VLOOKUP($A57,List!$A$1:$B$29,2,FALSE))=FALSE,"",IF(ISNUMBER(C57),VLOOKUP($A57,List!$A$1:$B$29,2,FALSE)))</f>
        <v/>
      </c>
      <c r="P57" s="13" t="str">
        <f>IF(IF(ISNUMBER(D57),VLOOKUP($A57,List!$A$1:$B$29,2,FALSE))=FALSE,"",IF(ISNUMBER(D57),VLOOKUP($A57,List!$A$1:$B$29,2,FALSE)))</f>
        <v/>
      </c>
      <c r="Q57" s="13" t="str">
        <f>IF(IF(ISNUMBER(E57),VLOOKUP($A57,List!$A$1:$B$29,2,FALSE))=FALSE,"",IF(ISNUMBER(E57),VLOOKUP($A57,List!$A$1:$B$29,2,FALSE)))</f>
        <v/>
      </c>
      <c r="R57" s="13" t="str">
        <f>IF(IF(ISNUMBER(F57),VLOOKUP($A57,List!$A$1:$B$29,2,FALSE))=FALSE,"",IF(ISNUMBER(F57),VLOOKUP($A57,List!$A$1:$B$29,2,FALSE)))</f>
        <v/>
      </c>
      <c r="S57" s="13" t="str">
        <f>IF(IF(ISNUMBER(G57),VLOOKUP($A57,List!$A$1:$B$29,2,FALSE))=FALSE,"",IF(ISNUMBER(G57),VLOOKUP($A57,List!$A$1:$B$29,2,FALSE)))</f>
        <v/>
      </c>
      <c r="T57" s="13" t="str">
        <f>IF(IF(ISNUMBER(H57),VLOOKUP($A57,List!$A$1:$B$29,2,FALSE))=FALSE,"",IF(ISNUMBER(H57),VLOOKUP($A57,List!$A$1:$B$29,2,FALSE)))</f>
        <v/>
      </c>
      <c r="U57" s="13" t="str">
        <f>IF(IF(ISNUMBER(I57),VLOOKUP($A57,List!$A$1:$B$29,2,FALSE))=FALSE,"",IF(ISNUMBER(I57),VLOOKUP($A57,List!$A$1:$B$29,2,FALSE)))</f>
        <v/>
      </c>
      <c r="V57" s="13" t="str">
        <f>IF(IF(ISNUMBER(J57),VLOOKUP($A57,List!$A$1:$B$29,2,FALSE))=FALSE,"",IF(ISNUMBER(J57),VLOOKUP($A57,List!$A$1:$B$29,2,FALSE)))</f>
        <v/>
      </c>
      <c r="W57" s="13" t="str">
        <f>IF(IF(ISNUMBER(K57),VLOOKUP($A57,List!$A$1:$B$29,2,FALSE))=FALSE,"",IF(ISNUMBER(K57),VLOOKUP($A57,List!$A$1:$B$29,2,FALSE)))</f>
        <v/>
      </c>
      <c r="X57" s="13" t="str">
        <f>IF(IF(ISNUMBER(L57),VLOOKUP($A57,List!$A$1:$B$29,2,FALSE))=FALSE,"",IF(ISNUMBER(L57),VLOOKUP($A57,List!$A$1:$B$29,2,FALSE)))</f>
        <v/>
      </c>
      <c r="Y57" s="13" t="str">
        <f>IF(IF(ISNUMBER(M57),VLOOKUP($A57,List!$A$1:$B$29,2,FALSE))=FALSE,"",IF(ISNUMBER(M57),VLOOKUP($A57,List!$A$1:$B$29,2,FALSE)))</f>
        <v/>
      </c>
    </row>
    <row r="58" spans="1:25" ht="15" thickBot="1" x14ac:dyDescent="0.35">
      <c r="A58" s="4">
        <v>1</v>
      </c>
      <c r="B58" s="6" t="s">
        <v>79</v>
      </c>
      <c r="C58" s="6" t="s">
        <v>79</v>
      </c>
      <c r="D58" s="6" t="s">
        <v>79</v>
      </c>
      <c r="E58" s="6" t="s">
        <v>79</v>
      </c>
      <c r="F58" s="6" t="s">
        <v>79</v>
      </c>
      <c r="G58" s="7" t="s">
        <v>79</v>
      </c>
      <c r="H58" s="7">
        <v>-0.57999999999999996</v>
      </c>
      <c r="I58" s="7" t="s">
        <v>79</v>
      </c>
      <c r="J58" s="7" t="s">
        <v>79</v>
      </c>
      <c r="K58" s="8" t="s">
        <v>79</v>
      </c>
      <c r="L58" s="7" t="s">
        <v>79</v>
      </c>
      <c r="M58" s="7" t="s">
        <v>79</v>
      </c>
      <c r="N58" s="13" t="str">
        <f>IF(IF(ISNUMBER(B58),VLOOKUP($A58,List!$A$1:$B$29,2,FALSE))=FALSE,"",IF(ISNUMBER(B58),VLOOKUP($A58,List!$A$1:$B$29,2,FALSE)))</f>
        <v/>
      </c>
      <c r="O58" s="13" t="str">
        <f>IF(IF(ISNUMBER(C58),VLOOKUP($A58,List!$A$1:$B$29,2,FALSE))=FALSE,"",IF(ISNUMBER(C58),VLOOKUP($A58,List!$A$1:$B$29,2,FALSE)))</f>
        <v/>
      </c>
      <c r="P58" s="13" t="str">
        <f>IF(IF(ISNUMBER(D58),VLOOKUP($A58,List!$A$1:$B$29,2,FALSE))=FALSE,"",IF(ISNUMBER(D58),VLOOKUP($A58,List!$A$1:$B$29,2,FALSE)))</f>
        <v/>
      </c>
      <c r="Q58" s="13" t="str">
        <f>IF(IF(ISNUMBER(E58),VLOOKUP($A58,List!$A$1:$B$29,2,FALSE))=FALSE,"",IF(ISNUMBER(E58),VLOOKUP($A58,List!$A$1:$B$29,2,FALSE)))</f>
        <v/>
      </c>
      <c r="R58" s="13" t="str">
        <f>IF(IF(ISNUMBER(F58),VLOOKUP($A58,List!$A$1:$B$29,2,FALSE))=FALSE,"",IF(ISNUMBER(F58),VLOOKUP($A58,List!$A$1:$B$29,2,FALSE)))</f>
        <v/>
      </c>
      <c r="S58" s="13" t="str">
        <f>IF(IF(ISNUMBER(G58),VLOOKUP($A58,List!$A$1:$B$29,2,FALSE))=FALSE,"",IF(ISNUMBER(G58),VLOOKUP($A58,List!$A$1:$B$29,2,FALSE)))</f>
        <v/>
      </c>
      <c r="T58" s="13" t="str">
        <f>IF(IF(ISNUMBER(H58),VLOOKUP($A58,List!$A$1:$B$29,2,FALSE))=FALSE,"",IF(ISNUMBER(H58),VLOOKUP($A58,List!$A$1:$B$29,2,FALSE)))</f>
        <v>When buying a boat, I do a lot of shopping around and visit multiple dealers</v>
      </c>
      <c r="U58" s="13" t="str">
        <f>IF(IF(ISNUMBER(I58),VLOOKUP($A58,List!$A$1:$B$29,2,FALSE))=FALSE,"",IF(ISNUMBER(I58),VLOOKUP($A58,List!$A$1:$B$29,2,FALSE)))</f>
        <v/>
      </c>
      <c r="V58" s="13" t="str">
        <f>IF(IF(ISNUMBER(J58),VLOOKUP($A58,List!$A$1:$B$29,2,FALSE))=FALSE,"",IF(ISNUMBER(J58),VLOOKUP($A58,List!$A$1:$B$29,2,FALSE)))</f>
        <v/>
      </c>
      <c r="W58" s="13" t="str">
        <f>IF(IF(ISNUMBER(K58),VLOOKUP($A58,List!$A$1:$B$29,2,FALSE))=FALSE,"",IF(ISNUMBER(K58),VLOOKUP($A58,List!$A$1:$B$29,2,FALSE)))</f>
        <v/>
      </c>
      <c r="X58" s="13" t="str">
        <f>IF(IF(ISNUMBER(L58),VLOOKUP($A58,List!$A$1:$B$29,2,FALSE))=FALSE,"",IF(ISNUMBER(L58),VLOOKUP($A58,List!$A$1:$B$29,2,FALSE)))</f>
        <v/>
      </c>
      <c r="Y58" s="13" t="str">
        <f>IF(IF(ISNUMBER(M58),VLOOKUP($A58,List!$A$1:$B$29,2,FALSE))=FALSE,"",IF(ISNUMBER(M58),VLOOKUP($A58,List!$A$1:$B$29,2,FALSE)))</f>
        <v/>
      </c>
    </row>
    <row r="59" spans="1:25" ht="15" thickBot="1" x14ac:dyDescent="0.35">
      <c r="A59" s="4">
        <v>11</v>
      </c>
      <c r="B59" s="6" t="s">
        <v>79</v>
      </c>
      <c r="C59" s="6" t="s">
        <v>79</v>
      </c>
      <c r="D59" s="6" t="s">
        <v>79</v>
      </c>
      <c r="E59" s="6">
        <v>-0.51</v>
      </c>
      <c r="F59" s="6" t="s">
        <v>79</v>
      </c>
      <c r="G59" s="7" t="s">
        <v>79</v>
      </c>
      <c r="H59" s="8" t="s">
        <v>79</v>
      </c>
      <c r="I59" s="7" t="s">
        <v>79</v>
      </c>
      <c r="J59" s="7" t="s">
        <v>79</v>
      </c>
      <c r="K59" s="7" t="s">
        <v>79</v>
      </c>
      <c r="L59" s="7" t="s">
        <v>79</v>
      </c>
      <c r="M59" s="7" t="s">
        <v>79</v>
      </c>
      <c r="N59" s="13" t="str">
        <f>IF(IF(ISNUMBER(B59),VLOOKUP($A59,List!$A$1:$B$29,2,FALSE))=FALSE,"",IF(ISNUMBER(B59),VLOOKUP($A59,List!$A$1:$B$29,2,FALSE)))</f>
        <v/>
      </c>
      <c r="O59" s="13" t="str">
        <f>IF(IF(ISNUMBER(C59),VLOOKUP($A59,List!$A$1:$B$29,2,FALSE))=FALSE,"",IF(ISNUMBER(C59),VLOOKUP($A59,List!$A$1:$B$29,2,FALSE)))</f>
        <v/>
      </c>
      <c r="P59" s="13" t="str">
        <f>IF(IF(ISNUMBER(D59),VLOOKUP($A59,List!$A$1:$B$29,2,FALSE))=FALSE,"",IF(ISNUMBER(D59),VLOOKUP($A59,List!$A$1:$B$29,2,FALSE)))</f>
        <v/>
      </c>
      <c r="Q59" s="13" t="str">
        <f>IF(IF(ISNUMBER(E59),VLOOKUP($A59,List!$A$1:$B$29,2,FALSE))=FALSE,"",IF(ISNUMBER(E59),VLOOKUP($A59,List!$A$1:$B$29,2,FALSE)))</f>
        <v>I tend to perform minor boat repairs and maintenance on my own</v>
      </c>
      <c r="R59" s="13" t="str">
        <f>IF(IF(ISNUMBER(F59),VLOOKUP($A59,List!$A$1:$B$29,2,FALSE))=FALSE,"",IF(ISNUMBER(F59),VLOOKUP($A59,List!$A$1:$B$29,2,FALSE)))</f>
        <v/>
      </c>
      <c r="S59" s="13" t="str">
        <f>IF(IF(ISNUMBER(G59),VLOOKUP($A59,List!$A$1:$B$29,2,FALSE))=FALSE,"",IF(ISNUMBER(G59),VLOOKUP($A59,List!$A$1:$B$29,2,FALSE)))</f>
        <v/>
      </c>
      <c r="T59" s="13" t="str">
        <f>IF(IF(ISNUMBER(H59),VLOOKUP($A59,List!$A$1:$B$29,2,FALSE))=FALSE,"",IF(ISNUMBER(H59),VLOOKUP($A59,List!$A$1:$B$29,2,FALSE)))</f>
        <v/>
      </c>
      <c r="U59" s="13" t="str">
        <f>IF(IF(ISNUMBER(I59),VLOOKUP($A59,List!$A$1:$B$29,2,FALSE))=FALSE,"",IF(ISNUMBER(I59),VLOOKUP($A59,List!$A$1:$B$29,2,FALSE)))</f>
        <v/>
      </c>
      <c r="V59" s="13" t="str">
        <f>IF(IF(ISNUMBER(J59),VLOOKUP($A59,List!$A$1:$B$29,2,FALSE))=FALSE,"",IF(ISNUMBER(J59),VLOOKUP($A59,List!$A$1:$B$29,2,FALSE)))</f>
        <v/>
      </c>
      <c r="W59" s="13" t="str">
        <f>IF(IF(ISNUMBER(K59),VLOOKUP($A59,List!$A$1:$B$29,2,FALSE))=FALSE,"",IF(ISNUMBER(K59),VLOOKUP($A59,List!$A$1:$B$29,2,FALSE)))</f>
        <v/>
      </c>
      <c r="X59" s="13" t="str">
        <f>IF(IF(ISNUMBER(L59),VLOOKUP($A59,List!$A$1:$B$29,2,FALSE))=FALSE,"",IF(ISNUMBER(L59),VLOOKUP($A59,List!$A$1:$B$29,2,FALSE)))</f>
        <v/>
      </c>
      <c r="Y59" s="13" t="str">
        <f>IF(IF(ISNUMBER(M59),VLOOKUP($A59,List!$A$1:$B$29,2,FALSE))=FALSE,"",IF(ISNUMBER(M59),VLOOKUP($A59,List!$A$1:$B$29,2,FALSE)))</f>
        <v/>
      </c>
    </row>
    <row r="60" spans="1:25" ht="15" thickBot="1" x14ac:dyDescent="0.35">
      <c r="A60" s="4">
        <v>10</v>
      </c>
      <c r="B60" s="6" t="s">
        <v>79</v>
      </c>
      <c r="C60" s="6" t="s">
        <v>79</v>
      </c>
      <c r="D60" s="5" t="s">
        <v>79</v>
      </c>
      <c r="E60" s="6">
        <v>0.62</v>
      </c>
      <c r="F60" s="6" t="s">
        <v>79</v>
      </c>
      <c r="G60" s="7" t="s">
        <v>79</v>
      </c>
      <c r="H60" s="7" t="s">
        <v>79</v>
      </c>
      <c r="I60" s="7" t="s">
        <v>79</v>
      </c>
      <c r="J60" s="7" t="s">
        <v>79</v>
      </c>
      <c r="K60" s="7" t="s">
        <v>79</v>
      </c>
      <c r="L60" s="7" t="s">
        <v>79</v>
      </c>
      <c r="M60" s="7" t="s">
        <v>79</v>
      </c>
      <c r="N60" s="13" t="str">
        <f>IF(IF(ISNUMBER(B60),VLOOKUP($A60,List!$A$1:$B$29,2,FALSE))=FALSE,"",IF(ISNUMBER(B60),VLOOKUP($A60,List!$A$1:$B$29,2,FALSE)))</f>
        <v/>
      </c>
      <c r="O60" s="13" t="str">
        <f>IF(IF(ISNUMBER(C60),VLOOKUP($A60,List!$A$1:$B$29,2,FALSE))=FALSE,"",IF(ISNUMBER(C60),VLOOKUP($A60,List!$A$1:$B$29,2,FALSE)))</f>
        <v/>
      </c>
      <c r="P60" s="13" t="str">
        <f>IF(IF(ISNUMBER(D60),VLOOKUP($A60,List!$A$1:$B$29,2,FALSE))=FALSE,"",IF(ISNUMBER(D60),VLOOKUP($A60,List!$A$1:$B$29,2,FALSE)))</f>
        <v/>
      </c>
      <c r="Q60" s="13" t="str">
        <f>IF(IF(ISNUMBER(E60),VLOOKUP($A60,List!$A$1:$B$29,2,FALSE))=FALSE,"",IF(ISNUMBER(E60),VLOOKUP($A60,List!$A$1:$B$29,2,FALSE)))</f>
        <v>When buying a boat, I rely more on expert opinion than my own</v>
      </c>
      <c r="R60" s="13" t="str">
        <f>IF(IF(ISNUMBER(F60),VLOOKUP($A60,List!$A$1:$B$29,2,FALSE))=FALSE,"",IF(ISNUMBER(F60),VLOOKUP($A60,List!$A$1:$B$29,2,FALSE)))</f>
        <v/>
      </c>
      <c r="S60" s="13" t="str">
        <f>IF(IF(ISNUMBER(G60),VLOOKUP($A60,List!$A$1:$B$29,2,FALSE))=FALSE,"",IF(ISNUMBER(G60),VLOOKUP($A60,List!$A$1:$B$29,2,FALSE)))</f>
        <v/>
      </c>
      <c r="T60" s="13" t="str">
        <f>IF(IF(ISNUMBER(H60),VLOOKUP($A60,List!$A$1:$B$29,2,FALSE))=FALSE,"",IF(ISNUMBER(H60),VLOOKUP($A60,List!$A$1:$B$29,2,FALSE)))</f>
        <v/>
      </c>
      <c r="U60" s="13" t="str">
        <f>IF(IF(ISNUMBER(I60),VLOOKUP($A60,List!$A$1:$B$29,2,FALSE))=FALSE,"",IF(ISNUMBER(I60),VLOOKUP($A60,List!$A$1:$B$29,2,FALSE)))</f>
        <v/>
      </c>
      <c r="V60" s="13" t="str">
        <f>IF(IF(ISNUMBER(J60),VLOOKUP($A60,List!$A$1:$B$29,2,FALSE))=FALSE,"",IF(ISNUMBER(J60),VLOOKUP($A60,List!$A$1:$B$29,2,FALSE)))</f>
        <v/>
      </c>
      <c r="W60" s="13" t="str">
        <f>IF(IF(ISNUMBER(K60),VLOOKUP($A60,List!$A$1:$B$29,2,FALSE))=FALSE,"",IF(ISNUMBER(K60),VLOOKUP($A60,List!$A$1:$B$29,2,FALSE)))</f>
        <v/>
      </c>
      <c r="X60" s="13" t="str">
        <f>IF(IF(ISNUMBER(L60),VLOOKUP($A60,List!$A$1:$B$29,2,FALSE))=FALSE,"",IF(ISNUMBER(L60),VLOOKUP($A60,List!$A$1:$B$29,2,FALSE)))</f>
        <v/>
      </c>
      <c r="Y60" s="13" t="str">
        <f>IF(IF(ISNUMBER(M60),VLOOKUP($A60,List!$A$1:$B$29,2,FALSE))=FALSE,"",IF(ISNUMBER(M60),VLOOKUP($A60,List!$A$1:$B$29,2,FALSE)))</f>
        <v/>
      </c>
    </row>
    <row r="61" spans="1:25" ht="15" thickBot="1" x14ac:dyDescent="0.35">
      <c r="A61" s="4">
        <v>8</v>
      </c>
      <c r="B61" s="6" t="s">
        <v>79</v>
      </c>
      <c r="C61" s="6" t="s">
        <v>79</v>
      </c>
      <c r="D61" s="6">
        <v>0.56000000000000005</v>
      </c>
      <c r="E61" s="6" t="s">
        <v>79</v>
      </c>
      <c r="F61" s="6" t="s">
        <v>79</v>
      </c>
      <c r="G61" s="7" t="s">
        <v>79</v>
      </c>
      <c r="H61" s="7" t="s">
        <v>79</v>
      </c>
      <c r="I61" s="7" t="s">
        <v>79</v>
      </c>
      <c r="J61" s="8" t="s">
        <v>79</v>
      </c>
      <c r="K61" s="7" t="s">
        <v>79</v>
      </c>
      <c r="L61" s="7" t="s">
        <v>79</v>
      </c>
      <c r="M61" s="7" t="s">
        <v>79</v>
      </c>
      <c r="N61" s="13" t="str">
        <f>IF(IF(ISNUMBER(B61),VLOOKUP($A61,List!$A$1:$B$29,2,FALSE))=FALSE,"",IF(ISNUMBER(B61),VLOOKUP($A61,List!$A$1:$B$29,2,FALSE)))</f>
        <v/>
      </c>
      <c r="O61" s="13" t="str">
        <f>IF(IF(ISNUMBER(C61),VLOOKUP($A61,List!$A$1:$B$29,2,FALSE))=FALSE,"",IF(ISNUMBER(C61),VLOOKUP($A61,List!$A$1:$B$29,2,FALSE)))</f>
        <v/>
      </c>
      <c r="P61" s="13" t="str">
        <f>IF(IF(ISNUMBER(D61),VLOOKUP($A61,List!$A$1:$B$29,2,FALSE))=FALSE,"",IF(ISNUMBER(D61),VLOOKUP($A61,List!$A$1:$B$29,2,FALSE)))</f>
        <v>When buying a boat, functionality is more important than style</v>
      </c>
      <c r="Q61" s="13" t="str">
        <f>IF(IF(ISNUMBER(E61),VLOOKUP($A61,List!$A$1:$B$29,2,FALSE))=FALSE,"",IF(ISNUMBER(E61),VLOOKUP($A61,List!$A$1:$B$29,2,FALSE)))</f>
        <v/>
      </c>
      <c r="R61" s="13" t="str">
        <f>IF(IF(ISNUMBER(F61),VLOOKUP($A61,List!$A$1:$B$29,2,FALSE))=FALSE,"",IF(ISNUMBER(F61),VLOOKUP($A61,List!$A$1:$B$29,2,FALSE)))</f>
        <v/>
      </c>
      <c r="S61" s="13" t="str">
        <f>IF(IF(ISNUMBER(G61),VLOOKUP($A61,List!$A$1:$B$29,2,FALSE))=FALSE,"",IF(ISNUMBER(G61),VLOOKUP($A61,List!$A$1:$B$29,2,FALSE)))</f>
        <v/>
      </c>
      <c r="T61" s="13" t="str">
        <f>IF(IF(ISNUMBER(H61),VLOOKUP($A61,List!$A$1:$B$29,2,FALSE))=FALSE,"",IF(ISNUMBER(H61),VLOOKUP($A61,List!$A$1:$B$29,2,FALSE)))</f>
        <v/>
      </c>
      <c r="U61" s="13" t="str">
        <f>IF(IF(ISNUMBER(I61),VLOOKUP($A61,List!$A$1:$B$29,2,FALSE))=FALSE,"",IF(ISNUMBER(I61),VLOOKUP($A61,List!$A$1:$B$29,2,FALSE)))</f>
        <v/>
      </c>
      <c r="V61" s="13" t="str">
        <f>IF(IF(ISNUMBER(J61),VLOOKUP($A61,List!$A$1:$B$29,2,FALSE))=FALSE,"",IF(ISNUMBER(J61),VLOOKUP($A61,List!$A$1:$B$29,2,FALSE)))</f>
        <v/>
      </c>
      <c r="W61" s="13" t="str">
        <f>IF(IF(ISNUMBER(K61),VLOOKUP($A61,List!$A$1:$B$29,2,FALSE))=FALSE,"",IF(ISNUMBER(K61),VLOOKUP($A61,List!$A$1:$B$29,2,FALSE)))</f>
        <v/>
      </c>
      <c r="X61" s="13" t="str">
        <f>IF(IF(ISNUMBER(L61),VLOOKUP($A61,List!$A$1:$B$29,2,FALSE))=FALSE,"",IF(ISNUMBER(L61),VLOOKUP($A61,List!$A$1:$B$29,2,FALSE)))</f>
        <v/>
      </c>
      <c r="Y61" s="13" t="str">
        <f>IF(IF(ISNUMBER(M61),VLOOKUP($A61,List!$A$1:$B$29,2,FALSE))=FALSE,"",IF(ISNUMBER(M61),VLOOKUP($A61,List!$A$1:$B$29,2,FALSE)))</f>
        <v/>
      </c>
    </row>
    <row r="62" spans="1:25" ht="15" thickBot="1" x14ac:dyDescent="0.35">
      <c r="A62" s="4">
        <v>2</v>
      </c>
      <c r="B62" s="6" t="s">
        <v>79</v>
      </c>
      <c r="C62" s="6" t="s">
        <v>79</v>
      </c>
      <c r="D62" s="6">
        <v>0.63</v>
      </c>
      <c r="E62" s="6" t="s">
        <v>79</v>
      </c>
      <c r="F62" s="5" t="s">
        <v>79</v>
      </c>
      <c r="G62" s="7" t="s">
        <v>79</v>
      </c>
      <c r="H62" s="7" t="s">
        <v>79</v>
      </c>
      <c r="I62" s="7" t="s">
        <v>79</v>
      </c>
      <c r="J62" s="7" t="s">
        <v>79</v>
      </c>
      <c r="K62" s="7" t="s">
        <v>79</v>
      </c>
      <c r="L62" s="7" t="s">
        <v>79</v>
      </c>
      <c r="M62" s="7" t="s">
        <v>79</v>
      </c>
      <c r="N62" s="13" t="str">
        <f>IF(IF(ISNUMBER(B62),VLOOKUP($A62,List!$A$1:$B$29,2,FALSE))=FALSE,"",IF(ISNUMBER(B62),VLOOKUP($A62,List!$A$1:$B$29,2,FALSE)))</f>
        <v/>
      </c>
      <c r="O62" s="13" t="str">
        <f>IF(IF(ISNUMBER(C62),VLOOKUP($A62,List!$A$1:$B$29,2,FALSE))=FALSE,"",IF(ISNUMBER(C62),VLOOKUP($A62,List!$A$1:$B$29,2,FALSE)))</f>
        <v/>
      </c>
      <c r="P62" s="13" t="str">
        <f>IF(IF(ISNUMBER(D62),VLOOKUP($A62,List!$A$1:$B$29,2,FALSE))=FALSE,"",IF(ISNUMBER(D62),VLOOKUP($A62,List!$A$1:$B$29,2,FALSE)))</f>
        <v>When buying a bot, getting the lowest P is more important than brand</v>
      </c>
      <c r="Q62" s="13" t="str">
        <f>IF(IF(ISNUMBER(E62),VLOOKUP($A62,List!$A$1:$B$29,2,FALSE))=FALSE,"",IF(ISNUMBER(E62),VLOOKUP($A62,List!$A$1:$B$29,2,FALSE)))</f>
        <v/>
      </c>
      <c r="R62" s="13" t="str">
        <f>IF(IF(ISNUMBER(F62),VLOOKUP($A62,List!$A$1:$B$29,2,FALSE))=FALSE,"",IF(ISNUMBER(F62),VLOOKUP($A62,List!$A$1:$B$29,2,FALSE)))</f>
        <v/>
      </c>
      <c r="S62" s="13" t="str">
        <f>IF(IF(ISNUMBER(G62),VLOOKUP($A62,List!$A$1:$B$29,2,FALSE))=FALSE,"",IF(ISNUMBER(G62),VLOOKUP($A62,List!$A$1:$B$29,2,FALSE)))</f>
        <v/>
      </c>
      <c r="T62" s="13" t="str">
        <f>IF(IF(ISNUMBER(H62),VLOOKUP($A62,List!$A$1:$B$29,2,FALSE))=FALSE,"",IF(ISNUMBER(H62),VLOOKUP($A62,List!$A$1:$B$29,2,FALSE)))</f>
        <v/>
      </c>
      <c r="U62" s="13" t="str">
        <f>IF(IF(ISNUMBER(I62),VLOOKUP($A62,List!$A$1:$B$29,2,FALSE))=FALSE,"",IF(ISNUMBER(I62),VLOOKUP($A62,List!$A$1:$B$29,2,FALSE)))</f>
        <v/>
      </c>
      <c r="V62" s="13" t="str">
        <f>IF(IF(ISNUMBER(J62),VLOOKUP($A62,List!$A$1:$B$29,2,FALSE))=FALSE,"",IF(ISNUMBER(J62),VLOOKUP($A62,List!$A$1:$B$29,2,FALSE)))</f>
        <v/>
      </c>
      <c r="W62" s="13" t="str">
        <f>IF(IF(ISNUMBER(K62),VLOOKUP($A62,List!$A$1:$B$29,2,FALSE))=FALSE,"",IF(ISNUMBER(K62),VLOOKUP($A62,List!$A$1:$B$29,2,FALSE)))</f>
        <v/>
      </c>
      <c r="X62" s="13" t="str">
        <f>IF(IF(ISNUMBER(L62),VLOOKUP($A62,List!$A$1:$B$29,2,FALSE))=FALSE,"",IF(ISNUMBER(L62),VLOOKUP($A62,List!$A$1:$B$29,2,FALSE)))</f>
        <v/>
      </c>
      <c r="Y62" s="13" t="str">
        <f>IF(IF(ISNUMBER(M62),VLOOKUP($A62,List!$A$1:$B$29,2,FALSE))=FALSE,"",IF(ISNUMBER(M62),VLOOKUP($A62,List!$A$1:$B$29,2,FALSE)))</f>
        <v/>
      </c>
    </row>
    <row r="63" spans="1:25" ht="15" thickBot="1" x14ac:dyDescent="0.35">
      <c r="A63" s="4">
        <v>12</v>
      </c>
      <c r="B63" s="6" t="s">
        <v>79</v>
      </c>
      <c r="C63" s="6" t="s">
        <v>79</v>
      </c>
      <c r="D63" s="6">
        <v>0.67</v>
      </c>
      <c r="E63" s="6" t="s">
        <v>79</v>
      </c>
      <c r="F63" s="6" t="s">
        <v>79</v>
      </c>
      <c r="G63" s="7" t="s">
        <v>79</v>
      </c>
      <c r="H63" s="7" t="s">
        <v>79</v>
      </c>
      <c r="I63" s="8" t="s">
        <v>79</v>
      </c>
      <c r="J63" s="7" t="s">
        <v>79</v>
      </c>
      <c r="K63" s="7" t="s">
        <v>79</v>
      </c>
      <c r="L63" s="7" t="s">
        <v>79</v>
      </c>
      <c r="M63" s="7" t="s">
        <v>79</v>
      </c>
      <c r="N63" s="13" t="str">
        <f>IF(IF(ISNUMBER(B63),VLOOKUP($A63,List!$A$1:$B$29,2,FALSE))=FALSE,"",IF(ISNUMBER(B63),VLOOKUP($A63,List!$A$1:$B$29,2,FALSE)))</f>
        <v/>
      </c>
      <c r="O63" s="13" t="str">
        <f>IF(IF(ISNUMBER(C63),VLOOKUP($A63,List!$A$1:$B$29,2,FALSE))=FALSE,"",IF(ISNUMBER(C63),VLOOKUP($A63,List!$A$1:$B$29,2,FALSE)))</f>
        <v/>
      </c>
      <c r="P63" s="13" t="str">
        <f>IF(IF(ISNUMBER(D63),VLOOKUP($A63,List!$A$1:$B$29,2,FALSE))=FALSE,"",IF(ISNUMBER(D63),VLOOKUP($A63,List!$A$1:$B$29,2,FALSE)))</f>
        <v>When it comes to boating, I tend to prefer a basic boat with little to no frills</v>
      </c>
      <c r="Q63" s="13" t="str">
        <f>IF(IF(ISNUMBER(E63),VLOOKUP($A63,List!$A$1:$B$29,2,FALSE))=FALSE,"",IF(ISNUMBER(E63),VLOOKUP($A63,List!$A$1:$B$29,2,FALSE)))</f>
        <v/>
      </c>
      <c r="R63" s="13" t="str">
        <f>IF(IF(ISNUMBER(F63),VLOOKUP($A63,List!$A$1:$B$29,2,FALSE))=FALSE,"",IF(ISNUMBER(F63),VLOOKUP($A63,List!$A$1:$B$29,2,FALSE)))</f>
        <v/>
      </c>
      <c r="S63" s="13" t="str">
        <f>IF(IF(ISNUMBER(G63),VLOOKUP($A63,List!$A$1:$B$29,2,FALSE))=FALSE,"",IF(ISNUMBER(G63),VLOOKUP($A63,List!$A$1:$B$29,2,FALSE)))</f>
        <v/>
      </c>
      <c r="T63" s="13" t="str">
        <f>IF(IF(ISNUMBER(H63),VLOOKUP($A63,List!$A$1:$B$29,2,FALSE))=FALSE,"",IF(ISNUMBER(H63),VLOOKUP($A63,List!$A$1:$B$29,2,FALSE)))</f>
        <v/>
      </c>
      <c r="U63" s="13" t="str">
        <f>IF(IF(ISNUMBER(I63),VLOOKUP($A63,List!$A$1:$B$29,2,FALSE))=FALSE,"",IF(ISNUMBER(I63),VLOOKUP($A63,List!$A$1:$B$29,2,FALSE)))</f>
        <v/>
      </c>
      <c r="V63" s="13" t="str">
        <f>IF(IF(ISNUMBER(J63),VLOOKUP($A63,List!$A$1:$B$29,2,FALSE))=FALSE,"",IF(ISNUMBER(J63),VLOOKUP($A63,List!$A$1:$B$29,2,FALSE)))</f>
        <v/>
      </c>
      <c r="W63" s="13" t="str">
        <f>IF(IF(ISNUMBER(K63),VLOOKUP($A63,List!$A$1:$B$29,2,FALSE))=FALSE,"",IF(ISNUMBER(K63),VLOOKUP($A63,List!$A$1:$B$29,2,FALSE)))</f>
        <v/>
      </c>
      <c r="X63" s="13" t="str">
        <f>IF(IF(ISNUMBER(L63),VLOOKUP($A63,List!$A$1:$B$29,2,FALSE))=FALSE,"",IF(ISNUMBER(L63),VLOOKUP($A63,List!$A$1:$B$29,2,FALSE)))</f>
        <v/>
      </c>
      <c r="Y63" s="13" t="str">
        <f>IF(IF(ISNUMBER(M63),VLOOKUP($A63,List!$A$1:$B$29,2,FALSE))=FALSE,"",IF(ISNUMBER(M63),VLOOKUP($A63,List!$A$1:$B$29,2,FALSE)))</f>
        <v/>
      </c>
    </row>
    <row r="65" spans="1:25" ht="23.4" x14ac:dyDescent="0.45">
      <c r="A65" s="16" t="s">
        <v>122</v>
      </c>
    </row>
    <row r="66" spans="1:25" ht="15" thickBot="1" x14ac:dyDescent="0.35">
      <c r="A66" s="3" t="s">
        <v>63</v>
      </c>
      <c r="B66" s="3" t="s">
        <v>49</v>
      </c>
      <c r="C66" s="3" t="s">
        <v>50</v>
      </c>
      <c r="D66" s="3" t="s">
        <v>51</v>
      </c>
      <c r="E66" s="3" t="s">
        <v>52</v>
      </c>
      <c r="F66" s="3" t="s">
        <v>53</v>
      </c>
      <c r="G66" s="3" t="s">
        <v>54</v>
      </c>
      <c r="H66" s="3" t="s">
        <v>55</v>
      </c>
      <c r="I66" s="3" t="s">
        <v>56</v>
      </c>
      <c r="J66" s="3" t="s">
        <v>57</v>
      </c>
      <c r="K66" s="3" t="s">
        <v>58</v>
      </c>
      <c r="L66" s="3" t="s">
        <v>59</v>
      </c>
      <c r="M66" s="3" t="s">
        <v>60</v>
      </c>
      <c r="N66" s="3" t="s">
        <v>80</v>
      </c>
      <c r="O66" s="3" t="s">
        <v>81</v>
      </c>
      <c r="P66" s="3" t="s">
        <v>82</v>
      </c>
      <c r="Q66" s="3" t="s">
        <v>83</v>
      </c>
      <c r="R66" s="3" t="s">
        <v>84</v>
      </c>
      <c r="S66" s="3" t="s">
        <v>85</v>
      </c>
      <c r="T66" s="3" t="s">
        <v>86</v>
      </c>
      <c r="U66" s="3" t="s">
        <v>87</v>
      </c>
      <c r="V66" s="3" t="s">
        <v>88</v>
      </c>
      <c r="W66" s="3" t="s">
        <v>90</v>
      </c>
      <c r="X66" s="3" t="s">
        <v>61</v>
      </c>
      <c r="Y66" s="3" t="s">
        <v>62</v>
      </c>
    </row>
    <row r="67" spans="1:25" ht="15" thickBot="1" x14ac:dyDescent="0.35">
      <c r="A67" s="4">
        <v>27</v>
      </c>
      <c r="B67" s="5">
        <v>0.96</v>
      </c>
      <c r="C67" s="6" t="s">
        <v>79</v>
      </c>
      <c r="D67" s="6" t="s">
        <v>79</v>
      </c>
      <c r="E67" s="6" t="s">
        <v>79</v>
      </c>
      <c r="F67" s="6" t="s">
        <v>79</v>
      </c>
      <c r="G67" s="7" t="s">
        <v>79</v>
      </c>
      <c r="H67" s="7" t="s">
        <v>79</v>
      </c>
      <c r="I67" s="7" t="s">
        <v>79</v>
      </c>
      <c r="J67" s="7" t="s">
        <v>79</v>
      </c>
      <c r="K67" s="7" t="s">
        <v>79</v>
      </c>
      <c r="L67" s="7" t="s">
        <v>79</v>
      </c>
      <c r="M67" s="7" t="s">
        <v>79</v>
      </c>
      <c r="N67" s="13" t="str">
        <f>IF(IF(ISNUMBER(B67),VLOOKUP($A67,List!$A$1:$B$29,2,FALSE))=FALSE,"",IF(ISNUMBER(B67),VLOOKUP($A67,List!$A$1:$B$29,2,FALSE)))</f>
        <v>Boating is the number one thing I do with my spare time</v>
      </c>
      <c r="O67" s="13" t="str">
        <f>IF(IF(ISNUMBER(C67),VLOOKUP($A67,List!$A$1:$B$29,2,FALSE))=FALSE,"",IF(ISNUMBER(C67),VLOOKUP($A67,List!$A$1:$B$29,2,FALSE)))</f>
        <v/>
      </c>
      <c r="P67" s="13" t="str">
        <f>IF(IF(ISNUMBER(D67),VLOOKUP($A67,List!$A$1:$B$29,2,FALSE))=FALSE,"",IF(ISNUMBER(D67),VLOOKUP($A67,List!$A$1:$B$29,2,FALSE)))</f>
        <v/>
      </c>
      <c r="Q67" s="13" t="str">
        <f>IF(IF(ISNUMBER(E67),VLOOKUP($A67,List!$A$1:$B$29,2,FALSE))=FALSE,"",IF(ISNUMBER(E67),VLOOKUP($A67,List!$A$1:$B$29,2,FALSE)))</f>
        <v/>
      </c>
      <c r="R67" s="13" t="str">
        <f>IF(IF(ISNUMBER(F67),VLOOKUP($A67,List!$A$1:$B$29,2,FALSE))=FALSE,"",IF(ISNUMBER(F67),VLOOKUP($A67,List!$A$1:$B$29,2,FALSE)))</f>
        <v/>
      </c>
      <c r="S67" s="13" t="str">
        <f>IF(IF(ISNUMBER(G67),VLOOKUP($A67,List!$A$1:$B$29,2,FALSE))=FALSE,"",IF(ISNUMBER(G67),VLOOKUP($A67,List!$A$1:$B$29,2,FALSE)))</f>
        <v/>
      </c>
      <c r="T67" s="13" t="str">
        <f>IF(IF(ISNUMBER(H67),VLOOKUP($A67,List!$A$1:$B$29,2,FALSE))=FALSE,"",IF(ISNUMBER(H67),VLOOKUP($A67,List!$A$1:$B$29,2,FALSE)))</f>
        <v/>
      </c>
      <c r="U67" s="13" t="str">
        <f>IF(IF(ISNUMBER(I67),VLOOKUP($A67,List!$A$1:$B$29,2,FALSE))=FALSE,"",IF(ISNUMBER(I67),VLOOKUP($A67,List!$A$1:$B$29,2,FALSE)))</f>
        <v/>
      </c>
      <c r="V67" s="13" t="str">
        <f>IF(IF(ISNUMBER(J67),VLOOKUP($A67,List!$A$1:$B$29,2,FALSE))=FALSE,"",IF(ISNUMBER(J67),VLOOKUP($A67,List!$A$1:$B$29,2,FALSE)))</f>
        <v/>
      </c>
      <c r="W67" s="13" t="str">
        <f>IF(IF(ISNUMBER(K67),VLOOKUP($A67,List!$A$1:$B$29,2,FALSE))=FALSE,"",IF(ISNUMBER(K67),VLOOKUP($A67,List!$A$1:$B$29,2,FALSE)))</f>
        <v/>
      </c>
      <c r="X67" s="13" t="str">
        <f>IF(IF(ISNUMBER(L67),VLOOKUP($A67,List!$A$1:$B$29,2,FALSE))=FALSE,"",IF(ISNUMBER(L67),VLOOKUP($A67,List!$A$1:$B$29,2,FALSE)))</f>
        <v/>
      </c>
      <c r="Y67" s="13" t="str">
        <f>IF(IF(ISNUMBER(M67),VLOOKUP($A67,List!$A$1:$B$29,2,FALSE))=FALSE,"",IF(ISNUMBER(M67),VLOOKUP($A67,List!$A$1:$B$29,2,FALSE)))</f>
        <v/>
      </c>
    </row>
    <row r="68" spans="1:25" ht="15" thickBot="1" x14ac:dyDescent="0.35">
      <c r="A68" s="4">
        <v>28</v>
      </c>
      <c r="B68" s="5">
        <v>0.91</v>
      </c>
      <c r="C68" s="6" t="s">
        <v>79</v>
      </c>
      <c r="D68" s="6" t="s">
        <v>79</v>
      </c>
      <c r="E68" s="6" t="s">
        <v>79</v>
      </c>
      <c r="F68" s="6" t="s">
        <v>79</v>
      </c>
      <c r="G68" s="7" t="s">
        <v>79</v>
      </c>
      <c r="H68" s="7" t="s">
        <v>79</v>
      </c>
      <c r="I68" s="7" t="s">
        <v>79</v>
      </c>
      <c r="J68" s="7" t="s">
        <v>79</v>
      </c>
      <c r="K68" s="7" t="s">
        <v>79</v>
      </c>
      <c r="L68" s="7" t="s">
        <v>79</v>
      </c>
      <c r="M68" s="7" t="s">
        <v>79</v>
      </c>
      <c r="N68" s="13" t="str">
        <f>IF(IF(ISNUMBER(B68),VLOOKUP($A68,List!$A$1:$B$29,2,FALSE))=FALSE,"",IF(ISNUMBER(B68),VLOOKUP($A68,List!$A$1:$B$29,2,FALSE)))</f>
        <v>Boating is my true passion in life</v>
      </c>
      <c r="O68" s="13" t="str">
        <f>IF(IF(ISNUMBER(C68),VLOOKUP($A68,List!$A$1:$B$29,2,FALSE))=FALSE,"",IF(ISNUMBER(C68),VLOOKUP($A68,List!$A$1:$B$29,2,FALSE)))</f>
        <v/>
      </c>
      <c r="P68" s="13" t="str">
        <f>IF(IF(ISNUMBER(D68),VLOOKUP($A68,List!$A$1:$B$29,2,FALSE))=FALSE,"",IF(ISNUMBER(D68),VLOOKUP($A68,List!$A$1:$B$29,2,FALSE)))</f>
        <v/>
      </c>
      <c r="Q68" s="13" t="str">
        <f>IF(IF(ISNUMBER(E68),VLOOKUP($A68,List!$A$1:$B$29,2,FALSE))=FALSE,"",IF(ISNUMBER(E68),VLOOKUP($A68,List!$A$1:$B$29,2,FALSE)))</f>
        <v/>
      </c>
      <c r="R68" s="13" t="str">
        <f>IF(IF(ISNUMBER(F68),VLOOKUP($A68,List!$A$1:$B$29,2,FALSE))=FALSE,"",IF(ISNUMBER(F68),VLOOKUP($A68,List!$A$1:$B$29,2,FALSE)))</f>
        <v/>
      </c>
      <c r="S68" s="13" t="str">
        <f>IF(IF(ISNUMBER(G68),VLOOKUP($A68,List!$A$1:$B$29,2,FALSE))=FALSE,"",IF(ISNUMBER(G68),VLOOKUP($A68,List!$A$1:$B$29,2,FALSE)))</f>
        <v/>
      </c>
      <c r="T68" s="13" t="str">
        <f>IF(IF(ISNUMBER(H68),VLOOKUP($A68,List!$A$1:$B$29,2,FALSE))=FALSE,"",IF(ISNUMBER(H68),VLOOKUP($A68,List!$A$1:$B$29,2,FALSE)))</f>
        <v/>
      </c>
      <c r="U68" s="13" t="str">
        <f>IF(IF(ISNUMBER(I68),VLOOKUP($A68,List!$A$1:$B$29,2,FALSE))=FALSE,"",IF(ISNUMBER(I68),VLOOKUP($A68,List!$A$1:$B$29,2,FALSE)))</f>
        <v/>
      </c>
      <c r="V68" s="13" t="str">
        <f>IF(IF(ISNUMBER(J68),VLOOKUP($A68,List!$A$1:$B$29,2,FALSE))=FALSE,"",IF(ISNUMBER(J68),VLOOKUP($A68,List!$A$1:$B$29,2,FALSE)))</f>
        <v/>
      </c>
      <c r="W68" s="13" t="str">
        <f>IF(IF(ISNUMBER(K68),VLOOKUP($A68,List!$A$1:$B$29,2,FALSE))=FALSE,"",IF(ISNUMBER(K68),VLOOKUP($A68,List!$A$1:$B$29,2,FALSE)))</f>
        <v/>
      </c>
      <c r="X68" s="13" t="str">
        <f>IF(IF(ISNUMBER(L68),VLOOKUP($A68,List!$A$1:$B$29,2,FALSE))=FALSE,"",IF(ISNUMBER(L68),VLOOKUP($A68,List!$A$1:$B$29,2,FALSE)))</f>
        <v/>
      </c>
      <c r="Y68" s="13" t="str">
        <f>IF(IF(ISNUMBER(M68),VLOOKUP($A68,List!$A$1:$B$29,2,FALSE))=FALSE,"",IF(ISNUMBER(M68),VLOOKUP($A68,List!$A$1:$B$29,2,FALSE)))</f>
        <v/>
      </c>
    </row>
    <row r="69" spans="1:25" ht="15" thickBot="1" x14ac:dyDescent="0.35">
      <c r="A69" s="4">
        <v>20</v>
      </c>
      <c r="B69" s="5">
        <v>0.67</v>
      </c>
      <c r="C69" s="6" t="s">
        <v>79</v>
      </c>
      <c r="D69" s="6" t="s">
        <v>79</v>
      </c>
      <c r="E69" s="6" t="s">
        <v>79</v>
      </c>
      <c r="F69" s="6" t="s">
        <v>79</v>
      </c>
      <c r="G69" s="7" t="s">
        <v>79</v>
      </c>
      <c r="H69" s="7" t="s">
        <v>79</v>
      </c>
      <c r="I69" s="7" t="s">
        <v>79</v>
      </c>
      <c r="J69" s="7" t="s">
        <v>79</v>
      </c>
      <c r="K69" s="7" t="s">
        <v>79</v>
      </c>
      <c r="L69" s="7" t="s">
        <v>79</v>
      </c>
      <c r="M69" s="7" t="s">
        <v>79</v>
      </c>
      <c r="N69" s="13" t="str">
        <f>IF(IF(ISNUMBER(B69),VLOOKUP($A69,List!$A$1:$B$29,2,FALSE))=FALSE,"",IF(ISNUMBER(B69),VLOOKUP($A69,List!$A$1:$B$29,2,FALSE)))</f>
        <v>When not on my boat, I often find myself doing boating related activities</v>
      </c>
      <c r="O69" s="13" t="str">
        <f>IF(IF(ISNUMBER(C69),VLOOKUP($A69,List!$A$1:$B$29,2,FALSE))=FALSE,"",IF(ISNUMBER(C69),VLOOKUP($A69,List!$A$1:$B$29,2,FALSE)))</f>
        <v/>
      </c>
      <c r="P69" s="13" t="str">
        <f>IF(IF(ISNUMBER(D69),VLOOKUP($A69,List!$A$1:$B$29,2,FALSE))=FALSE,"",IF(ISNUMBER(D69),VLOOKUP($A69,List!$A$1:$B$29,2,FALSE)))</f>
        <v/>
      </c>
      <c r="Q69" s="13" t="str">
        <f>IF(IF(ISNUMBER(E69),VLOOKUP($A69,List!$A$1:$B$29,2,FALSE))=FALSE,"",IF(ISNUMBER(E69),VLOOKUP($A69,List!$A$1:$B$29,2,FALSE)))</f>
        <v/>
      </c>
      <c r="R69" s="13" t="str">
        <f>IF(IF(ISNUMBER(F69),VLOOKUP($A69,List!$A$1:$B$29,2,FALSE))=FALSE,"",IF(ISNUMBER(F69),VLOOKUP($A69,List!$A$1:$B$29,2,FALSE)))</f>
        <v/>
      </c>
      <c r="S69" s="13" t="str">
        <f>IF(IF(ISNUMBER(G69),VLOOKUP($A69,List!$A$1:$B$29,2,FALSE))=FALSE,"",IF(ISNUMBER(G69),VLOOKUP($A69,List!$A$1:$B$29,2,FALSE)))</f>
        <v/>
      </c>
      <c r="T69" s="13" t="str">
        <f>IF(IF(ISNUMBER(H69),VLOOKUP($A69,List!$A$1:$B$29,2,FALSE))=FALSE,"",IF(ISNUMBER(H69),VLOOKUP($A69,List!$A$1:$B$29,2,FALSE)))</f>
        <v/>
      </c>
      <c r="U69" s="13" t="str">
        <f>IF(IF(ISNUMBER(I69),VLOOKUP($A69,List!$A$1:$B$29,2,FALSE))=FALSE,"",IF(ISNUMBER(I69),VLOOKUP($A69,List!$A$1:$B$29,2,FALSE)))</f>
        <v/>
      </c>
      <c r="V69" s="13" t="str">
        <f>IF(IF(ISNUMBER(J69),VLOOKUP($A69,List!$A$1:$B$29,2,FALSE))=FALSE,"",IF(ISNUMBER(J69),VLOOKUP($A69,List!$A$1:$B$29,2,FALSE)))</f>
        <v/>
      </c>
      <c r="W69" s="13" t="str">
        <f>IF(IF(ISNUMBER(K69),VLOOKUP($A69,List!$A$1:$B$29,2,FALSE))=FALSE,"",IF(ISNUMBER(K69),VLOOKUP($A69,List!$A$1:$B$29,2,FALSE)))</f>
        <v/>
      </c>
      <c r="X69" s="13" t="str">
        <f>IF(IF(ISNUMBER(L69),VLOOKUP($A69,List!$A$1:$B$29,2,FALSE))=FALSE,"",IF(ISNUMBER(L69),VLOOKUP($A69,List!$A$1:$B$29,2,FALSE)))</f>
        <v/>
      </c>
      <c r="Y69" s="13" t="str">
        <f>IF(IF(ISNUMBER(M69),VLOOKUP($A69,List!$A$1:$B$29,2,FALSE))=FALSE,"",IF(ISNUMBER(M69),VLOOKUP($A69,List!$A$1:$B$29,2,FALSE)))</f>
        <v/>
      </c>
    </row>
    <row r="70" spans="1:25" ht="15" thickBot="1" x14ac:dyDescent="0.35">
      <c r="A70" s="4">
        <v>23</v>
      </c>
      <c r="B70" s="5">
        <v>0.66</v>
      </c>
      <c r="C70" s="6" t="s">
        <v>79</v>
      </c>
      <c r="D70" s="6" t="s">
        <v>79</v>
      </c>
      <c r="E70" s="6" t="s">
        <v>79</v>
      </c>
      <c r="F70" s="6" t="s">
        <v>79</v>
      </c>
      <c r="G70" s="7" t="s">
        <v>79</v>
      </c>
      <c r="H70" s="7" t="s">
        <v>79</v>
      </c>
      <c r="I70" s="7" t="s">
        <v>79</v>
      </c>
      <c r="J70" s="7" t="s">
        <v>79</v>
      </c>
      <c r="K70" s="7" t="s">
        <v>79</v>
      </c>
      <c r="L70" s="7" t="s">
        <v>79</v>
      </c>
      <c r="M70" s="7" t="s">
        <v>79</v>
      </c>
      <c r="N70" s="13" t="str">
        <f>IF(IF(ISNUMBER(B70),VLOOKUP($A70,List!$A$1:$B$29,2,FALSE))=FALSE,"",IF(ISNUMBER(B70),VLOOKUP($A70,List!$A$1:$B$29,2,FALSE)))</f>
        <v>Boating allows me to excel in the sports that I am passionate about</v>
      </c>
      <c r="O70" s="13" t="str">
        <f>IF(IF(ISNUMBER(C70),VLOOKUP($A70,List!$A$1:$B$29,2,FALSE))=FALSE,"",IF(ISNUMBER(C70),VLOOKUP($A70,List!$A$1:$B$29,2,FALSE)))</f>
        <v/>
      </c>
      <c r="P70" s="13" t="str">
        <f>IF(IF(ISNUMBER(D70),VLOOKUP($A70,List!$A$1:$B$29,2,FALSE))=FALSE,"",IF(ISNUMBER(D70),VLOOKUP($A70,List!$A$1:$B$29,2,FALSE)))</f>
        <v/>
      </c>
      <c r="Q70" s="13" t="str">
        <f>IF(IF(ISNUMBER(E70),VLOOKUP($A70,List!$A$1:$B$29,2,FALSE))=FALSE,"",IF(ISNUMBER(E70),VLOOKUP($A70,List!$A$1:$B$29,2,FALSE)))</f>
        <v/>
      </c>
      <c r="R70" s="13" t="str">
        <f>IF(IF(ISNUMBER(F70),VLOOKUP($A70,List!$A$1:$B$29,2,FALSE))=FALSE,"",IF(ISNUMBER(F70),VLOOKUP($A70,List!$A$1:$B$29,2,FALSE)))</f>
        <v/>
      </c>
      <c r="S70" s="13" t="str">
        <f>IF(IF(ISNUMBER(G70),VLOOKUP($A70,List!$A$1:$B$29,2,FALSE))=FALSE,"",IF(ISNUMBER(G70),VLOOKUP($A70,List!$A$1:$B$29,2,FALSE)))</f>
        <v/>
      </c>
      <c r="T70" s="13" t="str">
        <f>IF(IF(ISNUMBER(H70),VLOOKUP($A70,List!$A$1:$B$29,2,FALSE))=FALSE,"",IF(ISNUMBER(H70),VLOOKUP($A70,List!$A$1:$B$29,2,FALSE)))</f>
        <v/>
      </c>
      <c r="U70" s="13" t="str">
        <f>IF(IF(ISNUMBER(I70),VLOOKUP($A70,List!$A$1:$B$29,2,FALSE))=FALSE,"",IF(ISNUMBER(I70),VLOOKUP($A70,List!$A$1:$B$29,2,FALSE)))</f>
        <v/>
      </c>
      <c r="V70" s="13" t="str">
        <f>IF(IF(ISNUMBER(J70),VLOOKUP($A70,List!$A$1:$B$29,2,FALSE))=FALSE,"",IF(ISNUMBER(J70),VLOOKUP($A70,List!$A$1:$B$29,2,FALSE)))</f>
        <v/>
      </c>
      <c r="W70" s="13" t="str">
        <f>IF(IF(ISNUMBER(K70),VLOOKUP($A70,List!$A$1:$B$29,2,FALSE))=FALSE,"",IF(ISNUMBER(K70),VLOOKUP($A70,List!$A$1:$B$29,2,FALSE)))</f>
        <v/>
      </c>
      <c r="X70" s="13" t="str">
        <f>IF(IF(ISNUMBER(L70),VLOOKUP($A70,List!$A$1:$B$29,2,FALSE))=FALSE,"",IF(ISNUMBER(L70),VLOOKUP($A70,List!$A$1:$B$29,2,FALSE)))</f>
        <v/>
      </c>
      <c r="Y70" s="13" t="str">
        <f>IF(IF(ISNUMBER(M70),VLOOKUP($A70,List!$A$1:$B$29,2,FALSE))=FALSE,"",IF(ISNUMBER(M70),VLOOKUP($A70,List!$A$1:$B$29,2,FALSE)))</f>
        <v/>
      </c>
    </row>
    <row r="71" spans="1:25" ht="15" thickBot="1" x14ac:dyDescent="0.35">
      <c r="A71" s="4">
        <v>16</v>
      </c>
      <c r="B71" s="5">
        <v>0.61</v>
      </c>
      <c r="C71" s="6" t="s">
        <v>79</v>
      </c>
      <c r="D71" s="6" t="s">
        <v>79</v>
      </c>
      <c r="E71" s="6" t="s">
        <v>79</v>
      </c>
      <c r="F71" s="6" t="s">
        <v>79</v>
      </c>
      <c r="G71" s="7" t="s">
        <v>79</v>
      </c>
      <c r="H71" s="7" t="s">
        <v>79</v>
      </c>
      <c r="I71" s="7" t="s">
        <v>79</v>
      </c>
      <c r="J71" s="7" t="s">
        <v>79</v>
      </c>
      <c r="K71" s="7" t="s">
        <v>79</v>
      </c>
      <c r="L71" s="7" t="s">
        <v>79</v>
      </c>
      <c r="M71" s="7" t="s">
        <v>79</v>
      </c>
      <c r="N71" s="13" t="str">
        <f>IF(IF(ISNUMBER(B71),VLOOKUP($A71,List!$A$1:$B$29,2,FALSE))=FALSE,"",IF(ISNUMBER(B71),VLOOKUP($A71,List!$A$1:$B$29,2,FALSE)))</f>
        <v>People tend to come to me for advice about boating</v>
      </c>
      <c r="O71" s="13" t="str">
        <f>IF(IF(ISNUMBER(C71),VLOOKUP($A71,List!$A$1:$B$29,2,FALSE))=FALSE,"",IF(ISNUMBER(C71),VLOOKUP($A71,List!$A$1:$B$29,2,FALSE)))</f>
        <v/>
      </c>
      <c r="P71" s="13" t="str">
        <f>IF(IF(ISNUMBER(D71),VLOOKUP($A71,List!$A$1:$B$29,2,FALSE))=FALSE,"",IF(ISNUMBER(D71),VLOOKUP($A71,List!$A$1:$B$29,2,FALSE)))</f>
        <v/>
      </c>
      <c r="Q71" s="13" t="str">
        <f>IF(IF(ISNUMBER(E71),VLOOKUP($A71,List!$A$1:$B$29,2,FALSE))=FALSE,"",IF(ISNUMBER(E71),VLOOKUP($A71,List!$A$1:$B$29,2,FALSE)))</f>
        <v/>
      </c>
      <c r="R71" s="13" t="str">
        <f>IF(IF(ISNUMBER(F71),VLOOKUP($A71,List!$A$1:$B$29,2,FALSE))=FALSE,"",IF(ISNUMBER(F71),VLOOKUP($A71,List!$A$1:$B$29,2,FALSE)))</f>
        <v/>
      </c>
      <c r="S71" s="13" t="str">
        <f>IF(IF(ISNUMBER(G71),VLOOKUP($A71,List!$A$1:$B$29,2,FALSE))=FALSE,"",IF(ISNUMBER(G71),VLOOKUP($A71,List!$A$1:$B$29,2,FALSE)))</f>
        <v/>
      </c>
      <c r="T71" s="13" t="str">
        <f>IF(IF(ISNUMBER(H71),VLOOKUP($A71,List!$A$1:$B$29,2,FALSE))=FALSE,"",IF(ISNUMBER(H71),VLOOKUP($A71,List!$A$1:$B$29,2,FALSE)))</f>
        <v/>
      </c>
      <c r="U71" s="13" t="str">
        <f>IF(IF(ISNUMBER(I71),VLOOKUP($A71,List!$A$1:$B$29,2,FALSE))=FALSE,"",IF(ISNUMBER(I71),VLOOKUP($A71,List!$A$1:$B$29,2,FALSE)))</f>
        <v/>
      </c>
      <c r="V71" s="13" t="str">
        <f>IF(IF(ISNUMBER(J71),VLOOKUP($A71,List!$A$1:$B$29,2,FALSE))=FALSE,"",IF(ISNUMBER(J71),VLOOKUP($A71,List!$A$1:$B$29,2,FALSE)))</f>
        <v/>
      </c>
      <c r="W71" s="13" t="str">
        <f>IF(IF(ISNUMBER(K71),VLOOKUP($A71,List!$A$1:$B$29,2,FALSE))=FALSE,"",IF(ISNUMBER(K71),VLOOKUP($A71,List!$A$1:$B$29,2,FALSE)))</f>
        <v/>
      </c>
      <c r="X71" s="13" t="str">
        <f>IF(IF(ISNUMBER(L71),VLOOKUP($A71,List!$A$1:$B$29,2,FALSE))=FALSE,"",IF(ISNUMBER(L71),VLOOKUP($A71,List!$A$1:$B$29,2,FALSE)))</f>
        <v/>
      </c>
      <c r="Y71" s="13" t="str">
        <f>IF(IF(ISNUMBER(M71),VLOOKUP($A71,List!$A$1:$B$29,2,FALSE))=FALSE,"",IF(ISNUMBER(M71),VLOOKUP($A71,List!$A$1:$B$29,2,FALSE)))</f>
        <v/>
      </c>
    </row>
    <row r="72" spans="1:25" ht="15" thickBot="1" x14ac:dyDescent="0.35">
      <c r="A72" s="4">
        <v>17</v>
      </c>
      <c r="B72" s="5">
        <v>0.5</v>
      </c>
      <c r="C72" s="6" t="s">
        <v>79</v>
      </c>
      <c r="D72" s="6" t="s">
        <v>79</v>
      </c>
      <c r="E72" s="6" t="s">
        <v>79</v>
      </c>
      <c r="F72" s="6" t="s">
        <v>79</v>
      </c>
      <c r="G72" s="7" t="s">
        <v>79</v>
      </c>
      <c r="H72" s="7" t="s">
        <v>79</v>
      </c>
      <c r="I72" s="7" t="s">
        <v>79</v>
      </c>
      <c r="J72" s="7" t="s">
        <v>79</v>
      </c>
      <c r="K72" s="7" t="s">
        <v>79</v>
      </c>
      <c r="L72" s="7" t="s">
        <v>79</v>
      </c>
      <c r="M72" s="7" t="s">
        <v>79</v>
      </c>
      <c r="N72" s="13" t="str">
        <f>IF(IF(ISNUMBER(B72),VLOOKUP($A72,List!$A$1:$B$29,2,FALSE))=FALSE,"",IF(ISNUMBER(B72),VLOOKUP($A72,List!$A$1:$B$29,2,FALSE)))</f>
        <v>I consider myself more knowledgeable about boating than the rest of my boating peers</v>
      </c>
      <c r="O72" s="13" t="str">
        <f>IF(IF(ISNUMBER(C72),VLOOKUP($A72,List!$A$1:$B$29,2,FALSE))=FALSE,"",IF(ISNUMBER(C72),VLOOKUP($A72,List!$A$1:$B$29,2,FALSE)))</f>
        <v/>
      </c>
      <c r="P72" s="13" t="str">
        <f>IF(IF(ISNUMBER(D72),VLOOKUP($A72,List!$A$1:$B$29,2,FALSE))=FALSE,"",IF(ISNUMBER(D72),VLOOKUP($A72,List!$A$1:$B$29,2,FALSE)))</f>
        <v/>
      </c>
      <c r="Q72" s="13" t="str">
        <f>IF(IF(ISNUMBER(E72),VLOOKUP($A72,List!$A$1:$B$29,2,FALSE))=FALSE,"",IF(ISNUMBER(E72),VLOOKUP($A72,List!$A$1:$B$29,2,FALSE)))</f>
        <v/>
      </c>
      <c r="R72" s="13" t="str">
        <f>IF(IF(ISNUMBER(F72),VLOOKUP($A72,List!$A$1:$B$29,2,FALSE))=FALSE,"",IF(ISNUMBER(F72),VLOOKUP($A72,List!$A$1:$B$29,2,FALSE)))</f>
        <v/>
      </c>
      <c r="S72" s="13" t="str">
        <f>IF(IF(ISNUMBER(G72),VLOOKUP($A72,List!$A$1:$B$29,2,FALSE))=FALSE,"",IF(ISNUMBER(G72),VLOOKUP($A72,List!$A$1:$B$29,2,FALSE)))</f>
        <v/>
      </c>
      <c r="T72" s="13" t="str">
        <f>IF(IF(ISNUMBER(H72),VLOOKUP($A72,List!$A$1:$B$29,2,FALSE))=FALSE,"",IF(ISNUMBER(H72),VLOOKUP($A72,List!$A$1:$B$29,2,FALSE)))</f>
        <v/>
      </c>
      <c r="U72" s="13" t="str">
        <f>IF(IF(ISNUMBER(I72),VLOOKUP($A72,List!$A$1:$B$29,2,FALSE))=FALSE,"",IF(ISNUMBER(I72),VLOOKUP($A72,List!$A$1:$B$29,2,FALSE)))</f>
        <v/>
      </c>
      <c r="V72" s="13" t="str">
        <f>IF(IF(ISNUMBER(J72),VLOOKUP($A72,List!$A$1:$B$29,2,FALSE))=FALSE,"",IF(ISNUMBER(J72),VLOOKUP($A72,List!$A$1:$B$29,2,FALSE)))</f>
        <v/>
      </c>
      <c r="W72" s="13" t="str">
        <f>IF(IF(ISNUMBER(K72),VLOOKUP($A72,List!$A$1:$B$29,2,FALSE))=FALSE,"",IF(ISNUMBER(K72),VLOOKUP($A72,List!$A$1:$B$29,2,FALSE)))</f>
        <v/>
      </c>
      <c r="X72" s="13" t="str">
        <f>IF(IF(ISNUMBER(L72),VLOOKUP($A72,List!$A$1:$B$29,2,FALSE))=FALSE,"",IF(ISNUMBER(L72),VLOOKUP($A72,List!$A$1:$B$29,2,FALSE)))</f>
        <v/>
      </c>
      <c r="Y72" s="13" t="str">
        <f>IF(IF(ISNUMBER(M72),VLOOKUP($A72,List!$A$1:$B$29,2,FALSE))=FALSE,"",IF(ISNUMBER(M72),VLOOKUP($A72,List!$A$1:$B$29,2,FALSE)))</f>
        <v/>
      </c>
    </row>
    <row r="73" spans="1:25" ht="15" thickBot="1" x14ac:dyDescent="0.35">
      <c r="A73" s="4">
        <v>26</v>
      </c>
      <c r="B73" s="6" t="s">
        <v>79</v>
      </c>
      <c r="C73" s="6" t="s">
        <v>79</v>
      </c>
      <c r="D73" s="6" t="s">
        <v>79</v>
      </c>
      <c r="E73" s="6" t="s">
        <v>79</v>
      </c>
      <c r="F73" s="6" t="s">
        <v>79</v>
      </c>
      <c r="G73" s="7" t="s">
        <v>79</v>
      </c>
      <c r="H73" s="7" t="s">
        <v>79</v>
      </c>
      <c r="I73" s="7" t="s">
        <v>79</v>
      </c>
      <c r="J73" s="7" t="s">
        <v>79</v>
      </c>
      <c r="K73" s="7" t="s">
        <v>79</v>
      </c>
      <c r="L73" s="7" t="s">
        <v>79</v>
      </c>
      <c r="M73" s="7" t="s">
        <v>79</v>
      </c>
      <c r="N73" s="13" t="str">
        <f>IF(IF(ISNUMBER(B73),VLOOKUP($A73,List!$A$1:$B$29,2,FALSE))=FALSE,"",IF(ISNUMBER(B73),VLOOKUP($A73,List!$A$1:$B$29,2,FALSE)))</f>
        <v/>
      </c>
      <c r="O73" s="13" t="str">
        <f>IF(IF(ISNUMBER(C73),VLOOKUP($A73,List!$A$1:$B$29,2,FALSE))=FALSE,"",IF(ISNUMBER(C73),VLOOKUP($A73,List!$A$1:$B$29,2,FALSE)))</f>
        <v/>
      </c>
      <c r="P73" s="13" t="str">
        <f>IF(IF(ISNUMBER(D73),VLOOKUP($A73,List!$A$1:$B$29,2,FALSE))=FALSE,"",IF(ISNUMBER(D73),VLOOKUP($A73,List!$A$1:$B$29,2,FALSE)))</f>
        <v/>
      </c>
      <c r="Q73" s="13" t="str">
        <f>IF(IF(ISNUMBER(E73),VLOOKUP($A73,List!$A$1:$B$29,2,FALSE))=FALSE,"",IF(ISNUMBER(E73),VLOOKUP($A73,List!$A$1:$B$29,2,FALSE)))</f>
        <v/>
      </c>
      <c r="R73" s="13" t="str">
        <f>IF(IF(ISNUMBER(F73),VLOOKUP($A73,List!$A$1:$B$29,2,FALSE))=FALSE,"",IF(ISNUMBER(F73),VLOOKUP($A73,List!$A$1:$B$29,2,FALSE)))</f>
        <v/>
      </c>
      <c r="S73" s="13" t="str">
        <f>IF(IF(ISNUMBER(G73),VLOOKUP($A73,List!$A$1:$B$29,2,FALSE))=FALSE,"",IF(ISNUMBER(G73),VLOOKUP($A73,List!$A$1:$B$29,2,FALSE)))</f>
        <v/>
      </c>
      <c r="T73" s="13" t="str">
        <f>IF(IF(ISNUMBER(H73),VLOOKUP($A73,List!$A$1:$B$29,2,FALSE))=FALSE,"",IF(ISNUMBER(H73),VLOOKUP($A73,List!$A$1:$B$29,2,FALSE)))</f>
        <v/>
      </c>
      <c r="U73" s="13" t="str">
        <f>IF(IF(ISNUMBER(I73),VLOOKUP($A73,List!$A$1:$B$29,2,FALSE))=FALSE,"",IF(ISNUMBER(I73),VLOOKUP($A73,List!$A$1:$B$29,2,FALSE)))</f>
        <v/>
      </c>
      <c r="V73" s="13" t="str">
        <f>IF(IF(ISNUMBER(J73),VLOOKUP($A73,List!$A$1:$B$29,2,FALSE))=FALSE,"",IF(ISNUMBER(J73),VLOOKUP($A73,List!$A$1:$B$29,2,FALSE)))</f>
        <v/>
      </c>
      <c r="W73" s="13" t="str">
        <f>IF(IF(ISNUMBER(K73),VLOOKUP($A73,List!$A$1:$B$29,2,FALSE))=FALSE,"",IF(ISNUMBER(K73),VLOOKUP($A73,List!$A$1:$B$29,2,FALSE)))</f>
        <v/>
      </c>
      <c r="X73" s="13" t="str">
        <f>IF(IF(ISNUMBER(L73),VLOOKUP($A73,List!$A$1:$B$29,2,FALSE))=FALSE,"",IF(ISNUMBER(L73),VLOOKUP($A73,List!$A$1:$B$29,2,FALSE)))</f>
        <v/>
      </c>
      <c r="Y73" s="13" t="str">
        <f>IF(IF(ISNUMBER(M73),VLOOKUP($A73,List!$A$1:$B$29,2,FALSE))=FALSE,"",IF(ISNUMBER(M73),VLOOKUP($A73,List!$A$1:$B$29,2,FALSE)))</f>
        <v/>
      </c>
    </row>
    <row r="74" spans="1:25" ht="15" thickBot="1" x14ac:dyDescent="0.35">
      <c r="A74" s="4">
        <v>22</v>
      </c>
      <c r="B74" s="6" t="s">
        <v>79</v>
      </c>
      <c r="C74" s="6" t="s">
        <v>79</v>
      </c>
      <c r="D74" s="6" t="s">
        <v>79</v>
      </c>
      <c r="E74" s="6" t="s">
        <v>79</v>
      </c>
      <c r="F74" s="6" t="s">
        <v>79</v>
      </c>
      <c r="G74" s="7" t="s">
        <v>79</v>
      </c>
      <c r="H74" s="7" t="s">
        <v>79</v>
      </c>
      <c r="I74" s="7" t="s">
        <v>79</v>
      </c>
      <c r="J74" s="7" t="s">
        <v>79</v>
      </c>
      <c r="K74" s="7" t="s">
        <v>79</v>
      </c>
      <c r="L74" s="7" t="s">
        <v>79</v>
      </c>
      <c r="M74" s="7" t="s">
        <v>79</v>
      </c>
      <c r="N74" s="13" t="str">
        <f>IF(IF(ISNUMBER(B74),VLOOKUP($A74,List!$A$1:$B$29,2,FALSE))=FALSE,"",IF(ISNUMBER(B74),VLOOKUP($A74,List!$A$1:$B$29,2,FALSE)))</f>
        <v/>
      </c>
      <c r="O74" s="13" t="str">
        <f>IF(IF(ISNUMBER(C74),VLOOKUP($A74,List!$A$1:$B$29,2,FALSE))=FALSE,"",IF(ISNUMBER(C74),VLOOKUP($A74,List!$A$1:$B$29,2,FALSE)))</f>
        <v/>
      </c>
      <c r="P74" s="13" t="str">
        <f>IF(IF(ISNUMBER(D74),VLOOKUP($A74,List!$A$1:$B$29,2,FALSE))=FALSE,"",IF(ISNUMBER(D74),VLOOKUP($A74,List!$A$1:$B$29,2,FALSE)))</f>
        <v/>
      </c>
      <c r="Q74" s="13" t="str">
        <f>IF(IF(ISNUMBER(E74),VLOOKUP($A74,List!$A$1:$B$29,2,FALSE))=FALSE,"",IF(ISNUMBER(E74),VLOOKUP($A74,List!$A$1:$B$29,2,FALSE)))</f>
        <v/>
      </c>
      <c r="R74" s="13" t="str">
        <f>IF(IF(ISNUMBER(F74),VLOOKUP($A74,List!$A$1:$B$29,2,FALSE))=FALSE,"",IF(ISNUMBER(F74),VLOOKUP($A74,List!$A$1:$B$29,2,FALSE)))</f>
        <v/>
      </c>
      <c r="S74" s="13" t="str">
        <f>IF(IF(ISNUMBER(G74),VLOOKUP($A74,List!$A$1:$B$29,2,FALSE))=FALSE,"",IF(ISNUMBER(G74),VLOOKUP($A74,List!$A$1:$B$29,2,FALSE)))</f>
        <v/>
      </c>
      <c r="T74" s="13" t="str">
        <f>IF(IF(ISNUMBER(H74),VLOOKUP($A74,List!$A$1:$B$29,2,FALSE))=FALSE,"",IF(ISNUMBER(H74),VLOOKUP($A74,List!$A$1:$B$29,2,FALSE)))</f>
        <v/>
      </c>
      <c r="U74" s="13" t="str">
        <f>IF(IF(ISNUMBER(I74),VLOOKUP($A74,List!$A$1:$B$29,2,FALSE))=FALSE,"",IF(ISNUMBER(I74),VLOOKUP($A74,List!$A$1:$B$29,2,FALSE)))</f>
        <v/>
      </c>
      <c r="V74" s="13" t="str">
        <f>IF(IF(ISNUMBER(J74),VLOOKUP($A74,List!$A$1:$B$29,2,FALSE))=FALSE,"",IF(ISNUMBER(J74),VLOOKUP($A74,List!$A$1:$B$29,2,FALSE)))</f>
        <v/>
      </c>
      <c r="W74" s="13" t="str">
        <f>IF(IF(ISNUMBER(K74),VLOOKUP($A74,List!$A$1:$B$29,2,FALSE))=FALSE,"",IF(ISNUMBER(K74),VLOOKUP($A74,List!$A$1:$B$29,2,FALSE)))</f>
        <v/>
      </c>
      <c r="X74" s="13" t="str">
        <f>IF(IF(ISNUMBER(L74),VLOOKUP($A74,List!$A$1:$B$29,2,FALSE))=FALSE,"",IF(ISNUMBER(L74),VLOOKUP($A74,List!$A$1:$B$29,2,FALSE)))</f>
        <v/>
      </c>
      <c r="Y74" s="13" t="str">
        <f>IF(IF(ISNUMBER(M74),VLOOKUP($A74,List!$A$1:$B$29,2,FALSE))=FALSE,"",IF(ISNUMBER(M74),VLOOKUP($A74,List!$A$1:$B$29,2,FALSE)))</f>
        <v/>
      </c>
    </row>
    <row r="75" spans="1:25" ht="15" thickBot="1" x14ac:dyDescent="0.35">
      <c r="A75" s="4">
        <v>12</v>
      </c>
      <c r="B75" s="6" t="s">
        <v>79</v>
      </c>
      <c r="C75" s="6" t="s">
        <v>79</v>
      </c>
      <c r="D75" s="6" t="s">
        <v>79</v>
      </c>
      <c r="E75" s="5" t="s">
        <v>79</v>
      </c>
      <c r="F75" s="6">
        <v>0.57999999999999996</v>
      </c>
      <c r="G75" s="7" t="s">
        <v>79</v>
      </c>
      <c r="H75" s="7" t="s">
        <v>79</v>
      </c>
      <c r="I75" s="7" t="s">
        <v>79</v>
      </c>
      <c r="J75" s="7" t="s">
        <v>79</v>
      </c>
      <c r="K75" s="7" t="s">
        <v>79</v>
      </c>
      <c r="L75" s="7" t="s">
        <v>79</v>
      </c>
      <c r="M75" s="7" t="s">
        <v>79</v>
      </c>
      <c r="N75" s="13" t="str">
        <f>IF(IF(ISNUMBER(B75),VLOOKUP($A75,List!$A$1:$B$29,2,FALSE))=FALSE,"",IF(ISNUMBER(B75),VLOOKUP($A75,List!$A$1:$B$29,2,FALSE)))</f>
        <v/>
      </c>
      <c r="O75" s="13" t="str">
        <f>IF(IF(ISNUMBER(C75),VLOOKUP($A75,List!$A$1:$B$29,2,FALSE))=FALSE,"",IF(ISNUMBER(C75),VLOOKUP($A75,List!$A$1:$B$29,2,FALSE)))</f>
        <v/>
      </c>
      <c r="P75" s="13" t="str">
        <f>IF(IF(ISNUMBER(D75),VLOOKUP($A75,List!$A$1:$B$29,2,FALSE))=FALSE,"",IF(ISNUMBER(D75),VLOOKUP($A75,List!$A$1:$B$29,2,FALSE)))</f>
        <v/>
      </c>
      <c r="Q75" s="13" t="str">
        <f>IF(IF(ISNUMBER(E75),VLOOKUP($A75,List!$A$1:$B$29,2,FALSE))=FALSE,"",IF(ISNUMBER(E75),VLOOKUP($A75,List!$A$1:$B$29,2,FALSE)))</f>
        <v/>
      </c>
      <c r="R75" s="13" t="str">
        <f>IF(IF(ISNUMBER(F75),VLOOKUP($A75,List!$A$1:$B$29,2,FALSE))=FALSE,"",IF(ISNUMBER(F75),VLOOKUP($A75,List!$A$1:$B$29,2,FALSE)))</f>
        <v>When it comes to boating, I tend to prefer a basic boat with little to no frills</v>
      </c>
      <c r="S75" s="13" t="str">
        <f>IF(IF(ISNUMBER(G75),VLOOKUP($A75,List!$A$1:$B$29,2,FALSE))=FALSE,"",IF(ISNUMBER(G75),VLOOKUP($A75,List!$A$1:$B$29,2,FALSE)))</f>
        <v/>
      </c>
      <c r="T75" s="13" t="str">
        <f>IF(IF(ISNUMBER(H75),VLOOKUP($A75,List!$A$1:$B$29,2,FALSE))=FALSE,"",IF(ISNUMBER(H75),VLOOKUP($A75,List!$A$1:$B$29,2,FALSE)))</f>
        <v/>
      </c>
      <c r="U75" s="13" t="str">
        <f>IF(IF(ISNUMBER(I75),VLOOKUP($A75,List!$A$1:$B$29,2,FALSE))=FALSE,"",IF(ISNUMBER(I75),VLOOKUP($A75,List!$A$1:$B$29,2,FALSE)))</f>
        <v/>
      </c>
      <c r="V75" s="13" t="str">
        <f>IF(IF(ISNUMBER(J75),VLOOKUP($A75,List!$A$1:$B$29,2,FALSE))=FALSE,"",IF(ISNUMBER(J75),VLOOKUP($A75,List!$A$1:$B$29,2,FALSE)))</f>
        <v/>
      </c>
      <c r="W75" s="13" t="str">
        <f>IF(IF(ISNUMBER(K75),VLOOKUP($A75,List!$A$1:$B$29,2,FALSE))=FALSE,"",IF(ISNUMBER(K75),VLOOKUP($A75,List!$A$1:$B$29,2,FALSE)))</f>
        <v/>
      </c>
      <c r="X75" s="13" t="str">
        <f>IF(IF(ISNUMBER(L75),VLOOKUP($A75,List!$A$1:$B$29,2,FALSE))=FALSE,"",IF(ISNUMBER(L75),VLOOKUP($A75,List!$A$1:$B$29,2,FALSE)))</f>
        <v/>
      </c>
      <c r="Y75" s="13" t="str">
        <f>IF(IF(ISNUMBER(M75),VLOOKUP($A75,List!$A$1:$B$29,2,FALSE))=FALSE,"",IF(ISNUMBER(M75),VLOOKUP($A75,List!$A$1:$B$29,2,FALSE)))</f>
        <v/>
      </c>
    </row>
    <row r="76" spans="1:25" ht="15" thickBot="1" x14ac:dyDescent="0.35">
      <c r="A76" s="4">
        <v>3</v>
      </c>
      <c r="B76" s="6" t="s">
        <v>79</v>
      </c>
      <c r="C76" s="6" t="s">
        <v>79</v>
      </c>
      <c r="D76" s="6" t="s">
        <v>79</v>
      </c>
      <c r="E76" s="5">
        <v>0.56999999999999995</v>
      </c>
      <c r="F76" s="6" t="s">
        <v>79</v>
      </c>
      <c r="G76" s="7" t="s">
        <v>79</v>
      </c>
      <c r="H76" s="7" t="s">
        <v>79</v>
      </c>
      <c r="I76" s="7" t="s">
        <v>79</v>
      </c>
      <c r="J76" s="7" t="s">
        <v>79</v>
      </c>
      <c r="K76" s="7" t="s">
        <v>79</v>
      </c>
      <c r="L76" s="7" t="s">
        <v>79</v>
      </c>
      <c r="M76" s="7" t="s">
        <v>79</v>
      </c>
      <c r="N76" s="13" t="str">
        <f>IF(IF(ISNUMBER(B76),VLOOKUP($A76,List!$A$1:$B$29,2,FALSE))=FALSE,"",IF(ISNUMBER(B76),VLOOKUP($A76,List!$A$1:$B$29,2,FALSE)))</f>
        <v/>
      </c>
      <c r="O76" s="13" t="str">
        <f>IF(IF(ISNUMBER(C76),VLOOKUP($A76,List!$A$1:$B$29,2,FALSE))=FALSE,"",IF(ISNUMBER(C76),VLOOKUP($A76,List!$A$1:$B$29,2,FALSE)))</f>
        <v/>
      </c>
      <c r="P76" s="13" t="str">
        <f>IF(IF(ISNUMBER(D76),VLOOKUP($A76,List!$A$1:$B$29,2,FALSE))=FALSE,"",IF(ISNUMBER(D76),VLOOKUP($A76,List!$A$1:$B$29,2,FALSE)))</f>
        <v/>
      </c>
      <c r="Q76" s="13" t="str">
        <f>IF(IF(ISNUMBER(E76),VLOOKUP($A76,List!$A$1:$B$29,2,FALSE))=FALSE,"",IF(ISNUMBER(E76),VLOOKUP($A76,List!$A$1:$B$29,2,FALSE)))</f>
        <v>The brand of the boat I buy says a lot about who I am</v>
      </c>
      <c r="R76" s="13" t="str">
        <f>IF(IF(ISNUMBER(F76),VLOOKUP($A76,List!$A$1:$B$29,2,FALSE))=FALSE,"",IF(ISNUMBER(F76),VLOOKUP($A76,List!$A$1:$B$29,2,FALSE)))</f>
        <v/>
      </c>
      <c r="S76" s="13" t="str">
        <f>IF(IF(ISNUMBER(G76),VLOOKUP($A76,List!$A$1:$B$29,2,FALSE))=FALSE,"",IF(ISNUMBER(G76),VLOOKUP($A76,List!$A$1:$B$29,2,FALSE)))</f>
        <v/>
      </c>
      <c r="T76" s="13" t="str">
        <f>IF(IF(ISNUMBER(H76),VLOOKUP($A76,List!$A$1:$B$29,2,FALSE))=FALSE,"",IF(ISNUMBER(H76),VLOOKUP($A76,List!$A$1:$B$29,2,FALSE)))</f>
        <v/>
      </c>
      <c r="U76" s="13" t="str">
        <f>IF(IF(ISNUMBER(I76),VLOOKUP($A76,List!$A$1:$B$29,2,FALSE))=FALSE,"",IF(ISNUMBER(I76),VLOOKUP($A76,List!$A$1:$B$29,2,FALSE)))</f>
        <v/>
      </c>
      <c r="V76" s="13" t="str">
        <f>IF(IF(ISNUMBER(J76),VLOOKUP($A76,List!$A$1:$B$29,2,FALSE))=FALSE,"",IF(ISNUMBER(J76),VLOOKUP($A76,List!$A$1:$B$29,2,FALSE)))</f>
        <v/>
      </c>
      <c r="W76" s="13" t="str">
        <f>IF(IF(ISNUMBER(K76),VLOOKUP($A76,List!$A$1:$B$29,2,FALSE))=FALSE,"",IF(ISNUMBER(K76),VLOOKUP($A76,List!$A$1:$B$29,2,FALSE)))</f>
        <v/>
      </c>
      <c r="X76" s="13" t="str">
        <f>IF(IF(ISNUMBER(L76),VLOOKUP($A76,List!$A$1:$B$29,2,FALSE))=FALSE,"",IF(ISNUMBER(L76),VLOOKUP($A76,List!$A$1:$B$29,2,FALSE)))</f>
        <v/>
      </c>
      <c r="Y76" s="13" t="str">
        <f>IF(IF(ISNUMBER(M76),VLOOKUP($A76,List!$A$1:$B$29,2,FALSE))=FALSE,"",IF(ISNUMBER(M76),VLOOKUP($A76,List!$A$1:$B$29,2,FALSE)))</f>
        <v/>
      </c>
    </row>
    <row r="77" spans="1:25" ht="15" thickBot="1" x14ac:dyDescent="0.35">
      <c r="A77" s="4">
        <v>5</v>
      </c>
      <c r="B77" s="6" t="s">
        <v>79</v>
      </c>
      <c r="C77" s="5" t="s">
        <v>79</v>
      </c>
      <c r="D77" s="6" t="s">
        <v>79</v>
      </c>
      <c r="E77" s="6" t="s">
        <v>79</v>
      </c>
      <c r="F77" s="6" t="s">
        <v>79</v>
      </c>
      <c r="G77" s="7" t="s">
        <v>79</v>
      </c>
      <c r="H77" s="7" t="s">
        <v>79</v>
      </c>
      <c r="I77" s="7" t="s">
        <v>79</v>
      </c>
      <c r="J77" s="7" t="s">
        <v>79</v>
      </c>
      <c r="K77" s="7" t="s">
        <v>79</v>
      </c>
      <c r="L77" s="7" t="s">
        <v>79</v>
      </c>
      <c r="M77" s="7" t="s">
        <v>79</v>
      </c>
      <c r="N77" s="13" t="str">
        <f>IF(IF(ISNUMBER(B77),VLOOKUP($A77,List!$A$1:$B$29,2,FALSE))=FALSE,"",IF(ISNUMBER(B77),VLOOKUP($A77,List!$A$1:$B$29,2,FALSE)))</f>
        <v/>
      </c>
      <c r="O77" s="13" t="str">
        <f>IF(IF(ISNUMBER(C77),VLOOKUP($A77,List!$A$1:$B$29,2,FALSE))=FALSE,"",IF(ISNUMBER(C77),VLOOKUP($A77,List!$A$1:$B$29,2,FALSE)))</f>
        <v/>
      </c>
      <c r="P77" s="13" t="str">
        <f>IF(IF(ISNUMBER(D77),VLOOKUP($A77,List!$A$1:$B$29,2,FALSE))=FALSE,"",IF(ISNUMBER(D77),VLOOKUP($A77,List!$A$1:$B$29,2,FALSE)))</f>
        <v/>
      </c>
      <c r="Q77" s="13" t="str">
        <f>IF(IF(ISNUMBER(E77),VLOOKUP($A77,List!$A$1:$B$29,2,FALSE))=FALSE,"",IF(ISNUMBER(E77),VLOOKUP($A77,List!$A$1:$B$29,2,FALSE)))</f>
        <v/>
      </c>
      <c r="R77" s="13" t="str">
        <f>IF(IF(ISNUMBER(F77),VLOOKUP($A77,List!$A$1:$B$29,2,FALSE))=FALSE,"",IF(ISNUMBER(F77),VLOOKUP($A77,List!$A$1:$B$29,2,FALSE)))</f>
        <v/>
      </c>
      <c r="S77" s="13" t="str">
        <f>IF(IF(ISNUMBER(G77),VLOOKUP($A77,List!$A$1:$B$29,2,FALSE))=FALSE,"",IF(ISNUMBER(G77),VLOOKUP($A77,List!$A$1:$B$29,2,FALSE)))</f>
        <v/>
      </c>
      <c r="T77" s="13" t="str">
        <f>IF(IF(ISNUMBER(H77),VLOOKUP($A77,List!$A$1:$B$29,2,FALSE))=FALSE,"",IF(ISNUMBER(H77),VLOOKUP($A77,List!$A$1:$B$29,2,FALSE)))</f>
        <v/>
      </c>
      <c r="U77" s="13" t="str">
        <f>IF(IF(ISNUMBER(I77),VLOOKUP($A77,List!$A$1:$B$29,2,FALSE))=FALSE,"",IF(ISNUMBER(I77),VLOOKUP($A77,List!$A$1:$B$29,2,FALSE)))</f>
        <v/>
      </c>
      <c r="V77" s="13" t="str">
        <f>IF(IF(ISNUMBER(J77),VLOOKUP($A77,List!$A$1:$B$29,2,FALSE))=FALSE,"",IF(ISNUMBER(J77),VLOOKUP($A77,List!$A$1:$B$29,2,FALSE)))</f>
        <v/>
      </c>
      <c r="W77" s="13" t="str">
        <f>IF(IF(ISNUMBER(K77),VLOOKUP($A77,List!$A$1:$B$29,2,FALSE))=FALSE,"",IF(ISNUMBER(K77),VLOOKUP($A77,List!$A$1:$B$29,2,FALSE)))</f>
        <v/>
      </c>
      <c r="X77" s="13" t="str">
        <f>IF(IF(ISNUMBER(L77),VLOOKUP($A77,List!$A$1:$B$29,2,FALSE))=FALSE,"",IF(ISNUMBER(L77),VLOOKUP($A77,List!$A$1:$B$29,2,FALSE)))</f>
        <v/>
      </c>
      <c r="Y77" s="13" t="str">
        <f>IF(IF(ISNUMBER(M77),VLOOKUP($A77,List!$A$1:$B$29,2,FALSE))=FALSE,"",IF(ISNUMBER(M77),VLOOKUP($A77,List!$A$1:$B$29,2,FALSE)))</f>
        <v/>
      </c>
    </row>
    <row r="78" spans="1:25" ht="15" thickBot="1" x14ac:dyDescent="0.35">
      <c r="A78" s="4">
        <v>9</v>
      </c>
      <c r="B78" s="6" t="s">
        <v>79</v>
      </c>
      <c r="C78" s="5" t="s">
        <v>79</v>
      </c>
      <c r="D78" s="6" t="s">
        <v>79</v>
      </c>
      <c r="E78" s="6">
        <v>0.69</v>
      </c>
      <c r="F78" s="6" t="s">
        <v>79</v>
      </c>
      <c r="G78" s="7" t="s">
        <v>79</v>
      </c>
      <c r="H78" s="7" t="s">
        <v>79</v>
      </c>
      <c r="I78" s="7" t="s">
        <v>79</v>
      </c>
      <c r="J78" s="7" t="s">
        <v>79</v>
      </c>
      <c r="K78" s="7" t="s">
        <v>79</v>
      </c>
      <c r="L78" s="7" t="s">
        <v>79</v>
      </c>
      <c r="M78" s="7" t="s">
        <v>79</v>
      </c>
      <c r="N78" s="13" t="str">
        <f>IF(IF(ISNUMBER(B78),VLOOKUP($A78,List!$A$1:$B$29,2,FALSE))=FALSE,"",IF(ISNUMBER(B78),VLOOKUP($A78,List!$A$1:$B$29,2,FALSE)))</f>
        <v/>
      </c>
      <c r="O78" s="13" t="str">
        <f>IF(IF(ISNUMBER(C78),VLOOKUP($A78,List!$A$1:$B$29,2,FALSE))=FALSE,"",IF(ISNUMBER(C78),VLOOKUP($A78,List!$A$1:$B$29,2,FALSE)))</f>
        <v/>
      </c>
      <c r="P78" s="13" t="str">
        <f>IF(IF(ISNUMBER(D78),VLOOKUP($A78,List!$A$1:$B$29,2,FALSE))=FALSE,"",IF(ISNUMBER(D78),VLOOKUP($A78,List!$A$1:$B$29,2,FALSE)))</f>
        <v/>
      </c>
      <c r="Q78" s="13" t="str">
        <f>IF(IF(ISNUMBER(E78),VLOOKUP($A78,List!$A$1:$B$29,2,FALSE))=FALSE,"",IF(ISNUMBER(E78),VLOOKUP($A78,List!$A$1:$B$29,2,FALSE)))</f>
        <v>I see my boat as status symbol</v>
      </c>
      <c r="R78" s="13" t="str">
        <f>IF(IF(ISNUMBER(F78),VLOOKUP($A78,List!$A$1:$B$29,2,FALSE))=FALSE,"",IF(ISNUMBER(F78),VLOOKUP($A78,List!$A$1:$B$29,2,FALSE)))</f>
        <v/>
      </c>
      <c r="S78" s="13" t="str">
        <f>IF(IF(ISNUMBER(G78),VLOOKUP($A78,List!$A$1:$B$29,2,FALSE))=FALSE,"",IF(ISNUMBER(G78),VLOOKUP($A78,List!$A$1:$B$29,2,FALSE)))</f>
        <v/>
      </c>
      <c r="T78" s="13" t="str">
        <f>IF(IF(ISNUMBER(H78),VLOOKUP($A78,List!$A$1:$B$29,2,FALSE))=FALSE,"",IF(ISNUMBER(H78),VLOOKUP($A78,List!$A$1:$B$29,2,FALSE)))</f>
        <v/>
      </c>
      <c r="U78" s="13" t="str">
        <f>IF(IF(ISNUMBER(I78),VLOOKUP($A78,List!$A$1:$B$29,2,FALSE))=FALSE,"",IF(ISNUMBER(I78),VLOOKUP($A78,List!$A$1:$B$29,2,FALSE)))</f>
        <v/>
      </c>
      <c r="V78" s="13" t="str">
        <f>IF(IF(ISNUMBER(J78),VLOOKUP($A78,List!$A$1:$B$29,2,FALSE))=FALSE,"",IF(ISNUMBER(J78),VLOOKUP($A78,List!$A$1:$B$29,2,FALSE)))</f>
        <v/>
      </c>
      <c r="W78" s="13" t="str">
        <f>IF(IF(ISNUMBER(K78),VLOOKUP($A78,List!$A$1:$B$29,2,FALSE))=FALSE,"",IF(ISNUMBER(K78),VLOOKUP($A78,List!$A$1:$B$29,2,FALSE)))</f>
        <v/>
      </c>
      <c r="X78" s="13" t="str">
        <f>IF(IF(ISNUMBER(L78),VLOOKUP($A78,List!$A$1:$B$29,2,FALSE))=FALSE,"",IF(ISNUMBER(L78),VLOOKUP($A78,List!$A$1:$B$29,2,FALSE)))</f>
        <v/>
      </c>
      <c r="Y78" s="13" t="str">
        <f>IF(IF(ISNUMBER(M78),VLOOKUP($A78,List!$A$1:$B$29,2,FALSE))=FALSE,"",IF(ISNUMBER(M78),VLOOKUP($A78,List!$A$1:$B$29,2,FALSE)))</f>
        <v/>
      </c>
    </row>
    <row r="79" spans="1:25" ht="15" thickBot="1" x14ac:dyDescent="0.35">
      <c r="A79" s="4">
        <v>21</v>
      </c>
      <c r="B79" s="6" t="s">
        <v>79</v>
      </c>
      <c r="C79" s="6" t="s">
        <v>79</v>
      </c>
      <c r="D79" s="6" t="s">
        <v>79</v>
      </c>
      <c r="E79" s="6" t="s">
        <v>79</v>
      </c>
      <c r="F79" s="6" t="s">
        <v>79</v>
      </c>
      <c r="G79" s="7" t="s">
        <v>79</v>
      </c>
      <c r="H79" s="7" t="s">
        <v>79</v>
      </c>
      <c r="I79" s="7" t="s">
        <v>79</v>
      </c>
      <c r="J79" s="7" t="s">
        <v>79</v>
      </c>
      <c r="K79" s="7" t="s">
        <v>79</v>
      </c>
      <c r="L79" s="7" t="s">
        <v>79</v>
      </c>
      <c r="M79" s="7" t="s">
        <v>79</v>
      </c>
      <c r="N79" s="13" t="str">
        <f>IF(IF(ISNUMBER(B79),VLOOKUP($A79,List!$A$1:$B$29,2,FALSE))=FALSE,"",IF(ISNUMBER(B79),VLOOKUP($A79,List!$A$1:$B$29,2,FALSE)))</f>
        <v/>
      </c>
      <c r="O79" s="13" t="str">
        <f>IF(IF(ISNUMBER(C79),VLOOKUP($A79,List!$A$1:$B$29,2,FALSE))=FALSE,"",IF(ISNUMBER(C79),VLOOKUP($A79,List!$A$1:$B$29,2,FALSE)))</f>
        <v/>
      </c>
      <c r="P79" s="13" t="str">
        <f>IF(IF(ISNUMBER(D79),VLOOKUP($A79,List!$A$1:$B$29,2,FALSE))=FALSE,"",IF(ISNUMBER(D79),VLOOKUP($A79,List!$A$1:$B$29,2,FALSE)))</f>
        <v/>
      </c>
      <c r="Q79" s="13" t="str">
        <f>IF(IF(ISNUMBER(E79),VLOOKUP($A79,List!$A$1:$B$29,2,FALSE))=FALSE,"",IF(ISNUMBER(E79),VLOOKUP($A79,List!$A$1:$B$29,2,FALSE)))</f>
        <v/>
      </c>
      <c r="R79" s="13" t="str">
        <f>IF(IF(ISNUMBER(F79),VLOOKUP($A79,List!$A$1:$B$29,2,FALSE))=FALSE,"",IF(ISNUMBER(F79),VLOOKUP($A79,List!$A$1:$B$29,2,FALSE)))</f>
        <v/>
      </c>
      <c r="S79" s="13" t="str">
        <f>IF(IF(ISNUMBER(G79),VLOOKUP($A79,List!$A$1:$B$29,2,FALSE))=FALSE,"",IF(ISNUMBER(G79),VLOOKUP($A79,List!$A$1:$B$29,2,FALSE)))</f>
        <v/>
      </c>
      <c r="T79" s="13" t="str">
        <f>IF(IF(ISNUMBER(H79),VLOOKUP($A79,List!$A$1:$B$29,2,FALSE))=FALSE,"",IF(ISNUMBER(H79),VLOOKUP($A79,List!$A$1:$B$29,2,FALSE)))</f>
        <v/>
      </c>
      <c r="U79" s="13" t="str">
        <f>IF(IF(ISNUMBER(I79),VLOOKUP($A79,List!$A$1:$B$29,2,FALSE))=FALSE,"",IF(ISNUMBER(I79),VLOOKUP($A79,List!$A$1:$B$29,2,FALSE)))</f>
        <v/>
      </c>
      <c r="V79" s="13" t="str">
        <f>IF(IF(ISNUMBER(J79),VLOOKUP($A79,List!$A$1:$B$29,2,FALSE))=FALSE,"",IF(ISNUMBER(J79),VLOOKUP($A79,List!$A$1:$B$29,2,FALSE)))</f>
        <v/>
      </c>
      <c r="W79" s="13" t="str">
        <f>IF(IF(ISNUMBER(K79),VLOOKUP($A79,List!$A$1:$B$29,2,FALSE))=FALSE,"",IF(ISNUMBER(K79),VLOOKUP($A79,List!$A$1:$B$29,2,FALSE)))</f>
        <v/>
      </c>
      <c r="X79" s="13" t="str">
        <f>IF(IF(ISNUMBER(L79),VLOOKUP($A79,List!$A$1:$B$29,2,FALSE))=FALSE,"",IF(ISNUMBER(L79),VLOOKUP($A79,List!$A$1:$B$29,2,FALSE)))</f>
        <v/>
      </c>
      <c r="Y79" s="13" t="str">
        <f>IF(IF(ISNUMBER(M79),VLOOKUP($A79,List!$A$1:$B$29,2,FALSE))=FALSE,"",IF(ISNUMBER(M79),VLOOKUP($A79,List!$A$1:$B$29,2,FALSE)))</f>
        <v/>
      </c>
    </row>
    <row r="80" spans="1:25" ht="15" thickBot="1" x14ac:dyDescent="0.35">
      <c r="A80" s="4">
        <v>24</v>
      </c>
      <c r="B80" s="6" t="s">
        <v>79</v>
      </c>
      <c r="C80" s="6" t="s">
        <v>79</v>
      </c>
      <c r="D80" s="6" t="s">
        <v>79</v>
      </c>
      <c r="E80" s="6" t="s">
        <v>79</v>
      </c>
      <c r="F80" s="6" t="s">
        <v>79</v>
      </c>
      <c r="G80" s="7" t="s">
        <v>79</v>
      </c>
      <c r="H80" s="7" t="s">
        <v>79</v>
      </c>
      <c r="I80" s="7" t="s">
        <v>79</v>
      </c>
      <c r="J80" s="7" t="s">
        <v>79</v>
      </c>
      <c r="K80" s="7" t="s">
        <v>79</v>
      </c>
      <c r="L80" s="7">
        <v>0.84</v>
      </c>
      <c r="M80" s="7" t="s">
        <v>79</v>
      </c>
      <c r="N80" s="13" t="str">
        <f>IF(IF(ISNUMBER(B80),VLOOKUP($A80,List!$A$1:$B$29,2,FALSE))=FALSE,"",IF(ISNUMBER(B80),VLOOKUP($A80,List!$A$1:$B$29,2,FALSE)))</f>
        <v/>
      </c>
      <c r="O80" s="13" t="str">
        <f>IF(IF(ISNUMBER(C80),VLOOKUP($A80,List!$A$1:$B$29,2,FALSE))=FALSE,"",IF(ISNUMBER(C80),VLOOKUP($A80,List!$A$1:$B$29,2,FALSE)))</f>
        <v/>
      </c>
      <c r="P80" s="13" t="str">
        <f>IF(IF(ISNUMBER(D80),VLOOKUP($A80,List!$A$1:$B$29,2,FALSE))=FALSE,"",IF(ISNUMBER(D80),VLOOKUP($A80,List!$A$1:$B$29,2,FALSE)))</f>
        <v/>
      </c>
      <c r="Q80" s="13" t="str">
        <f>IF(IF(ISNUMBER(E80),VLOOKUP($A80,List!$A$1:$B$29,2,FALSE))=FALSE,"",IF(ISNUMBER(E80),VLOOKUP($A80,List!$A$1:$B$29,2,FALSE)))</f>
        <v/>
      </c>
      <c r="R80" s="13" t="str">
        <f>IF(IF(ISNUMBER(F80),VLOOKUP($A80,List!$A$1:$B$29,2,FALSE))=FALSE,"",IF(ISNUMBER(F80),VLOOKUP($A80,List!$A$1:$B$29,2,FALSE)))</f>
        <v/>
      </c>
      <c r="S80" s="13" t="str">
        <f>IF(IF(ISNUMBER(G80),VLOOKUP($A80,List!$A$1:$B$29,2,FALSE))=FALSE,"",IF(ISNUMBER(G80),VLOOKUP($A80,List!$A$1:$B$29,2,FALSE)))</f>
        <v/>
      </c>
      <c r="T80" s="13" t="str">
        <f>IF(IF(ISNUMBER(H80),VLOOKUP($A80,List!$A$1:$B$29,2,FALSE))=FALSE,"",IF(ISNUMBER(H80),VLOOKUP($A80,List!$A$1:$B$29,2,FALSE)))</f>
        <v/>
      </c>
      <c r="U80" s="13" t="str">
        <f>IF(IF(ISNUMBER(I80),VLOOKUP($A80,List!$A$1:$B$29,2,FALSE))=FALSE,"",IF(ISNUMBER(I80),VLOOKUP($A80,List!$A$1:$B$29,2,FALSE)))</f>
        <v/>
      </c>
      <c r="V80" s="13" t="str">
        <f>IF(IF(ISNUMBER(J80),VLOOKUP($A80,List!$A$1:$B$29,2,FALSE))=FALSE,"",IF(ISNUMBER(J80),VLOOKUP($A80,List!$A$1:$B$29,2,FALSE)))</f>
        <v/>
      </c>
      <c r="W80" s="13" t="str">
        <f>IF(IF(ISNUMBER(K80),VLOOKUP($A80,List!$A$1:$B$29,2,FALSE))=FALSE,"",IF(ISNUMBER(K80),VLOOKUP($A80,List!$A$1:$B$29,2,FALSE)))</f>
        <v/>
      </c>
      <c r="X80" s="13" t="str">
        <f>IF(IF(ISNUMBER(L80),VLOOKUP($A80,List!$A$1:$B$29,2,FALSE))=FALSE,"",IF(ISNUMBER(L80),VLOOKUP($A80,List!$A$1:$B$29,2,FALSE)))</f>
        <v>Boating gives me an outlet to socialize with family/friends</v>
      </c>
      <c r="Y80" s="13" t="str">
        <f>IF(IF(ISNUMBER(M80),VLOOKUP($A80,List!$A$1:$B$29,2,FALSE))=FALSE,"",IF(ISNUMBER(M80),VLOOKUP($A80,List!$A$1:$B$29,2,FALSE)))</f>
        <v/>
      </c>
    </row>
    <row r="81" spans="1:25" ht="15" thickBot="1" x14ac:dyDescent="0.35">
      <c r="A81" s="4">
        <v>1</v>
      </c>
      <c r="B81" s="6" t="s">
        <v>79</v>
      </c>
      <c r="C81" s="5" t="s">
        <v>79</v>
      </c>
      <c r="D81" s="6" t="s">
        <v>79</v>
      </c>
      <c r="E81" s="6" t="s">
        <v>79</v>
      </c>
      <c r="F81" s="6" t="s">
        <v>79</v>
      </c>
      <c r="G81" s="7" t="s">
        <v>79</v>
      </c>
      <c r="H81" s="7" t="s">
        <v>79</v>
      </c>
      <c r="I81" s="7" t="s">
        <v>79</v>
      </c>
      <c r="J81" s="7">
        <v>1.01</v>
      </c>
      <c r="K81" s="7" t="s">
        <v>79</v>
      </c>
      <c r="L81" s="7" t="s">
        <v>79</v>
      </c>
      <c r="M81" s="7" t="s">
        <v>79</v>
      </c>
      <c r="N81" s="13" t="str">
        <f>IF(IF(ISNUMBER(B81),VLOOKUP($A81,List!$A$1:$B$29,2,FALSE))=FALSE,"",IF(ISNUMBER(B81),VLOOKUP($A81,List!$A$1:$B$29,2,FALSE)))</f>
        <v/>
      </c>
      <c r="O81" s="13" t="str">
        <f>IF(IF(ISNUMBER(C81),VLOOKUP($A81,List!$A$1:$B$29,2,FALSE))=FALSE,"",IF(ISNUMBER(C81),VLOOKUP($A81,List!$A$1:$B$29,2,FALSE)))</f>
        <v/>
      </c>
      <c r="P81" s="13" t="str">
        <f>IF(IF(ISNUMBER(D81),VLOOKUP($A81,List!$A$1:$B$29,2,FALSE))=FALSE,"",IF(ISNUMBER(D81),VLOOKUP($A81,List!$A$1:$B$29,2,FALSE)))</f>
        <v/>
      </c>
      <c r="Q81" s="13" t="str">
        <f>IF(IF(ISNUMBER(E81),VLOOKUP($A81,List!$A$1:$B$29,2,FALSE))=FALSE,"",IF(ISNUMBER(E81),VLOOKUP($A81,List!$A$1:$B$29,2,FALSE)))</f>
        <v/>
      </c>
      <c r="R81" s="13" t="str">
        <f>IF(IF(ISNUMBER(F81),VLOOKUP($A81,List!$A$1:$B$29,2,FALSE))=FALSE,"",IF(ISNUMBER(F81),VLOOKUP($A81,List!$A$1:$B$29,2,FALSE)))</f>
        <v/>
      </c>
      <c r="S81" s="13" t="str">
        <f>IF(IF(ISNUMBER(G81),VLOOKUP($A81,List!$A$1:$B$29,2,FALSE))=FALSE,"",IF(ISNUMBER(G81),VLOOKUP($A81,List!$A$1:$B$29,2,FALSE)))</f>
        <v/>
      </c>
      <c r="T81" s="13" t="str">
        <f>IF(IF(ISNUMBER(H81),VLOOKUP($A81,List!$A$1:$B$29,2,FALSE))=FALSE,"",IF(ISNUMBER(H81),VLOOKUP($A81,List!$A$1:$B$29,2,FALSE)))</f>
        <v/>
      </c>
      <c r="U81" s="13" t="str">
        <f>IF(IF(ISNUMBER(I81),VLOOKUP($A81,List!$A$1:$B$29,2,FALSE))=FALSE,"",IF(ISNUMBER(I81),VLOOKUP($A81,List!$A$1:$B$29,2,FALSE)))</f>
        <v/>
      </c>
      <c r="V81" s="13" t="str">
        <f>IF(IF(ISNUMBER(J81),VLOOKUP($A81,List!$A$1:$B$29,2,FALSE))=FALSE,"",IF(ISNUMBER(J81),VLOOKUP($A81,List!$A$1:$B$29,2,FALSE)))</f>
        <v>When buying a boat, I do a lot of shopping around and visit multiple dealers</v>
      </c>
      <c r="W81" s="13" t="str">
        <f>IF(IF(ISNUMBER(K81),VLOOKUP($A81,List!$A$1:$B$29,2,FALSE))=FALSE,"",IF(ISNUMBER(K81),VLOOKUP($A81,List!$A$1:$B$29,2,FALSE)))</f>
        <v/>
      </c>
      <c r="X81" s="13" t="str">
        <f>IF(IF(ISNUMBER(L81),VLOOKUP($A81,List!$A$1:$B$29,2,FALSE))=FALSE,"",IF(ISNUMBER(L81),VLOOKUP($A81,List!$A$1:$B$29,2,FALSE)))</f>
        <v/>
      </c>
      <c r="Y81" s="13" t="str">
        <f>IF(IF(ISNUMBER(M81),VLOOKUP($A81,List!$A$1:$B$29,2,FALSE))=FALSE,"",IF(ISNUMBER(M81),VLOOKUP($A81,List!$A$1:$B$29,2,FALSE)))</f>
        <v/>
      </c>
    </row>
    <row r="82" spans="1:25" ht="15" thickBot="1" x14ac:dyDescent="0.35">
      <c r="A82" s="4">
        <v>6</v>
      </c>
      <c r="B82" s="6" t="s">
        <v>79</v>
      </c>
      <c r="C82" s="6" t="s">
        <v>79</v>
      </c>
      <c r="D82" s="6" t="s">
        <v>79</v>
      </c>
      <c r="E82" s="5">
        <v>0.74</v>
      </c>
      <c r="F82" s="6" t="s">
        <v>79</v>
      </c>
      <c r="G82" s="7" t="s">
        <v>79</v>
      </c>
      <c r="H82" s="7" t="s">
        <v>79</v>
      </c>
      <c r="I82" s="7" t="s">
        <v>79</v>
      </c>
      <c r="J82" s="7" t="s">
        <v>79</v>
      </c>
      <c r="K82" s="7" t="s">
        <v>79</v>
      </c>
      <c r="L82" s="7" t="s">
        <v>79</v>
      </c>
      <c r="M82" s="7" t="s">
        <v>79</v>
      </c>
      <c r="N82" s="13" t="str">
        <f>IF(IF(ISNUMBER(B82),VLOOKUP($A82,List!$A$1:$B$29,2,FALSE))=FALSE,"",IF(ISNUMBER(B82),VLOOKUP($A82,List!$A$1:$B$29,2,FALSE)))</f>
        <v/>
      </c>
      <c r="O82" s="13" t="str">
        <f>IF(IF(ISNUMBER(C82),VLOOKUP($A82,List!$A$1:$B$29,2,FALSE))=FALSE,"",IF(ISNUMBER(C82),VLOOKUP($A82,List!$A$1:$B$29,2,FALSE)))</f>
        <v/>
      </c>
      <c r="P82" s="13" t="str">
        <f>IF(IF(ISNUMBER(D82),VLOOKUP($A82,List!$A$1:$B$29,2,FALSE))=FALSE,"",IF(ISNUMBER(D82),VLOOKUP($A82,List!$A$1:$B$29,2,FALSE)))</f>
        <v/>
      </c>
      <c r="Q82" s="14" t="str">
        <f>IF(IF(ISNUMBER(E82),VLOOKUP($A82,List!$A$1:$B$29,2,FALSE))=FALSE,"",IF(ISNUMBER(E82),VLOOKUP($A82,List!$A$1:$B$29,2,FALSE)))</f>
        <v>Owning a boat is a way of rewarding myself for hard work</v>
      </c>
      <c r="R82" s="13" t="str">
        <f>IF(IF(ISNUMBER(F82),VLOOKUP($A82,List!$A$1:$B$29,2,FALSE))=FALSE,"",IF(ISNUMBER(F82),VLOOKUP($A82,List!$A$1:$B$29,2,FALSE)))</f>
        <v/>
      </c>
      <c r="S82" s="13" t="str">
        <f>IF(IF(ISNUMBER(G82),VLOOKUP($A82,List!$A$1:$B$29,2,FALSE))=FALSE,"",IF(ISNUMBER(G82),VLOOKUP($A82,List!$A$1:$B$29,2,FALSE)))</f>
        <v/>
      </c>
      <c r="T82" s="13" t="str">
        <f>IF(IF(ISNUMBER(H82),VLOOKUP($A82,List!$A$1:$B$29,2,FALSE))=FALSE,"",IF(ISNUMBER(H82),VLOOKUP($A82,List!$A$1:$B$29,2,FALSE)))</f>
        <v/>
      </c>
      <c r="U82" s="13" t="str">
        <f>IF(IF(ISNUMBER(I82),VLOOKUP($A82,List!$A$1:$B$29,2,FALSE))=FALSE,"",IF(ISNUMBER(I82),VLOOKUP($A82,List!$A$1:$B$29,2,FALSE)))</f>
        <v/>
      </c>
      <c r="V82" s="13" t="str">
        <f>IF(IF(ISNUMBER(J82),VLOOKUP($A82,List!$A$1:$B$29,2,FALSE))=FALSE,"",IF(ISNUMBER(J82),VLOOKUP($A82,List!$A$1:$B$29,2,FALSE)))</f>
        <v/>
      </c>
      <c r="W82" s="13" t="str">
        <f>IF(IF(ISNUMBER(K82),VLOOKUP($A82,List!$A$1:$B$29,2,FALSE))=FALSE,"",IF(ISNUMBER(K82),VLOOKUP($A82,List!$A$1:$B$29,2,FALSE)))</f>
        <v/>
      </c>
      <c r="X82" s="13" t="str">
        <f>IF(IF(ISNUMBER(L82),VLOOKUP($A82,List!$A$1:$B$29,2,FALSE))=FALSE,"",IF(ISNUMBER(L82),VLOOKUP($A82,List!$A$1:$B$29,2,FALSE)))</f>
        <v/>
      </c>
      <c r="Y82" s="13" t="str">
        <f>IF(IF(ISNUMBER(M82),VLOOKUP($A82,List!$A$1:$B$29,2,FALSE))=FALSE,"",IF(ISNUMBER(M82),VLOOKUP($A82,List!$A$1:$B$29,2,FALSE)))</f>
        <v/>
      </c>
    </row>
    <row r="83" spans="1:25" ht="15" thickBot="1" x14ac:dyDescent="0.35">
      <c r="A83" s="4">
        <v>13</v>
      </c>
      <c r="B83" s="6" t="s">
        <v>79</v>
      </c>
      <c r="C83" s="6">
        <v>0.84</v>
      </c>
      <c r="D83" s="6" t="s">
        <v>79</v>
      </c>
      <c r="E83" s="5" t="s">
        <v>79</v>
      </c>
      <c r="F83" s="6" t="s">
        <v>79</v>
      </c>
      <c r="G83" s="7" t="s">
        <v>79</v>
      </c>
      <c r="H83" s="7" t="s">
        <v>79</v>
      </c>
      <c r="I83" s="7" t="s">
        <v>79</v>
      </c>
      <c r="J83" s="7" t="s">
        <v>79</v>
      </c>
      <c r="K83" s="7" t="s">
        <v>79</v>
      </c>
      <c r="L83" s="7" t="s">
        <v>79</v>
      </c>
      <c r="M83" s="7" t="s">
        <v>79</v>
      </c>
      <c r="N83" s="13" t="str">
        <f>IF(IF(ISNUMBER(B83),VLOOKUP($A83,List!$A$1:$B$29,2,FALSE))=FALSE,"",IF(ISNUMBER(B83),VLOOKUP($A83,List!$A$1:$B$29,2,FALSE)))</f>
        <v/>
      </c>
      <c r="O83" s="13" t="str">
        <f>IF(IF(ISNUMBER(C83),VLOOKUP($A83,List!$A$1:$B$29,2,FALSE))=FALSE,"",IF(ISNUMBER(C83),VLOOKUP($A83,List!$A$1:$B$29,2,FALSE)))</f>
        <v>When buying a boat, I tend to buy the latest and greatest</v>
      </c>
      <c r="P83" s="13" t="str">
        <f>IF(IF(ISNUMBER(D83),VLOOKUP($A83,List!$A$1:$B$29,2,FALSE))=FALSE,"",IF(ISNUMBER(D83),VLOOKUP($A83,List!$A$1:$B$29,2,FALSE)))</f>
        <v/>
      </c>
      <c r="Q83" s="14" t="str">
        <f>IF(IF(ISNUMBER(E83),VLOOKUP($A83,List!$A$1:$B$29,2,FALSE))=FALSE,"",IF(ISNUMBER(E83),VLOOKUP($A83,List!$A$1:$B$29,2,FALSE)))</f>
        <v/>
      </c>
      <c r="R83" s="13" t="str">
        <f>IF(IF(ISNUMBER(F83),VLOOKUP($A83,List!$A$1:$B$29,2,FALSE))=FALSE,"",IF(ISNUMBER(F83),VLOOKUP($A83,List!$A$1:$B$29,2,FALSE)))</f>
        <v/>
      </c>
      <c r="S83" s="13" t="str">
        <f>IF(IF(ISNUMBER(G83),VLOOKUP($A83,List!$A$1:$B$29,2,FALSE))=FALSE,"",IF(ISNUMBER(G83),VLOOKUP($A83,List!$A$1:$B$29,2,FALSE)))</f>
        <v/>
      </c>
      <c r="T83" s="13" t="str">
        <f>IF(IF(ISNUMBER(H83),VLOOKUP($A83,List!$A$1:$B$29,2,FALSE))=FALSE,"",IF(ISNUMBER(H83),VLOOKUP($A83,List!$A$1:$B$29,2,FALSE)))</f>
        <v/>
      </c>
      <c r="U83" s="13" t="str">
        <f>IF(IF(ISNUMBER(I83),VLOOKUP($A83,List!$A$1:$B$29,2,FALSE))=FALSE,"",IF(ISNUMBER(I83),VLOOKUP($A83,List!$A$1:$B$29,2,FALSE)))</f>
        <v/>
      </c>
      <c r="V83" s="13" t="str">
        <f>IF(IF(ISNUMBER(J83),VLOOKUP($A83,List!$A$1:$B$29,2,FALSE))=FALSE,"",IF(ISNUMBER(J83),VLOOKUP($A83,List!$A$1:$B$29,2,FALSE)))</f>
        <v/>
      </c>
      <c r="W83" s="13" t="str">
        <f>IF(IF(ISNUMBER(K83),VLOOKUP($A83,List!$A$1:$B$29,2,FALSE))=FALSE,"",IF(ISNUMBER(K83),VLOOKUP($A83,List!$A$1:$B$29,2,FALSE)))</f>
        <v/>
      </c>
      <c r="X83" s="13" t="str">
        <f>IF(IF(ISNUMBER(L83),VLOOKUP($A83,List!$A$1:$B$29,2,FALSE))=FALSE,"",IF(ISNUMBER(L83),VLOOKUP($A83,List!$A$1:$B$29,2,FALSE)))</f>
        <v/>
      </c>
      <c r="Y83" s="13" t="str">
        <f>IF(IF(ISNUMBER(M83),VLOOKUP($A83,List!$A$1:$B$29,2,FALSE))=FALSE,"",IF(ISNUMBER(M83),VLOOKUP($A83,List!$A$1:$B$29,2,FALSE)))</f>
        <v/>
      </c>
    </row>
    <row r="84" spans="1:25" ht="15" thickBot="1" x14ac:dyDescent="0.35">
      <c r="A84" s="4">
        <v>25</v>
      </c>
      <c r="B84" s="6" t="s">
        <v>79</v>
      </c>
      <c r="C84" s="6" t="s">
        <v>79</v>
      </c>
      <c r="D84" s="6">
        <v>0.5</v>
      </c>
      <c r="E84" s="6" t="s">
        <v>79</v>
      </c>
      <c r="F84" s="5" t="s">
        <v>79</v>
      </c>
      <c r="G84" s="7" t="s">
        <v>79</v>
      </c>
      <c r="H84" s="7" t="s">
        <v>79</v>
      </c>
      <c r="I84" s="7" t="s">
        <v>79</v>
      </c>
      <c r="J84" s="7" t="s">
        <v>79</v>
      </c>
      <c r="K84" s="7" t="s">
        <v>79</v>
      </c>
      <c r="L84" s="7" t="s">
        <v>79</v>
      </c>
      <c r="M84" s="7" t="s">
        <v>79</v>
      </c>
      <c r="N84" s="13" t="str">
        <f>IF(IF(ISNUMBER(B84),VLOOKUP($A84,List!$A$1:$B$29,2,FALSE))=FALSE,"",IF(ISNUMBER(B84),VLOOKUP($A84,List!$A$1:$B$29,2,FALSE)))</f>
        <v/>
      </c>
      <c r="O84" s="13" t="str">
        <f>IF(IF(ISNUMBER(C84),VLOOKUP($A84,List!$A$1:$B$29,2,FALSE))=FALSE,"",IF(ISNUMBER(C84),VLOOKUP($A84,List!$A$1:$B$29,2,FALSE)))</f>
        <v/>
      </c>
      <c r="P84" s="13" t="str">
        <f>IF(IF(ISNUMBER(D84),VLOOKUP($A84,List!$A$1:$B$29,2,FALSE))=FALSE,"",IF(ISNUMBER(D84),VLOOKUP($A84,List!$A$1:$B$29,2,FALSE)))</f>
        <v>Being in charge of my boat is what is most important to me</v>
      </c>
      <c r="Q84" s="13" t="str">
        <f>IF(IF(ISNUMBER(E84),VLOOKUP($A84,List!$A$1:$B$29,2,FALSE))=FALSE,"",IF(ISNUMBER(E84),VLOOKUP($A84,List!$A$1:$B$29,2,FALSE)))</f>
        <v/>
      </c>
      <c r="R84" s="13" t="str">
        <f>IF(IF(ISNUMBER(F84),VLOOKUP($A84,List!$A$1:$B$29,2,FALSE))=FALSE,"",IF(ISNUMBER(F84),VLOOKUP($A84,List!$A$1:$B$29,2,FALSE)))</f>
        <v/>
      </c>
      <c r="S84" s="13" t="str">
        <f>IF(IF(ISNUMBER(G84),VLOOKUP($A84,List!$A$1:$B$29,2,FALSE))=FALSE,"",IF(ISNUMBER(G84),VLOOKUP($A84,List!$A$1:$B$29,2,FALSE)))</f>
        <v/>
      </c>
      <c r="T84" s="13" t="str">
        <f>IF(IF(ISNUMBER(H84),VLOOKUP($A84,List!$A$1:$B$29,2,FALSE))=FALSE,"",IF(ISNUMBER(H84),VLOOKUP($A84,List!$A$1:$B$29,2,FALSE)))</f>
        <v/>
      </c>
      <c r="U84" s="13" t="str">
        <f>IF(IF(ISNUMBER(I84),VLOOKUP($A84,List!$A$1:$B$29,2,FALSE))=FALSE,"",IF(ISNUMBER(I84),VLOOKUP($A84,List!$A$1:$B$29,2,FALSE)))</f>
        <v/>
      </c>
      <c r="V84" s="13" t="str">
        <f>IF(IF(ISNUMBER(J84),VLOOKUP($A84,List!$A$1:$B$29,2,FALSE))=FALSE,"",IF(ISNUMBER(J84),VLOOKUP($A84,List!$A$1:$B$29,2,FALSE)))</f>
        <v/>
      </c>
      <c r="W84" s="13" t="str">
        <f>IF(IF(ISNUMBER(K84),VLOOKUP($A84,List!$A$1:$B$29,2,FALSE))=FALSE,"",IF(ISNUMBER(K84),VLOOKUP($A84,List!$A$1:$B$29,2,FALSE)))</f>
        <v/>
      </c>
      <c r="X84" s="13" t="str">
        <f>IF(IF(ISNUMBER(L84),VLOOKUP($A84,List!$A$1:$B$29,2,FALSE))=FALSE,"",IF(ISNUMBER(L84),VLOOKUP($A84,List!$A$1:$B$29,2,FALSE)))</f>
        <v/>
      </c>
      <c r="Y84" s="13" t="str">
        <f>IF(IF(ISNUMBER(M84),VLOOKUP($A84,List!$A$1:$B$29,2,FALSE))=FALSE,"",IF(ISNUMBER(M84),VLOOKUP($A84,List!$A$1:$B$29,2,FALSE)))</f>
        <v/>
      </c>
    </row>
    <row r="85" spans="1:25" ht="15" thickBot="1" x14ac:dyDescent="0.35">
      <c r="A85" s="4">
        <v>14</v>
      </c>
      <c r="B85" s="6" t="s">
        <v>79</v>
      </c>
      <c r="C85" s="6">
        <v>0.87</v>
      </c>
      <c r="D85" s="6" t="s">
        <v>79</v>
      </c>
      <c r="E85" s="6" t="s">
        <v>79</v>
      </c>
      <c r="F85" s="6" t="s">
        <v>79</v>
      </c>
      <c r="G85" s="7" t="s">
        <v>79</v>
      </c>
      <c r="H85" s="7" t="s">
        <v>79</v>
      </c>
      <c r="I85" s="7" t="s">
        <v>79</v>
      </c>
      <c r="J85" s="7" t="s">
        <v>79</v>
      </c>
      <c r="K85" s="7" t="s">
        <v>79</v>
      </c>
      <c r="L85" s="7" t="s">
        <v>79</v>
      </c>
      <c r="M85" s="8" t="s">
        <v>79</v>
      </c>
      <c r="N85" s="13" t="str">
        <f>IF(IF(ISNUMBER(B85),VLOOKUP($A85,List!$A$1:$B$29,2,FALSE))=FALSE,"",IF(ISNUMBER(B85),VLOOKUP($A85,List!$A$1:$B$29,2,FALSE)))</f>
        <v/>
      </c>
      <c r="O85" s="13" t="str">
        <f>IF(IF(ISNUMBER(C85),VLOOKUP($A85,List!$A$1:$B$29,2,FALSE))=FALSE,"",IF(ISNUMBER(C85),VLOOKUP($A85,List!$A$1:$B$29,2,FALSE)))</f>
        <v>When buying accessories for my boat, I tend to buy the latest and greatest</v>
      </c>
      <c r="P85" s="13" t="str">
        <f>IF(IF(ISNUMBER(D85),VLOOKUP($A85,List!$A$1:$B$29,2,FALSE))=FALSE,"",IF(ISNUMBER(D85),VLOOKUP($A85,List!$A$1:$B$29,2,FALSE)))</f>
        <v/>
      </c>
      <c r="Q85" s="13" t="str">
        <f>IF(IF(ISNUMBER(E85),VLOOKUP($A85,List!$A$1:$B$29,2,FALSE))=FALSE,"",IF(ISNUMBER(E85),VLOOKUP($A85,List!$A$1:$B$29,2,FALSE)))</f>
        <v/>
      </c>
      <c r="R85" s="13" t="str">
        <f>IF(IF(ISNUMBER(F85),VLOOKUP($A85,List!$A$1:$B$29,2,FALSE))=FALSE,"",IF(ISNUMBER(F85),VLOOKUP($A85,List!$A$1:$B$29,2,FALSE)))</f>
        <v/>
      </c>
      <c r="S85" s="13" t="str">
        <f>IF(IF(ISNUMBER(G85),VLOOKUP($A85,List!$A$1:$B$29,2,FALSE))=FALSE,"",IF(ISNUMBER(G85),VLOOKUP($A85,List!$A$1:$B$29,2,FALSE)))</f>
        <v/>
      </c>
      <c r="T85" s="13" t="str">
        <f>IF(IF(ISNUMBER(H85),VLOOKUP($A85,List!$A$1:$B$29,2,FALSE))=FALSE,"",IF(ISNUMBER(H85),VLOOKUP($A85,List!$A$1:$B$29,2,FALSE)))</f>
        <v/>
      </c>
      <c r="U85" s="13" t="str">
        <f>IF(IF(ISNUMBER(I85),VLOOKUP($A85,List!$A$1:$B$29,2,FALSE))=FALSE,"",IF(ISNUMBER(I85),VLOOKUP($A85,List!$A$1:$B$29,2,FALSE)))</f>
        <v/>
      </c>
      <c r="V85" s="13" t="str">
        <f>IF(IF(ISNUMBER(J85),VLOOKUP($A85,List!$A$1:$B$29,2,FALSE))=FALSE,"",IF(ISNUMBER(J85),VLOOKUP($A85,List!$A$1:$B$29,2,FALSE)))</f>
        <v/>
      </c>
      <c r="W85" s="13" t="str">
        <f>IF(IF(ISNUMBER(K85),VLOOKUP($A85,List!$A$1:$B$29,2,FALSE))=FALSE,"",IF(ISNUMBER(K85),VLOOKUP($A85,List!$A$1:$B$29,2,FALSE)))</f>
        <v/>
      </c>
      <c r="X85" s="13" t="str">
        <f>IF(IF(ISNUMBER(L85),VLOOKUP($A85,List!$A$1:$B$29,2,FALSE))=FALSE,"",IF(ISNUMBER(L85),VLOOKUP($A85,List!$A$1:$B$29,2,FALSE)))</f>
        <v/>
      </c>
      <c r="Y85" s="13" t="str">
        <f>IF(IF(ISNUMBER(M85),VLOOKUP($A85,List!$A$1:$B$29,2,FALSE))=FALSE,"",IF(ISNUMBER(M85),VLOOKUP($A85,List!$A$1:$B$29,2,FALSE)))</f>
        <v/>
      </c>
    </row>
    <row r="86" spans="1:25" ht="15" thickBot="1" x14ac:dyDescent="0.35">
      <c r="A86" s="4">
        <v>18</v>
      </c>
      <c r="B86" s="6" t="s">
        <v>79</v>
      </c>
      <c r="C86" s="6" t="s">
        <v>79</v>
      </c>
      <c r="D86" s="6">
        <v>0.75</v>
      </c>
      <c r="E86" s="6" t="s">
        <v>79</v>
      </c>
      <c r="F86" s="6" t="s">
        <v>79</v>
      </c>
      <c r="G86" s="8" t="s">
        <v>79</v>
      </c>
      <c r="H86" s="7" t="s">
        <v>79</v>
      </c>
      <c r="I86" s="7" t="s">
        <v>79</v>
      </c>
      <c r="J86" s="7" t="s">
        <v>79</v>
      </c>
      <c r="K86" s="7" t="s">
        <v>79</v>
      </c>
      <c r="L86" s="7" t="s">
        <v>79</v>
      </c>
      <c r="M86" s="7" t="s">
        <v>79</v>
      </c>
      <c r="N86" s="13" t="str">
        <f>IF(IF(ISNUMBER(B86),VLOOKUP($A86,List!$A$1:$B$29,2,FALSE))=FALSE,"",IF(ISNUMBER(B86),VLOOKUP($A86,List!$A$1:$B$29,2,FALSE)))</f>
        <v/>
      </c>
      <c r="O86" s="13" t="str">
        <f>IF(IF(ISNUMBER(C86),VLOOKUP($A86,List!$A$1:$B$29,2,FALSE))=FALSE,"",IF(ISNUMBER(C86),VLOOKUP($A86,List!$A$1:$B$29,2,FALSE)))</f>
        <v/>
      </c>
      <c r="P86" s="13" t="str">
        <f>IF(IF(ISNUMBER(D86),VLOOKUP($A86,List!$A$1:$B$29,2,FALSE))=FALSE,"",IF(ISNUMBER(D86),VLOOKUP($A86,List!$A$1:$B$29,2,FALSE)))</f>
        <v>Boating gives me a feeling of adventure</v>
      </c>
      <c r="Q86" s="13" t="str">
        <f>IF(IF(ISNUMBER(E86),VLOOKUP($A86,List!$A$1:$B$29,2,FALSE))=FALSE,"",IF(ISNUMBER(E86),VLOOKUP($A86,List!$A$1:$B$29,2,FALSE)))</f>
        <v/>
      </c>
      <c r="R86" s="13" t="str">
        <f>IF(IF(ISNUMBER(F86),VLOOKUP($A86,List!$A$1:$B$29,2,FALSE))=FALSE,"",IF(ISNUMBER(F86),VLOOKUP($A86,List!$A$1:$B$29,2,FALSE)))</f>
        <v/>
      </c>
      <c r="S86" s="13" t="str">
        <f>IF(IF(ISNUMBER(G86),VLOOKUP($A86,List!$A$1:$B$29,2,FALSE))=FALSE,"",IF(ISNUMBER(G86),VLOOKUP($A86,List!$A$1:$B$29,2,FALSE)))</f>
        <v/>
      </c>
      <c r="T86" s="13" t="str">
        <f>IF(IF(ISNUMBER(H86),VLOOKUP($A86,List!$A$1:$B$29,2,FALSE))=FALSE,"",IF(ISNUMBER(H86),VLOOKUP($A86,List!$A$1:$B$29,2,FALSE)))</f>
        <v/>
      </c>
      <c r="U86" s="13" t="str">
        <f>IF(IF(ISNUMBER(I86),VLOOKUP($A86,List!$A$1:$B$29,2,FALSE))=FALSE,"",IF(ISNUMBER(I86),VLOOKUP($A86,List!$A$1:$B$29,2,FALSE)))</f>
        <v/>
      </c>
      <c r="V86" s="13" t="str">
        <f>IF(IF(ISNUMBER(J86),VLOOKUP($A86,List!$A$1:$B$29,2,FALSE))=FALSE,"",IF(ISNUMBER(J86),VLOOKUP($A86,List!$A$1:$B$29,2,FALSE)))</f>
        <v/>
      </c>
      <c r="W86" s="13" t="str">
        <f>IF(IF(ISNUMBER(K86),VLOOKUP($A86,List!$A$1:$B$29,2,FALSE))=FALSE,"",IF(ISNUMBER(K86),VLOOKUP($A86,List!$A$1:$B$29,2,FALSE)))</f>
        <v/>
      </c>
      <c r="X86" s="13" t="str">
        <f>IF(IF(ISNUMBER(L86),VLOOKUP($A86,List!$A$1:$B$29,2,FALSE))=FALSE,"",IF(ISNUMBER(L86),VLOOKUP($A86,List!$A$1:$B$29,2,FALSE)))</f>
        <v/>
      </c>
      <c r="Y86" s="13" t="str">
        <f>IF(IF(ISNUMBER(M86),VLOOKUP($A86,List!$A$1:$B$29,2,FALSE))=FALSE,"",IF(ISNUMBER(M86),VLOOKUP($A86,List!$A$1:$B$29,2,FALSE)))</f>
        <v/>
      </c>
    </row>
    <row r="87" spans="1:25" ht="15" thickBot="1" x14ac:dyDescent="0.35">
      <c r="A87" s="4">
        <v>19</v>
      </c>
      <c r="B87" s="6" t="s">
        <v>79</v>
      </c>
      <c r="C87" s="6" t="s">
        <v>79</v>
      </c>
      <c r="D87" s="5">
        <v>1.04</v>
      </c>
      <c r="E87" s="6" t="s">
        <v>79</v>
      </c>
      <c r="F87" s="6" t="s">
        <v>79</v>
      </c>
      <c r="G87" s="7" t="s">
        <v>79</v>
      </c>
      <c r="H87" s="7" t="s">
        <v>79</v>
      </c>
      <c r="I87" s="7" t="s">
        <v>79</v>
      </c>
      <c r="J87" s="7" t="s">
        <v>79</v>
      </c>
      <c r="K87" s="7" t="s">
        <v>79</v>
      </c>
      <c r="L87" s="7" t="s">
        <v>79</v>
      </c>
      <c r="M87" s="7" t="s">
        <v>79</v>
      </c>
      <c r="N87" s="13" t="str">
        <f>IF(IF(ISNUMBER(B87),VLOOKUP($A87,List!$A$1:$B$29,2,FALSE))=FALSE,"",IF(ISNUMBER(B87),VLOOKUP($A87,List!$A$1:$B$29,2,FALSE)))</f>
        <v/>
      </c>
      <c r="O87" s="13" t="str">
        <f>IF(IF(ISNUMBER(C87),VLOOKUP($A87,List!$A$1:$B$29,2,FALSE))=FALSE,"",IF(ISNUMBER(C87),VLOOKUP($A87,List!$A$1:$B$29,2,FALSE)))</f>
        <v/>
      </c>
      <c r="P87" s="13" t="str">
        <f>IF(IF(ISNUMBER(D87),VLOOKUP($A87,List!$A$1:$B$29,2,FALSE))=FALSE,"",IF(ISNUMBER(D87),VLOOKUP($A87,List!$A$1:$B$29,2,FALSE)))</f>
        <v>Boating allows me to experience nature</v>
      </c>
      <c r="Q87" s="13" t="str">
        <f>IF(IF(ISNUMBER(E87),VLOOKUP($A87,List!$A$1:$B$29,2,FALSE))=FALSE,"",IF(ISNUMBER(E87),VLOOKUP($A87,List!$A$1:$B$29,2,FALSE)))</f>
        <v/>
      </c>
      <c r="R87" s="13" t="str">
        <f>IF(IF(ISNUMBER(F87),VLOOKUP($A87,List!$A$1:$B$29,2,FALSE))=FALSE,"",IF(ISNUMBER(F87),VLOOKUP($A87,List!$A$1:$B$29,2,FALSE)))</f>
        <v/>
      </c>
      <c r="S87" s="13" t="str">
        <f>IF(IF(ISNUMBER(G87),VLOOKUP($A87,List!$A$1:$B$29,2,FALSE))=FALSE,"",IF(ISNUMBER(G87),VLOOKUP($A87,List!$A$1:$B$29,2,FALSE)))</f>
        <v/>
      </c>
      <c r="T87" s="13" t="str">
        <f>IF(IF(ISNUMBER(H87),VLOOKUP($A87,List!$A$1:$B$29,2,FALSE))=FALSE,"",IF(ISNUMBER(H87),VLOOKUP($A87,List!$A$1:$B$29,2,FALSE)))</f>
        <v/>
      </c>
      <c r="U87" s="13" t="str">
        <f>IF(IF(ISNUMBER(I87),VLOOKUP($A87,List!$A$1:$B$29,2,FALSE))=FALSE,"",IF(ISNUMBER(I87),VLOOKUP($A87,List!$A$1:$B$29,2,FALSE)))</f>
        <v/>
      </c>
      <c r="V87" s="13" t="str">
        <f>IF(IF(ISNUMBER(J87),VLOOKUP($A87,List!$A$1:$B$29,2,FALSE))=FALSE,"",IF(ISNUMBER(J87),VLOOKUP($A87,List!$A$1:$B$29,2,FALSE)))</f>
        <v/>
      </c>
      <c r="W87" s="13" t="str">
        <f>IF(IF(ISNUMBER(K87),VLOOKUP($A87,List!$A$1:$B$29,2,FALSE))=FALSE,"",IF(ISNUMBER(K87),VLOOKUP($A87,List!$A$1:$B$29,2,FALSE)))</f>
        <v/>
      </c>
      <c r="X87" s="13" t="str">
        <f>IF(IF(ISNUMBER(L87),VLOOKUP($A87,List!$A$1:$B$29,2,FALSE))=FALSE,"",IF(ISNUMBER(L87),VLOOKUP($A87,List!$A$1:$B$29,2,FALSE)))</f>
        <v/>
      </c>
      <c r="Y87" s="13" t="str">
        <f>IF(IF(ISNUMBER(M87),VLOOKUP($A87,List!$A$1:$B$29,2,FALSE))=FALSE,"",IF(ISNUMBER(M87),VLOOKUP($A87,List!$A$1:$B$29,2,FALSE)))</f>
        <v/>
      </c>
    </row>
    <row r="88" spans="1:25" ht="15" thickBot="1" x14ac:dyDescent="0.35">
      <c r="A88" s="4">
        <v>29</v>
      </c>
      <c r="B88" s="6" t="s">
        <v>79</v>
      </c>
      <c r="C88" s="6" t="s">
        <v>79</v>
      </c>
      <c r="D88" s="5" t="s">
        <v>79</v>
      </c>
      <c r="E88" s="6" t="s">
        <v>79</v>
      </c>
      <c r="F88" s="6" t="s">
        <v>79</v>
      </c>
      <c r="G88" s="7" t="s">
        <v>79</v>
      </c>
      <c r="H88" s="7" t="s">
        <v>79</v>
      </c>
      <c r="I88" s="7" t="s">
        <v>79</v>
      </c>
      <c r="J88" s="7" t="s">
        <v>79</v>
      </c>
      <c r="K88" s="7" t="s">
        <v>79</v>
      </c>
      <c r="L88" s="7" t="s">
        <v>79</v>
      </c>
      <c r="M88" s="7">
        <v>0.97</v>
      </c>
      <c r="N88" s="13" t="str">
        <f>IF(IF(ISNUMBER(B88),VLOOKUP($A88,List!$A$1:$B$29,2,FALSE))=FALSE,"",IF(ISNUMBER(B88),VLOOKUP($A88,List!$A$1:$B$29,2,FALSE)))</f>
        <v/>
      </c>
      <c r="O88" s="13" t="str">
        <f>IF(IF(ISNUMBER(C88),VLOOKUP($A88,List!$A$1:$B$29,2,FALSE))=FALSE,"",IF(ISNUMBER(C88),VLOOKUP($A88,List!$A$1:$B$29,2,FALSE)))</f>
        <v/>
      </c>
      <c r="P88" s="13" t="str">
        <f>IF(IF(ISNUMBER(D88),VLOOKUP($A88,List!$A$1:$B$29,2,FALSE))=FALSE,"",IF(ISNUMBER(D88),VLOOKUP($A88,List!$A$1:$B$29,2,FALSE)))</f>
        <v/>
      </c>
      <c r="Q88" s="13" t="str">
        <f>IF(IF(ISNUMBER(E88),VLOOKUP($A88,List!$A$1:$B$29,2,FALSE))=FALSE,"",IF(ISNUMBER(E88),VLOOKUP($A88,List!$A$1:$B$29,2,FALSE)))</f>
        <v/>
      </c>
      <c r="R88" s="13" t="str">
        <f>IF(IF(ISNUMBER(F88),VLOOKUP($A88,List!$A$1:$B$29,2,FALSE))=FALSE,"",IF(ISNUMBER(F88),VLOOKUP($A88,List!$A$1:$B$29,2,FALSE)))</f>
        <v/>
      </c>
      <c r="S88" s="13" t="str">
        <f>IF(IF(ISNUMBER(G88),VLOOKUP($A88,List!$A$1:$B$29,2,FALSE))=FALSE,"",IF(ISNUMBER(G88),VLOOKUP($A88,List!$A$1:$B$29,2,FALSE)))</f>
        <v/>
      </c>
      <c r="T88" s="13" t="str">
        <f>IF(IF(ISNUMBER(H88),VLOOKUP($A88,List!$A$1:$B$29,2,FALSE))=FALSE,"",IF(ISNUMBER(H88),VLOOKUP($A88,List!$A$1:$B$29,2,FALSE)))</f>
        <v/>
      </c>
      <c r="U88" s="13" t="str">
        <f>IF(IF(ISNUMBER(I88),VLOOKUP($A88,List!$A$1:$B$29,2,FALSE))=FALSE,"",IF(ISNUMBER(I88),VLOOKUP($A88,List!$A$1:$B$29,2,FALSE)))</f>
        <v/>
      </c>
      <c r="V88" s="13" t="str">
        <f>IF(IF(ISNUMBER(J88),VLOOKUP($A88,List!$A$1:$B$29,2,FALSE))=FALSE,"",IF(ISNUMBER(J88),VLOOKUP($A88,List!$A$1:$B$29,2,FALSE)))</f>
        <v/>
      </c>
      <c r="W88" s="13" t="str">
        <f>IF(IF(ISNUMBER(K88),VLOOKUP($A88,List!$A$1:$B$29,2,FALSE))=FALSE,"",IF(ISNUMBER(K88),VLOOKUP($A88,List!$A$1:$B$29,2,FALSE)))</f>
        <v/>
      </c>
      <c r="X88" s="13" t="str">
        <f>IF(IF(ISNUMBER(L88),VLOOKUP($A88,List!$A$1:$B$29,2,FALSE))=FALSE,"",IF(ISNUMBER(L88),VLOOKUP($A88,List!$A$1:$B$29,2,FALSE)))</f>
        <v/>
      </c>
      <c r="Y88" s="13" t="str">
        <f>IF(IF(ISNUMBER(M88),VLOOKUP($A88,List!$A$1:$B$29,2,FALSE))=FALSE,"",IF(ISNUMBER(M88),VLOOKUP($A88,List!$A$1:$B$29,2,FALSE)))</f>
        <v>Boating is one of many things I do in my spare time</v>
      </c>
    </row>
    <row r="89" spans="1:25" ht="15" thickBot="1" x14ac:dyDescent="0.35">
      <c r="A89" s="4">
        <v>4</v>
      </c>
      <c r="B89" s="6" t="s">
        <v>79</v>
      </c>
      <c r="C89" s="6" t="s">
        <v>79</v>
      </c>
      <c r="D89" s="6" t="s">
        <v>79</v>
      </c>
      <c r="E89" s="6" t="s">
        <v>79</v>
      </c>
      <c r="F89" s="6" t="s">
        <v>79</v>
      </c>
      <c r="G89" s="7" t="s">
        <v>79</v>
      </c>
      <c r="H89" s="7" t="s">
        <v>79</v>
      </c>
      <c r="I89" s="7" t="s">
        <v>79</v>
      </c>
      <c r="J89" s="7" t="s">
        <v>79</v>
      </c>
      <c r="K89" s="7">
        <v>0.88</v>
      </c>
      <c r="L89" s="8" t="s">
        <v>79</v>
      </c>
      <c r="M89" s="7" t="s">
        <v>79</v>
      </c>
      <c r="N89" s="13" t="str">
        <f>IF(IF(ISNUMBER(B89),VLOOKUP($A89,List!$A$1:$B$29,2,FALSE))=FALSE,"",IF(ISNUMBER(B89),VLOOKUP($A89,List!$A$1:$B$29,2,FALSE)))</f>
        <v/>
      </c>
      <c r="O89" s="13" t="str">
        <f>IF(IF(ISNUMBER(C89),VLOOKUP($A89,List!$A$1:$B$29,2,FALSE))=FALSE,"",IF(ISNUMBER(C89),VLOOKUP($A89,List!$A$1:$B$29,2,FALSE)))</f>
        <v/>
      </c>
      <c r="P89" s="13" t="str">
        <f>IF(IF(ISNUMBER(D89),VLOOKUP($A89,List!$A$1:$B$29,2,FALSE))=FALSE,"",IF(ISNUMBER(D89),VLOOKUP($A89,List!$A$1:$B$29,2,FALSE)))</f>
        <v/>
      </c>
      <c r="Q89" s="13" t="str">
        <f>IF(IF(ISNUMBER(E89),VLOOKUP($A89,List!$A$1:$B$29,2,FALSE))=FALSE,"",IF(ISNUMBER(E89),VLOOKUP($A89,List!$A$1:$B$29,2,FALSE)))</f>
        <v/>
      </c>
      <c r="R89" s="13" t="str">
        <f>IF(IF(ISNUMBER(F89),VLOOKUP($A89,List!$A$1:$B$29,2,FALSE))=FALSE,"",IF(ISNUMBER(F89),VLOOKUP($A89,List!$A$1:$B$29,2,FALSE)))</f>
        <v/>
      </c>
      <c r="S89" s="13" t="str">
        <f>IF(IF(ISNUMBER(G89),VLOOKUP($A89,List!$A$1:$B$29,2,FALSE))=FALSE,"",IF(ISNUMBER(G89),VLOOKUP($A89,List!$A$1:$B$29,2,FALSE)))</f>
        <v/>
      </c>
      <c r="T89" s="13" t="str">
        <f>IF(IF(ISNUMBER(H89),VLOOKUP($A89,List!$A$1:$B$29,2,FALSE))=FALSE,"",IF(ISNUMBER(H89),VLOOKUP($A89,List!$A$1:$B$29,2,FALSE)))</f>
        <v/>
      </c>
      <c r="U89" s="13" t="str">
        <f>IF(IF(ISNUMBER(I89),VLOOKUP($A89,List!$A$1:$B$29,2,FALSE))=FALSE,"",IF(ISNUMBER(I89),VLOOKUP($A89,List!$A$1:$B$29,2,FALSE)))</f>
        <v/>
      </c>
      <c r="V89" s="13" t="str">
        <f>IF(IF(ISNUMBER(J89),VLOOKUP($A89,List!$A$1:$B$29,2,FALSE))=FALSE,"",IF(ISNUMBER(J89),VLOOKUP($A89,List!$A$1:$B$29,2,FALSE)))</f>
        <v/>
      </c>
      <c r="W89" s="13" t="str">
        <f>IF(IF(ISNUMBER(K89),VLOOKUP($A89,List!$A$1:$B$29,2,FALSE))=FALSE,"",IF(ISNUMBER(K89),VLOOKUP($A89,List!$A$1:$B$29,2,FALSE)))</f>
        <v>I only consider buying a boat from a reputable brand</v>
      </c>
      <c r="X89" s="13" t="str">
        <f>IF(IF(ISNUMBER(L89),VLOOKUP($A89,List!$A$1:$B$29,2,FALSE))=FALSE,"",IF(ISNUMBER(L89),VLOOKUP($A89,List!$A$1:$B$29,2,FALSE)))</f>
        <v/>
      </c>
      <c r="Y89" s="13" t="str">
        <f>IF(IF(ISNUMBER(M89),VLOOKUP($A89,List!$A$1:$B$29,2,FALSE))=FALSE,"",IF(ISNUMBER(M89),VLOOKUP($A89,List!$A$1:$B$29,2,FALSE)))</f>
        <v/>
      </c>
    </row>
    <row r="90" spans="1:25" ht="15" thickBot="1" x14ac:dyDescent="0.35">
      <c r="A90" s="4">
        <v>8</v>
      </c>
      <c r="B90" s="6" t="s">
        <v>79</v>
      </c>
      <c r="C90" s="6" t="s">
        <v>79</v>
      </c>
      <c r="D90" s="6" t="s">
        <v>79</v>
      </c>
      <c r="E90" s="6" t="s">
        <v>79</v>
      </c>
      <c r="F90" s="6" t="s">
        <v>79</v>
      </c>
      <c r="G90" s="7" t="s">
        <v>79</v>
      </c>
      <c r="H90" s="7">
        <v>1.02</v>
      </c>
      <c r="I90" s="7" t="s">
        <v>79</v>
      </c>
      <c r="J90" s="7" t="s">
        <v>79</v>
      </c>
      <c r="K90" s="8" t="s">
        <v>79</v>
      </c>
      <c r="L90" s="7" t="s">
        <v>79</v>
      </c>
      <c r="M90" s="7" t="s">
        <v>79</v>
      </c>
      <c r="N90" s="13" t="str">
        <f>IF(IF(ISNUMBER(B90),VLOOKUP($A90,List!$A$1:$B$29,2,FALSE))=FALSE,"",IF(ISNUMBER(B90),VLOOKUP($A90,List!$A$1:$B$29,2,FALSE)))</f>
        <v/>
      </c>
      <c r="O90" s="13" t="str">
        <f>IF(IF(ISNUMBER(C90),VLOOKUP($A90,List!$A$1:$B$29,2,FALSE))=FALSE,"",IF(ISNUMBER(C90),VLOOKUP($A90,List!$A$1:$B$29,2,FALSE)))</f>
        <v/>
      </c>
      <c r="P90" s="13" t="str">
        <f>IF(IF(ISNUMBER(D90),VLOOKUP($A90,List!$A$1:$B$29,2,FALSE))=FALSE,"",IF(ISNUMBER(D90),VLOOKUP($A90,List!$A$1:$B$29,2,FALSE)))</f>
        <v/>
      </c>
      <c r="Q90" s="13" t="str">
        <f>IF(IF(ISNUMBER(E90),VLOOKUP($A90,List!$A$1:$B$29,2,FALSE))=FALSE,"",IF(ISNUMBER(E90),VLOOKUP($A90,List!$A$1:$B$29,2,FALSE)))</f>
        <v/>
      </c>
      <c r="R90" s="13" t="str">
        <f>IF(IF(ISNUMBER(F90),VLOOKUP($A90,List!$A$1:$B$29,2,FALSE))=FALSE,"",IF(ISNUMBER(F90),VLOOKUP($A90,List!$A$1:$B$29,2,FALSE)))</f>
        <v/>
      </c>
      <c r="S90" s="13" t="str">
        <f>IF(IF(ISNUMBER(G90),VLOOKUP($A90,List!$A$1:$B$29,2,FALSE))=FALSE,"",IF(ISNUMBER(G90),VLOOKUP($A90,List!$A$1:$B$29,2,FALSE)))</f>
        <v/>
      </c>
      <c r="T90" s="13" t="str">
        <f>IF(IF(ISNUMBER(H90),VLOOKUP($A90,List!$A$1:$B$29,2,FALSE))=FALSE,"",IF(ISNUMBER(H90),VLOOKUP($A90,List!$A$1:$B$29,2,FALSE)))</f>
        <v>When buying a boat, functionality is more important than style</v>
      </c>
      <c r="U90" s="13" t="str">
        <f>IF(IF(ISNUMBER(I90),VLOOKUP($A90,List!$A$1:$B$29,2,FALSE))=FALSE,"",IF(ISNUMBER(I90),VLOOKUP($A90,List!$A$1:$B$29,2,FALSE)))</f>
        <v/>
      </c>
      <c r="V90" s="13" t="str">
        <f>IF(IF(ISNUMBER(J90),VLOOKUP($A90,List!$A$1:$B$29,2,FALSE))=FALSE,"",IF(ISNUMBER(J90),VLOOKUP($A90,List!$A$1:$B$29,2,FALSE)))</f>
        <v/>
      </c>
      <c r="W90" s="13" t="str">
        <f>IF(IF(ISNUMBER(K90),VLOOKUP($A90,List!$A$1:$B$29,2,FALSE))=FALSE,"",IF(ISNUMBER(K90),VLOOKUP($A90,List!$A$1:$B$29,2,FALSE)))</f>
        <v/>
      </c>
      <c r="X90" s="13" t="str">
        <f>IF(IF(ISNUMBER(L90),VLOOKUP($A90,List!$A$1:$B$29,2,FALSE))=FALSE,"",IF(ISNUMBER(L90),VLOOKUP($A90,List!$A$1:$B$29,2,FALSE)))</f>
        <v/>
      </c>
      <c r="Y90" s="13" t="str">
        <f>IF(IF(ISNUMBER(M90),VLOOKUP($A90,List!$A$1:$B$29,2,FALSE))=FALSE,"",IF(ISNUMBER(M90),VLOOKUP($A90,List!$A$1:$B$29,2,FALSE)))</f>
        <v/>
      </c>
    </row>
    <row r="91" spans="1:25" ht="15" thickBot="1" x14ac:dyDescent="0.35">
      <c r="A91" s="4">
        <v>2</v>
      </c>
      <c r="B91" s="6" t="s">
        <v>79</v>
      </c>
      <c r="C91" s="6" t="s">
        <v>79</v>
      </c>
      <c r="D91" s="6" t="s">
        <v>79</v>
      </c>
      <c r="E91" s="6" t="s">
        <v>79</v>
      </c>
      <c r="F91" s="6">
        <v>0.94</v>
      </c>
      <c r="G91" s="7" t="s">
        <v>79</v>
      </c>
      <c r="H91" s="8" t="s">
        <v>79</v>
      </c>
      <c r="I91" s="7" t="s">
        <v>79</v>
      </c>
      <c r="J91" s="7" t="s">
        <v>79</v>
      </c>
      <c r="K91" s="7" t="s">
        <v>79</v>
      </c>
      <c r="L91" s="7" t="s">
        <v>79</v>
      </c>
      <c r="M91" s="7" t="s">
        <v>79</v>
      </c>
      <c r="N91" s="13" t="str">
        <f>IF(IF(ISNUMBER(B91),VLOOKUP($A91,List!$A$1:$B$29,2,FALSE))=FALSE,"",IF(ISNUMBER(B91),VLOOKUP($A91,List!$A$1:$B$29,2,FALSE)))</f>
        <v/>
      </c>
      <c r="O91" s="13" t="str">
        <f>IF(IF(ISNUMBER(C91),VLOOKUP($A91,List!$A$1:$B$29,2,FALSE))=FALSE,"",IF(ISNUMBER(C91),VLOOKUP($A91,List!$A$1:$B$29,2,FALSE)))</f>
        <v/>
      </c>
      <c r="P91" s="13" t="str">
        <f>IF(IF(ISNUMBER(D91),VLOOKUP($A91,List!$A$1:$B$29,2,FALSE))=FALSE,"",IF(ISNUMBER(D91),VLOOKUP($A91,List!$A$1:$B$29,2,FALSE)))</f>
        <v/>
      </c>
      <c r="Q91" s="13" t="str">
        <f>IF(IF(ISNUMBER(E91),VLOOKUP($A91,List!$A$1:$B$29,2,FALSE))=FALSE,"",IF(ISNUMBER(E91),VLOOKUP($A91,List!$A$1:$B$29,2,FALSE)))</f>
        <v/>
      </c>
      <c r="R91" s="13" t="str">
        <f>IF(IF(ISNUMBER(F91),VLOOKUP($A91,List!$A$1:$B$29,2,FALSE))=FALSE,"",IF(ISNUMBER(F91),VLOOKUP($A91,List!$A$1:$B$29,2,FALSE)))</f>
        <v>When buying a bot, getting the lowest P is more important than brand</v>
      </c>
      <c r="S91" s="13" t="str">
        <f>IF(IF(ISNUMBER(G91),VLOOKUP($A91,List!$A$1:$B$29,2,FALSE))=FALSE,"",IF(ISNUMBER(G91),VLOOKUP($A91,List!$A$1:$B$29,2,FALSE)))</f>
        <v/>
      </c>
      <c r="T91" s="13" t="str">
        <f>IF(IF(ISNUMBER(H91),VLOOKUP($A91,List!$A$1:$B$29,2,FALSE))=FALSE,"",IF(ISNUMBER(H91),VLOOKUP($A91,List!$A$1:$B$29,2,FALSE)))</f>
        <v/>
      </c>
      <c r="U91" s="13" t="str">
        <f>IF(IF(ISNUMBER(I91),VLOOKUP($A91,List!$A$1:$B$29,2,FALSE))=FALSE,"",IF(ISNUMBER(I91),VLOOKUP($A91,List!$A$1:$B$29,2,FALSE)))</f>
        <v/>
      </c>
      <c r="V91" s="13" t="str">
        <f>IF(IF(ISNUMBER(J91),VLOOKUP($A91,List!$A$1:$B$29,2,FALSE))=FALSE,"",IF(ISNUMBER(J91),VLOOKUP($A91,List!$A$1:$B$29,2,FALSE)))</f>
        <v/>
      </c>
      <c r="W91" s="13" t="str">
        <f>IF(IF(ISNUMBER(K91),VLOOKUP($A91,List!$A$1:$B$29,2,FALSE))=FALSE,"",IF(ISNUMBER(K91),VLOOKUP($A91,List!$A$1:$B$29,2,FALSE)))</f>
        <v/>
      </c>
      <c r="X91" s="13" t="str">
        <f>IF(IF(ISNUMBER(L91),VLOOKUP($A91,List!$A$1:$B$29,2,FALSE))=FALSE,"",IF(ISNUMBER(L91),VLOOKUP($A91,List!$A$1:$B$29,2,FALSE)))</f>
        <v/>
      </c>
      <c r="Y91" s="13" t="str">
        <f>IF(IF(ISNUMBER(M91),VLOOKUP($A91,List!$A$1:$B$29,2,FALSE))=FALSE,"",IF(ISNUMBER(M91),VLOOKUP($A91,List!$A$1:$B$29,2,FALSE)))</f>
        <v/>
      </c>
    </row>
    <row r="92" spans="1:25" ht="15" thickBot="1" x14ac:dyDescent="0.35">
      <c r="A92" s="4">
        <v>15</v>
      </c>
      <c r="B92" s="6" t="s">
        <v>79</v>
      </c>
      <c r="C92" s="6">
        <v>0.69</v>
      </c>
      <c r="D92" s="5" t="s">
        <v>79</v>
      </c>
      <c r="E92" s="6" t="s">
        <v>79</v>
      </c>
      <c r="F92" s="6" t="s">
        <v>79</v>
      </c>
      <c r="G92" s="7" t="s">
        <v>79</v>
      </c>
      <c r="H92" s="7" t="s">
        <v>79</v>
      </c>
      <c r="I92" s="7" t="s">
        <v>79</v>
      </c>
      <c r="J92" s="7" t="s">
        <v>79</v>
      </c>
      <c r="K92" s="7" t="s">
        <v>79</v>
      </c>
      <c r="L92" s="7" t="s">
        <v>79</v>
      </c>
      <c r="M92" s="7" t="s">
        <v>79</v>
      </c>
      <c r="N92" s="13" t="str">
        <f>IF(IF(ISNUMBER(B92),VLOOKUP($A92,List!$A$1:$B$29,2,FALSE))=FALSE,"",IF(ISNUMBER(B92),VLOOKUP($A92,List!$A$1:$B$29,2,FALSE)))</f>
        <v/>
      </c>
      <c r="O92" s="13" t="str">
        <f>IF(IF(ISNUMBER(C92),VLOOKUP($A92,List!$A$1:$B$29,2,FALSE))=FALSE,"",IF(ISNUMBER(C92),VLOOKUP($A92,List!$A$1:$B$29,2,FALSE)))</f>
        <v>I am serious about the technology on my boat</v>
      </c>
      <c r="P92" s="13" t="str">
        <f>IF(IF(ISNUMBER(D92),VLOOKUP($A92,List!$A$1:$B$29,2,FALSE))=FALSE,"",IF(ISNUMBER(D92),VLOOKUP($A92,List!$A$1:$B$29,2,FALSE)))</f>
        <v/>
      </c>
      <c r="Q92" s="13" t="str">
        <f>IF(IF(ISNUMBER(E92),VLOOKUP($A92,List!$A$1:$B$29,2,FALSE))=FALSE,"",IF(ISNUMBER(E92),VLOOKUP($A92,List!$A$1:$B$29,2,FALSE)))</f>
        <v/>
      </c>
      <c r="R92" s="13" t="str">
        <f>IF(IF(ISNUMBER(F92),VLOOKUP($A92,List!$A$1:$B$29,2,FALSE))=FALSE,"",IF(ISNUMBER(F92),VLOOKUP($A92,List!$A$1:$B$29,2,FALSE)))</f>
        <v/>
      </c>
      <c r="S92" s="13" t="str">
        <f>IF(IF(ISNUMBER(G92),VLOOKUP($A92,List!$A$1:$B$29,2,FALSE))=FALSE,"",IF(ISNUMBER(G92),VLOOKUP($A92,List!$A$1:$B$29,2,FALSE)))</f>
        <v/>
      </c>
      <c r="T92" s="13" t="str">
        <f>IF(IF(ISNUMBER(H92),VLOOKUP($A92,List!$A$1:$B$29,2,FALSE))=FALSE,"",IF(ISNUMBER(H92),VLOOKUP($A92,List!$A$1:$B$29,2,FALSE)))</f>
        <v/>
      </c>
      <c r="U92" s="13" t="str">
        <f>IF(IF(ISNUMBER(I92),VLOOKUP($A92,List!$A$1:$B$29,2,FALSE))=FALSE,"",IF(ISNUMBER(I92),VLOOKUP($A92,List!$A$1:$B$29,2,FALSE)))</f>
        <v/>
      </c>
      <c r="V92" s="13" t="str">
        <f>IF(IF(ISNUMBER(J92),VLOOKUP($A92,List!$A$1:$B$29,2,FALSE))=FALSE,"",IF(ISNUMBER(J92),VLOOKUP($A92,List!$A$1:$B$29,2,FALSE)))</f>
        <v/>
      </c>
      <c r="W92" s="13" t="str">
        <f>IF(IF(ISNUMBER(K92),VLOOKUP($A92,List!$A$1:$B$29,2,FALSE))=FALSE,"",IF(ISNUMBER(K92),VLOOKUP($A92,List!$A$1:$B$29,2,FALSE)))</f>
        <v/>
      </c>
      <c r="X92" s="13" t="str">
        <f>IF(IF(ISNUMBER(L92),VLOOKUP($A92,List!$A$1:$B$29,2,FALSE))=FALSE,"",IF(ISNUMBER(L92),VLOOKUP($A92,List!$A$1:$B$29,2,FALSE)))</f>
        <v/>
      </c>
      <c r="Y92" s="13" t="str">
        <f>IF(IF(ISNUMBER(M92),VLOOKUP($A92,List!$A$1:$B$29,2,FALSE))=FALSE,"",IF(ISNUMBER(M92),VLOOKUP($A92,List!$A$1:$B$29,2,FALSE)))</f>
        <v/>
      </c>
    </row>
    <row r="93" spans="1:25" ht="15" thickBot="1" x14ac:dyDescent="0.35">
      <c r="A93" s="4">
        <v>7</v>
      </c>
      <c r="B93" s="6" t="s">
        <v>79</v>
      </c>
      <c r="C93" s="6" t="s">
        <v>79</v>
      </c>
      <c r="D93" s="6" t="s">
        <v>79</v>
      </c>
      <c r="E93" s="6">
        <v>0.9</v>
      </c>
      <c r="F93" s="6" t="s">
        <v>79</v>
      </c>
      <c r="G93" s="7" t="s">
        <v>79</v>
      </c>
      <c r="H93" s="7" t="s">
        <v>79</v>
      </c>
      <c r="I93" s="7" t="s">
        <v>79</v>
      </c>
      <c r="J93" s="8" t="s">
        <v>79</v>
      </c>
      <c r="K93" s="7" t="s">
        <v>79</v>
      </c>
      <c r="L93" s="7" t="s">
        <v>79</v>
      </c>
      <c r="M93" s="7" t="s">
        <v>79</v>
      </c>
      <c r="N93" s="13" t="str">
        <f>IF(IF(ISNUMBER(B93),VLOOKUP($A93,List!$A$1:$B$29,2,FALSE))=FALSE,"",IF(ISNUMBER(B93),VLOOKUP($A93,List!$A$1:$B$29,2,FALSE)))</f>
        <v/>
      </c>
      <c r="O93" s="13" t="str">
        <f>IF(IF(ISNUMBER(C93),VLOOKUP($A93,List!$A$1:$B$29,2,FALSE))=FALSE,"",IF(ISNUMBER(C93),VLOOKUP($A93,List!$A$1:$B$29,2,FALSE)))</f>
        <v/>
      </c>
      <c r="P93" s="13" t="str">
        <f>IF(IF(ISNUMBER(D93),VLOOKUP($A93,List!$A$1:$B$29,2,FALSE))=FALSE,"",IF(ISNUMBER(D93),VLOOKUP($A93,List!$A$1:$B$29,2,FALSE)))</f>
        <v/>
      </c>
      <c r="Q93" s="13" t="str">
        <f>IF(IF(ISNUMBER(E93),VLOOKUP($A93,List!$A$1:$B$29,2,FALSE))=FALSE,"",IF(ISNUMBER(E93),VLOOKUP($A93,List!$A$1:$B$29,2,FALSE)))</f>
        <v>Owning a boat gives me a sense of achievement</v>
      </c>
      <c r="R93" s="13" t="str">
        <f>IF(IF(ISNUMBER(F93),VLOOKUP($A93,List!$A$1:$B$29,2,FALSE))=FALSE,"",IF(ISNUMBER(F93),VLOOKUP($A93,List!$A$1:$B$29,2,FALSE)))</f>
        <v/>
      </c>
      <c r="S93" s="13" t="str">
        <f>IF(IF(ISNUMBER(G93),VLOOKUP($A93,List!$A$1:$B$29,2,FALSE))=FALSE,"",IF(ISNUMBER(G93),VLOOKUP($A93,List!$A$1:$B$29,2,FALSE)))</f>
        <v/>
      </c>
      <c r="T93" s="13" t="str">
        <f>IF(IF(ISNUMBER(H93),VLOOKUP($A93,List!$A$1:$B$29,2,FALSE))=FALSE,"",IF(ISNUMBER(H93),VLOOKUP($A93,List!$A$1:$B$29,2,FALSE)))</f>
        <v/>
      </c>
      <c r="U93" s="13" t="str">
        <f>IF(IF(ISNUMBER(I93),VLOOKUP($A93,List!$A$1:$B$29,2,FALSE))=FALSE,"",IF(ISNUMBER(I93),VLOOKUP($A93,List!$A$1:$B$29,2,FALSE)))</f>
        <v/>
      </c>
      <c r="V93" s="13" t="str">
        <f>IF(IF(ISNUMBER(J93),VLOOKUP($A93,List!$A$1:$B$29,2,FALSE))=FALSE,"",IF(ISNUMBER(J93),VLOOKUP($A93,List!$A$1:$B$29,2,FALSE)))</f>
        <v/>
      </c>
      <c r="W93" s="13" t="str">
        <f>IF(IF(ISNUMBER(K93),VLOOKUP($A93,List!$A$1:$B$29,2,FALSE))=FALSE,"",IF(ISNUMBER(K93),VLOOKUP($A93,List!$A$1:$B$29,2,FALSE)))</f>
        <v/>
      </c>
      <c r="X93" s="13" t="str">
        <f>IF(IF(ISNUMBER(L93),VLOOKUP($A93,List!$A$1:$B$29,2,FALSE))=FALSE,"",IF(ISNUMBER(L93),VLOOKUP($A93,List!$A$1:$B$29,2,FALSE)))</f>
        <v/>
      </c>
      <c r="Y93" s="13" t="str">
        <f>IF(IF(ISNUMBER(M93),VLOOKUP($A93,List!$A$1:$B$29,2,FALSE))=FALSE,"",IF(ISNUMBER(M93),VLOOKUP($A93,List!$A$1:$B$29,2,FALSE)))</f>
        <v/>
      </c>
    </row>
    <row r="94" spans="1:25" ht="15" thickBot="1" x14ac:dyDescent="0.35">
      <c r="A94" s="4">
        <v>10</v>
      </c>
      <c r="B94" s="6" t="s">
        <v>79</v>
      </c>
      <c r="C94" s="6" t="s">
        <v>79</v>
      </c>
      <c r="D94" s="6" t="s">
        <v>79</v>
      </c>
      <c r="E94" s="6" t="s">
        <v>79</v>
      </c>
      <c r="F94" s="5" t="s">
        <v>79</v>
      </c>
      <c r="G94" s="7" t="s">
        <v>79</v>
      </c>
      <c r="H94" s="7" t="s">
        <v>79</v>
      </c>
      <c r="I94" s="7">
        <v>0.98</v>
      </c>
      <c r="J94" s="7" t="s">
        <v>79</v>
      </c>
      <c r="K94" s="7" t="s">
        <v>79</v>
      </c>
      <c r="L94" s="7" t="s">
        <v>79</v>
      </c>
      <c r="M94" s="7" t="s">
        <v>79</v>
      </c>
      <c r="N94" s="13" t="str">
        <f>IF(IF(ISNUMBER(B94),VLOOKUP($A94,List!$A$1:$B$29,2,FALSE))=FALSE,"",IF(ISNUMBER(B94),VLOOKUP($A94,List!$A$1:$B$29,2,FALSE)))</f>
        <v/>
      </c>
      <c r="O94" s="13" t="str">
        <f>IF(IF(ISNUMBER(C94),VLOOKUP($A94,List!$A$1:$B$29,2,FALSE))=FALSE,"",IF(ISNUMBER(C94),VLOOKUP($A94,List!$A$1:$B$29,2,FALSE)))</f>
        <v/>
      </c>
      <c r="P94" s="13" t="str">
        <f>IF(IF(ISNUMBER(D94),VLOOKUP($A94,List!$A$1:$B$29,2,FALSE))=FALSE,"",IF(ISNUMBER(D94),VLOOKUP($A94,List!$A$1:$B$29,2,FALSE)))</f>
        <v/>
      </c>
      <c r="Q94" s="13" t="str">
        <f>IF(IF(ISNUMBER(E94),VLOOKUP($A94,List!$A$1:$B$29,2,FALSE))=FALSE,"",IF(ISNUMBER(E94),VLOOKUP($A94,List!$A$1:$B$29,2,FALSE)))</f>
        <v/>
      </c>
      <c r="R94" s="13" t="str">
        <f>IF(IF(ISNUMBER(F94),VLOOKUP($A94,List!$A$1:$B$29,2,FALSE))=FALSE,"",IF(ISNUMBER(F94),VLOOKUP($A94,List!$A$1:$B$29,2,FALSE)))</f>
        <v/>
      </c>
      <c r="S94" s="13" t="str">
        <f>IF(IF(ISNUMBER(G94),VLOOKUP($A94,List!$A$1:$B$29,2,FALSE))=FALSE,"",IF(ISNUMBER(G94),VLOOKUP($A94,List!$A$1:$B$29,2,FALSE)))</f>
        <v/>
      </c>
      <c r="T94" s="13" t="str">
        <f>IF(IF(ISNUMBER(H94),VLOOKUP($A94,List!$A$1:$B$29,2,FALSE))=FALSE,"",IF(ISNUMBER(H94),VLOOKUP($A94,List!$A$1:$B$29,2,FALSE)))</f>
        <v/>
      </c>
      <c r="U94" s="13" t="str">
        <f>IF(IF(ISNUMBER(I94),VLOOKUP($A94,List!$A$1:$B$29,2,FALSE))=FALSE,"",IF(ISNUMBER(I94),VLOOKUP($A94,List!$A$1:$B$29,2,FALSE)))</f>
        <v>When buying a boat, I rely more on expert opinion than my own</v>
      </c>
      <c r="V94" s="13" t="str">
        <f>IF(IF(ISNUMBER(J94),VLOOKUP($A94,List!$A$1:$B$29,2,FALSE))=FALSE,"",IF(ISNUMBER(J94),VLOOKUP($A94,List!$A$1:$B$29,2,FALSE)))</f>
        <v/>
      </c>
      <c r="W94" s="13" t="str">
        <f>IF(IF(ISNUMBER(K94),VLOOKUP($A94,List!$A$1:$B$29,2,FALSE))=FALSE,"",IF(ISNUMBER(K94),VLOOKUP($A94,List!$A$1:$B$29,2,FALSE)))</f>
        <v/>
      </c>
      <c r="X94" s="13" t="str">
        <f>IF(IF(ISNUMBER(L94),VLOOKUP($A94,List!$A$1:$B$29,2,FALSE))=FALSE,"",IF(ISNUMBER(L94),VLOOKUP($A94,List!$A$1:$B$29,2,FALSE)))</f>
        <v/>
      </c>
      <c r="Y94" s="13" t="str">
        <f>IF(IF(ISNUMBER(M94),VLOOKUP($A94,List!$A$1:$B$29,2,FALSE))=FALSE,"",IF(ISNUMBER(M94),VLOOKUP($A94,List!$A$1:$B$29,2,FALSE)))</f>
        <v/>
      </c>
    </row>
    <row r="95" spans="1:25" ht="15" thickBot="1" x14ac:dyDescent="0.35">
      <c r="A95" s="4">
        <v>11</v>
      </c>
      <c r="B95" s="6" t="s">
        <v>79</v>
      </c>
      <c r="C95" s="6" t="s">
        <v>79</v>
      </c>
      <c r="D95" s="6" t="s">
        <v>79</v>
      </c>
      <c r="E95" s="6" t="s">
        <v>79</v>
      </c>
      <c r="F95" s="6" t="s">
        <v>79</v>
      </c>
      <c r="G95" s="7">
        <v>1.02</v>
      </c>
      <c r="H95" s="7" t="s">
        <v>79</v>
      </c>
      <c r="I95" s="8" t="s">
        <v>79</v>
      </c>
      <c r="J95" s="7" t="s">
        <v>79</v>
      </c>
      <c r="K95" s="7" t="s">
        <v>79</v>
      </c>
      <c r="L95" s="7" t="s">
        <v>79</v>
      </c>
      <c r="M95" s="7" t="s">
        <v>79</v>
      </c>
      <c r="N95" s="13" t="str">
        <f>IF(IF(ISNUMBER(B95),VLOOKUP($A95,List!$A$1:$B$29,2,FALSE))=FALSE,"",IF(ISNUMBER(B95),VLOOKUP($A95,List!$A$1:$B$29,2,FALSE)))</f>
        <v/>
      </c>
      <c r="O95" s="13" t="str">
        <f>IF(IF(ISNUMBER(C95),VLOOKUP($A95,List!$A$1:$B$29,2,FALSE))=FALSE,"",IF(ISNUMBER(C95),VLOOKUP($A95,List!$A$1:$B$29,2,FALSE)))</f>
        <v/>
      </c>
      <c r="P95" s="13" t="str">
        <f>IF(IF(ISNUMBER(D95),VLOOKUP($A95,List!$A$1:$B$29,2,FALSE))=FALSE,"",IF(ISNUMBER(D95),VLOOKUP($A95,List!$A$1:$B$29,2,FALSE)))</f>
        <v/>
      </c>
      <c r="Q95" s="13" t="str">
        <f>IF(IF(ISNUMBER(E95),VLOOKUP($A95,List!$A$1:$B$29,2,FALSE))=FALSE,"",IF(ISNUMBER(E95),VLOOKUP($A95,List!$A$1:$B$29,2,FALSE)))</f>
        <v/>
      </c>
      <c r="R95" s="13" t="str">
        <f>IF(IF(ISNUMBER(F95),VLOOKUP($A95,List!$A$1:$B$29,2,FALSE))=FALSE,"",IF(ISNUMBER(F95),VLOOKUP($A95,List!$A$1:$B$29,2,FALSE)))</f>
        <v/>
      </c>
      <c r="S95" s="13" t="str">
        <f>IF(IF(ISNUMBER(G95),VLOOKUP($A95,List!$A$1:$B$29,2,FALSE))=FALSE,"",IF(ISNUMBER(G95),VLOOKUP($A95,List!$A$1:$B$29,2,FALSE)))</f>
        <v>I tend to perform minor boat repairs and maintenance on my own</v>
      </c>
      <c r="T95" s="13" t="str">
        <f>IF(IF(ISNUMBER(H95),VLOOKUP($A95,List!$A$1:$B$29,2,FALSE))=FALSE,"",IF(ISNUMBER(H95),VLOOKUP($A95,List!$A$1:$B$29,2,FALSE)))</f>
        <v/>
      </c>
      <c r="U95" s="13" t="str">
        <f>IF(IF(ISNUMBER(I95),VLOOKUP($A95,List!$A$1:$B$29,2,FALSE))=FALSE,"",IF(ISNUMBER(I95),VLOOKUP($A95,List!$A$1:$B$29,2,FALSE)))</f>
        <v/>
      </c>
      <c r="V95" s="13" t="str">
        <f>IF(IF(ISNUMBER(J95),VLOOKUP($A95,List!$A$1:$B$29,2,FALSE))=FALSE,"",IF(ISNUMBER(J95),VLOOKUP($A95,List!$A$1:$B$29,2,FALSE)))</f>
        <v/>
      </c>
      <c r="W95" s="13" t="str">
        <f>IF(IF(ISNUMBER(K95),VLOOKUP($A95,List!$A$1:$B$29,2,FALSE))=FALSE,"",IF(ISNUMBER(K95),VLOOKUP($A95,List!$A$1:$B$29,2,FALSE)))</f>
        <v/>
      </c>
      <c r="X95" s="13" t="str">
        <f>IF(IF(ISNUMBER(L95),VLOOKUP($A95,List!$A$1:$B$29,2,FALSE))=FALSE,"",IF(ISNUMBER(L95),VLOOKUP($A95,List!$A$1:$B$29,2,FALSE)))</f>
        <v/>
      </c>
      <c r="Y95" s="13" t="str">
        <f>IF(IF(ISNUMBER(M95),VLOOKUP($A95,List!$A$1:$B$29,2,FALSE))=FALSE,"",IF(ISNUMBER(M95),VLOOKUP($A95,List!$A$1:$B$29,2,FALSE)))</f>
        <v/>
      </c>
    </row>
    <row r="96" spans="1:25" ht="15" thickBot="1" x14ac:dyDescent="0.35">
      <c r="A96" s="7"/>
      <c r="B96" s="5"/>
    </row>
    <row r="97" spans="1:25" ht="23.4" x14ac:dyDescent="0.45">
      <c r="A97" s="16" t="s">
        <v>123</v>
      </c>
    </row>
    <row r="98" spans="1:25" ht="15" thickBot="1" x14ac:dyDescent="0.35">
      <c r="A98" s="3" t="s">
        <v>63</v>
      </c>
      <c r="B98" s="3" t="s">
        <v>49</v>
      </c>
      <c r="C98" s="3" t="s">
        <v>50</v>
      </c>
      <c r="D98" s="3" t="s">
        <v>51</v>
      </c>
      <c r="E98" s="3" t="s">
        <v>52</v>
      </c>
      <c r="F98" s="3" t="s">
        <v>53</v>
      </c>
      <c r="G98" s="3" t="s">
        <v>54</v>
      </c>
      <c r="H98" s="3" t="s">
        <v>55</v>
      </c>
      <c r="I98" s="3" t="s">
        <v>56</v>
      </c>
      <c r="J98" s="3" t="s">
        <v>57</v>
      </c>
      <c r="K98" s="3" t="s">
        <v>58</v>
      </c>
      <c r="L98" s="3" t="s">
        <v>59</v>
      </c>
      <c r="M98" s="3" t="s">
        <v>60</v>
      </c>
      <c r="N98" s="3" t="s">
        <v>80</v>
      </c>
      <c r="O98" s="3" t="s">
        <v>81</v>
      </c>
      <c r="P98" s="3" t="s">
        <v>82</v>
      </c>
      <c r="Q98" s="3" t="s">
        <v>83</v>
      </c>
      <c r="R98" s="3" t="s">
        <v>84</v>
      </c>
      <c r="S98" s="3" t="s">
        <v>85</v>
      </c>
      <c r="T98" s="3" t="s">
        <v>86</v>
      </c>
      <c r="U98" s="3" t="s">
        <v>87</v>
      </c>
      <c r="V98" s="3" t="s">
        <v>88</v>
      </c>
      <c r="W98" s="3" t="s">
        <v>90</v>
      </c>
      <c r="X98" s="3" t="s">
        <v>61</v>
      </c>
      <c r="Y98" s="3" t="s">
        <v>62</v>
      </c>
    </row>
    <row r="99" spans="1:25" ht="15" thickBot="1" x14ac:dyDescent="0.35">
      <c r="A99" s="4">
        <v>27</v>
      </c>
      <c r="B99" s="5">
        <v>0.79</v>
      </c>
      <c r="C99" s="6" t="s">
        <v>79</v>
      </c>
      <c r="D99" s="6" t="s">
        <v>79</v>
      </c>
      <c r="E99" s="6" t="s">
        <v>79</v>
      </c>
      <c r="F99" s="6" t="s">
        <v>79</v>
      </c>
      <c r="G99" s="7" t="s">
        <v>79</v>
      </c>
      <c r="H99" s="7" t="s">
        <v>79</v>
      </c>
      <c r="I99" s="7" t="s">
        <v>79</v>
      </c>
      <c r="J99" s="7" t="s">
        <v>79</v>
      </c>
      <c r="K99" s="7" t="s">
        <v>79</v>
      </c>
      <c r="L99" s="7" t="s">
        <v>79</v>
      </c>
      <c r="M99" s="7" t="s">
        <v>79</v>
      </c>
      <c r="N99" s="13" t="str">
        <f>IF(IF(ISNUMBER(B99),VLOOKUP($A99,List!$A$1:$B$29,2,FALSE))=FALSE,"",IF(ISNUMBER(B99),VLOOKUP($A99,List!$A$1:$B$29,2,FALSE)))</f>
        <v>Boating is the number one thing I do with my spare time</v>
      </c>
      <c r="O99" s="13" t="str">
        <f>IF(IF(ISNUMBER(C99),VLOOKUP($A99,List!$A$1:$B$29,2,FALSE))=FALSE,"",IF(ISNUMBER(C99),VLOOKUP($A99,List!$A$1:$B$29,2,FALSE)))</f>
        <v/>
      </c>
      <c r="P99" s="13" t="str">
        <f>IF(IF(ISNUMBER(D99),VLOOKUP($A99,List!$A$1:$B$29,2,FALSE))=FALSE,"",IF(ISNUMBER(D99),VLOOKUP($A99,List!$A$1:$B$29,2,FALSE)))</f>
        <v/>
      </c>
      <c r="Q99" s="13" t="str">
        <f>IF(IF(ISNUMBER(E99),VLOOKUP($A99,List!$A$1:$B$29,2,FALSE))=FALSE,"",IF(ISNUMBER(E99),VLOOKUP($A99,List!$A$1:$B$29,2,FALSE)))</f>
        <v/>
      </c>
      <c r="R99" s="13" t="str">
        <f>IF(IF(ISNUMBER(F99),VLOOKUP($A99,List!$A$1:$B$29,2,FALSE))=FALSE,"",IF(ISNUMBER(F99),VLOOKUP($A99,List!$A$1:$B$29,2,FALSE)))</f>
        <v/>
      </c>
      <c r="S99" s="13" t="str">
        <f>IF(IF(ISNUMBER(G99),VLOOKUP($A99,List!$A$1:$B$29,2,FALSE))=FALSE,"",IF(ISNUMBER(G99),VLOOKUP($A99,List!$A$1:$B$29,2,FALSE)))</f>
        <v/>
      </c>
      <c r="T99" s="13" t="str">
        <f>IF(IF(ISNUMBER(H99),VLOOKUP($A99,List!$A$1:$B$29,2,FALSE))=FALSE,"",IF(ISNUMBER(H99),VLOOKUP($A99,List!$A$1:$B$29,2,FALSE)))</f>
        <v/>
      </c>
      <c r="U99" s="13" t="str">
        <f>IF(IF(ISNUMBER(I99),VLOOKUP($A99,List!$A$1:$B$29,2,FALSE))=FALSE,"",IF(ISNUMBER(I99),VLOOKUP($A99,List!$A$1:$B$29,2,FALSE)))</f>
        <v/>
      </c>
      <c r="V99" s="13" t="str">
        <f>IF(IF(ISNUMBER(J99),VLOOKUP($A99,List!$A$1:$B$29,2,FALSE))=FALSE,"",IF(ISNUMBER(J99),VLOOKUP($A99,List!$A$1:$B$29,2,FALSE)))</f>
        <v/>
      </c>
      <c r="W99" s="13" t="str">
        <f>IF(IF(ISNUMBER(K99),VLOOKUP($A99,List!$A$1:$B$29,2,FALSE))=FALSE,"",IF(ISNUMBER(K99),VLOOKUP($A99,List!$A$1:$B$29,2,FALSE)))</f>
        <v/>
      </c>
      <c r="X99" s="13" t="str">
        <f>IF(IF(ISNUMBER(L99),VLOOKUP($A99,List!$A$1:$B$29,2,FALSE))=FALSE,"",IF(ISNUMBER(L99),VLOOKUP($A99,List!$A$1:$B$29,2,FALSE)))</f>
        <v/>
      </c>
      <c r="Y99" s="13" t="str">
        <f>IF(IF(ISNUMBER(M99),VLOOKUP($A99,List!$A$1:$B$29,2,FALSE))=FALSE,"",IF(ISNUMBER(M99),VLOOKUP($A99,List!$A$1:$B$29,2,FALSE)))</f>
        <v/>
      </c>
    </row>
    <row r="100" spans="1:25" ht="15" thickBot="1" x14ac:dyDescent="0.35">
      <c r="A100" s="4">
        <v>28</v>
      </c>
      <c r="B100" s="5">
        <v>0.76</v>
      </c>
      <c r="C100" s="6" t="s">
        <v>79</v>
      </c>
      <c r="D100" s="6" t="s">
        <v>79</v>
      </c>
      <c r="E100" s="6" t="s">
        <v>79</v>
      </c>
      <c r="F100" s="6" t="s">
        <v>79</v>
      </c>
      <c r="G100" s="7" t="s">
        <v>79</v>
      </c>
      <c r="H100" s="7" t="s">
        <v>79</v>
      </c>
      <c r="I100" s="7" t="s">
        <v>79</v>
      </c>
      <c r="J100" s="7" t="s">
        <v>79</v>
      </c>
      <c r="K100" s="7" t="s">
        <v>79</v>
      </c>
      <c r="L100" s="7" t="s">
        <v>79</v>
      </c>
      <c r="M100" s="7" t="s">
        <v>79</v>
      </c>
      <c r="N100" s="13" t="str">
        <f>IF(IF(ISNUMBER(B100),VLOOKUP($A100,List!$A$1:$B$29,2,FALSE))=FALSE,"",IF(ISNUMBER(B100),VLOOKUP($A100,List!$A$1:$B$29,2,FALSE)))</f>
        <v>Boating is my true passion in life</v>
      </c>
      <c r="O100" s="13" t="str">
        <f>IF(IF(ISNUMBER(C100),VLOOKUP($A100,List!$A$1:$B$29,2,FALSE))=FALSE,"",IF(ISNUMBER(C100),VLOOKUP($A100,List!$A$1:$B$29,2,FALSE)))</f>
        <v/>
      </c>
      <c r="P100" s="13" t="str">
        <f>IF(IF(ISNUMBER(D100),VLOOKUP($A100,List!$A$1:$B$29,2,FALSE))=FALSE,"",IF(ISNUMBER(D100),VLOOKUP($A100,List!$A$1:$B$29,2,FALSE)))</f>
        <v/>
      </c>
      <c r="Q100" s="13" t="str">
        <f>IF(IF(ISNUMBER(E100),VLOOKUP($A100,List!$A$1:$B$29,2,FALSE))=FALSE,"",IF(ISNUMBER(E100),VLOOKUP($A100,List!$A$1:$B$29,2,FALSE)))</f>
        <v/>
      </c>
      <c r="R100" s="13" t="str">
        <f>IF(IF(ISNUMBER(F100),VLOOKUP($A100,List!$A$1:$B$29,2,FALSE))=FALSE,"",IF(ISNUMBER(F100),VLOOKUP($A100,List!$A$1:$B$29,2,FALSE)))</f>
        <v/>
      </c>
      <c r="S100" s="13" t="str">
        <f>IF(IF(ISNUMBER(G100),VLOOKUP($A100,List!$A$1:$B$29,2,FALSE))=FALSE,"",IF(ISNUMBER(G100),VLOOKUP($A100,List!$A$1:$B$29,2,FALSE)))</f>
        <v/>
      </c>
      <c r="T100" s="13" t="str">
        <f>IF(IF(ISNUMBER(H100),VLOOKUP($A100,List!$A$1:$B$29,2,FALSE))=FALSE,"",IF(ISNUMBER(H100),VLOOKUP($A100,List!$A$1:$B$29,2,FALSE)))</f>
        <v/>
      </c>
      <c r="U100" s="13" t="str">
        <f>IF(IF(ISNUMBER(I100),VLOOKUP($A100,List!$A$1:$B$29,2,FALSE))=FALSE,"",IF(ISNUMBER(I100),VLOOKUP($A100,List!$A$1:$B$29,2,FALSE)))</f>
        <v/>
      </c>
      <c r="V100" s="13" t="str">
        <f>IF(IF(ISNUMBER(J100),VLOOKUP($A100,List!$A$1:$B$29,2,FALSE))=FALSE,"",IF(ISNUMBER(J100),VLOOKUP($A100,List!$A$1:$B$29,2,FALSE)))</f>
        <v/>
      </c>
      <c r="W100" s="13" t="str">
        <f>IF(IF(ISNUMBER(K100),VLOOKUP($A100,List!$A$1:$B$29,2,FALSE))=FALSE,"",IF(ISNUMBER(K100),VLOOKUP($A100,List!$A$1:$B$29,2,FALSE)))</f>
        <v/>
      </c>
      <c r="X100" s="13" t="str">
        <f>IF(IF(ISNUMBER(L100),VLOOKUP($A100,List!$A$1:$B$29,2,FALSE))=FALSE,"",IF(ISNUMBER(L100),VLOOKUP($A100,List!$A$1:$B$29,2,FALSE)))</f>
        <v/>
      </c>
      <c r="Y100" s="13" t="str">
        <f>IF(IF(ISNUMBER(M100),VLOOKUP($A100,List!$A$1:$B$29,2,FALSE))=FALSE,"",IF(ISNUMBER(M100),VLOOKUP($A100,List!$A$1:$B$29,2,FALSE)))</f>
        <v/>
      </c>
    </row>
    <row r="101" spans="1:25" ht="15" thickBot="1" x14ac:dyDescent="0.35">
      <c r="A101" s="4">
        <v>20</v>
      </c>
      <c r="B101" s="5">
        <v>0.59</v>
      </c>
      <c r="C101" s="6" t="s">
        <v>79</v>
      </c>
      <c r="D101" s="6" t="s">
        <v>79</v>
      </c>
      <c r="E101" s="6" t="s">
        <v>79</v>
      </c>
      <c r="F101" s="6" t="s">
        <v>79</v>
      </c>
      <c r="G101" s="7" t="s">
        <v>79</v>
      </c>
      <c r="H101" s="7" t="s">
        <v>79</v>
      </c>
      <c r="I101" s="7" t="s">
        <v>79</v>
      </c>
      <c r="J101" s="7" t="s">
        <v>79</v>
      </c>
      <c r="K101" s="7" t="s">
        <v>79</v>
      </c>
      <c r="L101" s="7" t="s">
        <v>79</v>
      </c>
      <c r="M101" s="7" t="s">
        <v>79</v>
      </c>
      <c r="N101" s="13" t="str">
        <f>IF(IF(ISNUMBER(B101),VLOOKUP($A101,List!$A$1:$B$29,2,FALSE))=FALSE,"",IF(ISNUMBER(B101),VLOOKUP($A101,List!$A$1:$B$29,2,FALSE)))</f>
        <v>When not on my boat, I often find myself doing boating related activities</v>
      </c>
      <c r="O101" s="13" t="str">
        <f>IF(IF(ISNUMBER(C101),VLOOKUP($A101,List!$A$1:$B$29,2,FALSE))=FALSE,"",IF(ISNUMBER(C101),VLOOKUP($A101,List!$A$1:$B$29,2,FALSE)))</f>
        <v/>
      </c>
      <c r="P101" s="13" t="str">
        <f>IF(IF(ISNUMBER(D101),VLOOKUP($A101,List!$A$1:$B$29,2,FALSE))=FALSE,"",IF(ISNUMBER(D101),VLOOKUP($A101,List!$A$1:$B$29,2,FALSE)))</f>
        <v/>
      </c>
      <c r="Q101" s="13" t="str">
        <f>IF(IF(ISNUMBER(E101),VLOOKUP($A101,List!$A$1:$B$29,2,FALSE))=FALSE,"",IF(ISNUMBER(E101),VLOOKUP($A101,List!$A$1:$B$29,2,FALSE)))</f>
        <v/>
      </c>
      <c r="R101" s="13" t="str">
        <f>IF(IF(ISNUMBER(F101),VLOOKUP($A101,List!$A$1:$B$29,2,FALSE))=FALSE,"",IF(ISNUMBER(F101),VLOOKUP($A101,List!$A$1:$B$29,2,FALSE)))</f>
        <v/>
      </c>
      <c r="S101" s="13" t="str">
        <f>IF(IF(ISNUMBER(G101),VLOOKUP($A101,List!$A$1:$B$29,2,FALSE))=FALSE,"",IF(ISNUMBER(G101),VLOOKUP($A101,List!$A$1:$B$29,2,FALSE)))</f>
        <v/>
      </c>
      <c r="T101" s="13" t="str">
        <f>IF(IF(ISNUMBER(H101),VLOOKUP($A101,List!$A$1:$B$29,2,FALSE))=FALSE,"",IF(ISNUMBER(H101),VLOOKUP($A101,List!$A$1:$B$29,2,FALSE)))</f>
        <v/>
      </c>
      <c r="U101" s="13" t="str">
        <f>IF(IF(ISNUMBER(I101),VLOOKUP($A101,List!$A$1:$B$29,2,FALSE))=FALSE,"",IF(ISNUMBER(I101),VLOOKUP($A101,List!$A$1:$B$29,2,FALSE)))</f>
        <v/>
      </c>
      <c r="V101" s="13" t="str">
        <f>IF(IF(ISNUMBER(J101),VLOOKUP($A101,List!$A$1:$B$29,2,FALSE))=FALSE,"",IF(ISNUMBER(J101),VLOOKUP($A101,List!$A$1:$B$29,2,FALSE)))</f>
        <v/>
      </c>
      <c r="W101" s="13" t="str">
        <f>IF(IF(ISNUMBER(K101),VLOOKUP($A101,List!$A$1:$B$29,2,FALSE))=FALSE,"",IF(ISNUMBER(K101),VLOOKUP($A101,List!$A$1:$B$29,2,FALSE)))</f>
        <v/>
      </c>
      <c r="X101" s="13" t="str">
        <f>IF(IF(ISNUMBER(L101),VLOOKUP($A101,List!$A$1:$B$29,2,FALSE))=FALSE,"",IF(ISNUMBER(L101),VLOOKUP($A101,List!$A$1:$B$29,2,FALSE)))</f>
        <v/>
      </c>
      <c r="Y101" s="13" t="str">
        <f>IF(IF(ISNUMBER(M101),VLOOKUP($A101,List!$A$1:$B$29,2,FALSE))=FALSE,"",IF(ISNUMBER(M101),VLOOKUP($A101,List!$A$1:$B$29,2,FALSE)))</f>
        <v/>
      </c>
    </row>
    <row r="102" spans="1:25" ht="15" thickBot="1" x14ac:dyDescent="0.35">
      <c r="A102" s="4">
        <v>23</v>
      </c>
      <c r="B102" s="5">
        <v>0.57999999999999996</v>
      </c>
      <c r="C102" s="6" t="s">
        <v>79</v>
      </c>
      <c r="D102" s="6" t="s">
        <v>79</v>
      </c>
      <c r="E102" s="6" t="s">
        <v>79</v>
      </c>
      <c r="F102" s="6" t="s">
        <v>79</v>
      </c>
      <c r="G102" s="7" t="s">
        <v>79</v>
      </c>
      <c r="H102" s="7" t="s">
        <v>79</v>
      </c>
      <c r="I102" s="7" t="s">
        <v>79</v>
      </c>
      <c r="J102" s="7" t="s">
        <v>79</v>
      </c>
      <c r="K102" s="7" t="s">
        <v>79</v>
      </c>
      <c r="L102" s="7" t="s">
        <v>79</v>
      </c>
      <c r="M102" s="7" t="s">
        <v>79</v>
      </c>
      <c r="N102" s="13" t="str">
        <f>IF(IF(ISNUMBER(B102),VLOOKUP($A102,List!$A$1:$B$29,2,FALSE))=FALSE,"",IF(ISNUMBER(B102),VLOOKUP($A102,List!$A$1:$B$29,2,FALSE)))</f>
        <v>Boating allows me to excel in the sports that I am passionate about</v>
      </c>
      <c r="O102" s="13" t="str">
        <f>IF(IF(ISNUMBER(C102),VLOOKUP($A102,List!$A$1:$B$29,2,FALSE))=FALSE,"",IF(ISNUMBER(C102),VLOOKUP($A102,List!$A$1:$B$29,2,FALSE)))</f>
        <v/>
      </c>
      <c r="P102" s="13" t="str">
        <f>IF(IF(ISNUMBER(D102),VLOOKUP($A102,List!$A$1:$B$29,2,FALSE))=FALSE,"",IF(ISNUMBER(D102),VLOOKUP($A102,List!$A$1:$B$29,2,FALSE)))</f>
        <v/>
      </c>
      <c r="Q102" s="13" t="str">
        <f>IF(IF(ISNUMBER(E102),VLOOKUP($A102,List!$A$1:$B$29,2,FALSE))=FALSE,"",IF(ISNUMBER(E102),VLOOKUP($A102,List!$A$1:$B$29,2,FALSE)))</f>
        <v/>
      </c>
      <c r="R102" s="13" t="str">
        <f>IF(IF(ISNUMBER(F102),VLOOKUP($A102,List!$A$1:$B$29,2,FALSE))=FALSE,"",IF(ISNUMBER(F102),VLOOKUP($A102,List!$A$1:$B$29,2,FALSE)))</f>
        <v/>
      </c>
      <c r="S102" s="13" t="str">
        <f>IF(IF(ISNUMBER(G102),VLOOKUP($A102,List!$A$1:$B$29,2,FALSE))=FALSE,"",IF(ISNUMBER(G102),VLOOKUP($A102,List!$A$1:$B$29,2,FALSE)))</f>
        <v/>
      </c>
      <c r="T102" s="13" t="str">
        <f>IF(IF(ISNUMBER(H102),VLOOKUP($A102,List!$A$1:$B$29,2,FALSE))=FALSE,"",IF(ISNUMBER(H102),VLOOKUP($A102,List!$A$1:$B$29,2,FALSE)))</f>
        <v/>
      </c>
      <c r="U102" s="13" t="str">
        <f>IF(IF(ISNUMBER(I102),VLOOKUP($A102,List!$A$1:$B$29,2,FALSE))=FALSE,"",IF(ISNUMBER(I102),VLOOKUP($A102,List!$A$1:$B$29,2,FALSE)))</f>
        <v/>
      </c>
      <c r="V102" s="13" t="str">
        <f>IF(IF(ISNUMBER(J102),VLOOKUP($A102,List!$A$1:$B$29,2,FALSE))=FALSE,"",IF(ISNUMBER(J102),VLOOKUP($A102,List!$A$1:$B$29,2,FALSE)))</f>
        <v/>
      </c>
      <c r="W102" s="13" t="str">
        <f>IF(IF(ISNUMBER(K102),VLOOKUP($A102,List!$A$1:$B$29,2,FALSE))=FALSE,"",IF(ISNUMBER(K102),VLOOKUP($A102,List!$A$1:$B$29,2,FALSE)))</f>
        <v/>
      </c>
      <c r="X102" s="13" t="str">
        <f>IF(IF(ISNUMBER(L102),VLOOKUP($A102,List!$A$1:$B$29,2,FALSE))=FALSE,"",IF(ISNUMBER(L102),VLOOKUP($A102,List!$A$1:$B$29,2,FALSE)))</f>
        <v/>
      </c>
      <c r="Y102" s="13" t="str">
        <f>IF(IF(ISNUMBER(M102),VLOOKUP($A102,List!$A$1:$B$29,2,FALSE))=FALSE,"",IF(ISNUMBER(M102),VLOOKUP($A102,List!$A$1:$B$29,2,FALSE)))</f>
        <v/>
      </c>
    </row>
    <row r="103" spans="1:25" ht="15" thickBot="1" x14ac:dyDescent="0.35">
      <c r="A103" s="4">
        <v>16</v>
      </c>
      <c r="B103" s="5">
        <v>0.54</v>
      </c>
      <c r="C103" s="6" t="s">
        <v>79</v>
      </c>
      <c r="D103" s="6" t="s">
        <v>79</v>
      </c>
      <c r="E103" s="6" t="s">
        <v>79</v>
      </c>
      <c r="F103" s="6" t="s">
        <v>79</v>
      </c>
      <c r="G103" s="7" t="s">
        <v>79</v>
      </c>
      <c r="H103" s="7" t="s">
        <v>79</v>
      </c>
      <c r="I103" s="7" t="s">
        <v>79</v>
      </c>
      <c r="J103" s="7" t="s">
        <v>79</v>
      </c>
      <c r="K103" s="7" t="s">
        <v>79</v>
      </c>
      <c r="L103" s="7" t="s">
        <v>79</v>
      </c>
      <c r="M103" s="7" t="s">
        <v>79</v>
      </c>
      <c r="N103" s="13" t="str">
        <f>IF(IF(ISNUMBER(B103),VLOOKUP($A103,List!$A$1:$B$29,2,FALSE))=FALSE,"",IF(ISNUMBER(B103),VLOOKUP($A103,List!$A$1:$B$29,2,FALSE)))</f>
        <v>People tend to come to me for advice about boating</v>
      </c>
      <c r="O103" s="13" t="str">
        <f>IF(IF(ISNUMBER(C103),VLOOKUP($A103,List!$A$1:$B$29,2,FALSE))=FALSE,"",IF(ISNUMBER(C103),VLOOKUP($A103,List!$A$1:$B$29,2,FALSE)))</f>
        <v/>
      </c>
      <c r="P103" s="13" t="str">
        <f>IF(IF(ISNUMBER(D103),VLOOKUP($A103,List!$A$1:$B$29,2,FALSE))=FALSE,"",IF(ISNUMBER(D103),VLOOKUP($A103,List!$A$1:$B$29,2,FALSE)))</f>
        <v/>
      </c>
      <c r="Q103" s="13" t="str">
        <f>IF(IF(ISNUMBER(E103),VLOOKUP($A103,List!$A$1:$B$29,2,FALSE))=FALSE,"",IF(ISNUMBER(E103),VLOOKUP($A103,List!$A$1:$B$29,2,FALSE)))</f>
        <v/>
      </c>
      <c r="R103" s="13" t="str">
        <f>IF(IF(ISNUMBER(F103),VLOOKUP($A103,List!$A$1:$B$29,2,FALSE))=FALSE,"",IF(ISNUMBER(F103),VLOOKUP($A103,List!$A$1:$B$29,2,FALSE)))</f>
        <v/>
      </c>
      <c r="S103" s="13" t="str">
        <f>IF(IF(ISNUMBER(G103),VLOOKUP($A103,List!$A$1:$B$29,2,FALSE))=FALSE,"",IF(ISNUMBER(G103),VLOOKUP($A103,List!$A$1:$B$29,2,FALSE)))</f>
        <v/>
      </c>
      <c r="T103" s="13" t="str">
        <f>IF(IF(ISNUMBER(H103),VLOOKUP($A103,List!$A$1:$B$29,2,FALSE))=FALSE,"",IF(ISNUMBER(H103),VLOOKUP($A103,List!$A$1:$B$29,2,FALSE)))</f>
        <v/>
      </c>
      <c r="U103" s="13" t="str">
        <f>IF(IF(ISNUMBER(I103),VLOOKUP($A103,List!$A$1:$B$29,2,FALSE))=FALSE,"",IF(ISNUMBER(I103),VLOOKUP($A103,List!$A$1:$B$29,2,FALSE)))</f>
        <v/>
      </c>
      <c r="V103" s="13" t="str">
        <f>IF(IF(ISNUMBER(J103),VLOOKUP($A103,List!$A$1:$B$29,2,FALSE))=FALSE,"",IF(ISNUMBER(J103),VLOOKUP($A103,List!$A$1:$B$29,2,FALSE)))</f>
        <v/>
      </c>
      <c r="W103" s="13" t="str">
        <f>IF(IF(ISNUMBER(K103),VLOOKUP($A103,List!$A$1:$B$29,2,FALSE))=FALSE,"",IF(ISNUMBER(K103),VLOOKUP($A103,List!$A$1:$B$29,2,FALSE)))</f>
        <v/>
      </c>
      <c r="X103" s="13" t="str">
        <f>IF(IF(ISNUMBER(L103),VLOOKUP($A103,List!$A$1:$B$29,2,FALSE))=FALSE,"",IF(ISNUMBER(L103),VLOOKUP($A103,List!$A$1:$B$29,2,FALSE)))</f>
        <v/>
      </c>
      <c r="Y103" s="13" t="str">
        <f>IF(IF(ISNUMBER(M103),VLOOKUP($A103,List!$A$1:$B$29,2,FALSE))=FALSE,"",IF(ISNUMBER(M103),VLOOKUP($A103,List!$A$1:$B$29,2,FALSE)))</f>
        <v/>
      </c>
    </row>
    <row r="104" spans="1:25" ht="15" thickBot="1" x14ac:dyDescent="0.35">
      <c r="A104" s="4">
        <v>17</v>
      </c>
      <c r="B104" s="5" t="s">
        <v>79</v>
      </c>
      <c r="C104" s="6" t="s">
        <v>79</v>
      </c>
      <c r="D104" s="6" t="s">
        <v>79</v>
      </c>
      <c r="E104" s="6" t="s">
        <v>79</v>
      </c>
      <c r="F104" s="6" t="s">
        <v>79</v>
      </c>
      <c r="G104" s="7" t="s">
        <v>79</v>
      </c>
      <c r="H104" s="7" t="s">
        <v>79</v>
      </c>
      <c r="I104" s="7" t="s">
        <v>79</v>
      </c>
      <c r="J104" s="7" t="s">
        <v>79</v>
      </c>
      <c r="K104" s="7" t="s">
        <v>79</v>
      </c>
      <c r="L104" s="7" t="s">
        <v>79</v>
      </c>
      <c r="M104" s="7" t="s">
        <v>79</v>
      </c>
      <c r="N104" s="13" t="str">
        <f>IF(IF(ISNUMBER(B104),VLOOKUP($A104,List!$A$1:$B$29,2,FALSE))=FALSE,"",IF(ISNUMBER(B104),VLOOKUP($A104,List!$A$1:$B$29,2,FALSE)))</f>
        <v/>
      </c>
      <c r="O104" s="13" t="str">
        <f>IF(IF(ISNUMBER(C104),VLOOKUP($A104,List!$A$1:$B$29,2,FALSE))=FALSE,"",IF(ISNUMBER(C104),VLOOKUP($A104,List!$A$1:$B$29,2,FALSE)))</f>
        <v/>
      </c>
      <c r="P104" s="13" t="str">
        <f>IF(IF(ISNUMBER(D104),VLOOKUP($A104,List!$A$1:$B$29,2,FALSE))=FALSE,"",IF(ISNUMBER(D104),VLOOKUP($A104,List!$A$1:$B$29,2,FALSE)))</f>
        <v/>
      </c>
      <c r="Q104" s="13" t="str">
        <f>IF(IF(ISNUMBER(E104),VLOOKUP($A104,List!$A$1:$B$29,2,FALSE))=FALSE,"",IF(ISNUMBER(E104),VLOOKUP($A104,List!$A$1:$B$29,2,FALSE)))</f>
        <v/>
      </c>
      <c r="R104" s="13" t="str">
        <f>IF(IF(ISNUMBER(F104),VLOOKUP($A104,List!$A$1:$B$29,2,FALSE))=FALSE,"",IF(ISNUMBER(F104),VLOOKUP($A104,List!$A$1:$B$29,2,FALSE)))</f>
        <v/>
      </c>
      <c r="S104" s="13" t="str">
        <f>IF(IF(ISNUMBER(G104),VLOOKUP($A104,List!$A$1:$B$29,2,FALSE))=FALSE,"",IF(ISNUMBER(G104),VLOOKUP($A104,List!$A$1:$B$29,2,FALSE)))</f>
        <v/>
      </c>
      <c r="T104" s="13" t="str">
        <f>IF(IF(ISNUMBER(H104),VLOOKUP($A104,List!$A$1:$B$29,2,FALSE))=FALSE,"",IF(ISNUMBER(H104),VLOOKUP($A104,List!$A$1:$B$29,2,FALSE)))</f>
        <v/>
      </c>
      <c r="U104" s="13" t="str">
        <f>IF(IF(ISNUMBER(I104),VLOOKUP($A104,List!$A$1:$B$29,2,FALSE))=FALSE,"",IF(ISNUMBER(I104),VLOOKUP($A104,List!$A$1:$B$29,2,FALSE)))</f>
        <v/>
      </c>
      <c r="V104" s="13" t="str">
        <f>IF(IF(ISNUMBER(J104),VLOOKUP($A104,List!$A$1:$B$29,2,FALSE))=FALSE,"",IF(ISNUMBER(J104),VLOOKUP($A104,List!$A$1:$B$29,2,FALSE)))</f>
        <v/>
      </c>
      <c r="W104" s="13" t="str">
        <f>IF(IF(ISNUMBER(K104),VLOOKUP($A104,List!$A$1:$B$29,2,FALSE))=FALSE,"",IF(ISNUMBER(K104),VLOOKUP($A104,List!$A$1:$B$29,2,FALSE)))</f>
        <v/>
      </c>
      <c r="X104" s="13" t="str">
        <f>IF(IF(ISNUMBER(L104),VLOOKUP($A104,List!$A$1:$B$29,2,FALSE))=FALSE,"",IF(ISNUMBER(L104),VLOOKUP($A104,List!$A$1:$B$29,2,FALSE)))</f>
        <v/>
      </c>
      <c r="Y104" s="13" t="str">
        <f>IF(IF(ISNUMBER(M104),VLOOKUP($A104,List!$A$1:$B$29,2,FALSE))=FALSE,"",IF(ISNUMBER(M104),VLOOKUP($A104,List!$A$1:$B$29,2,FALSE)))</f>
        <v/>
      </c>
    </row>
    <row r="105" spans="1:25" ht="15" thickBot="1" x14ac:dyDescent="0.35">
      <c r="A105" s="4">
        <v>26</v>
      </c>
      <c r="B105" s="6" t="s">
        <v>79</v>
      </c>
      <c r="C105" s="6" t="s">
        <v>79</v>
      </c>
      <c r="D105" s="6" t="s">
        <v>79</v>
      </c>
      <c r="E105" s="6" t="s">
        <v>79</v>
      </c>
      <c r="F105" s="6" t="s">
        <v>79</v>
      </c>
      <c r="G105" s="7" t="s">
        <v>79</v>
      </c>
      <c r="H105" s="7" t="s">
        <v>79</v>
      </c>
      <c r="I105" s="7" t="s">
        <v>79</v>
      </c>
      <c r="J105" s="7" t="s">
        <v>79</v>
      </c>
      <c r="K105" s="7" t="s">
        <v>79</v>
      </c>
      <c r="L105" s="7" t="s">
        <v>79</v>
      </c>
      <c r="M105" s="7" t="s">
        <v>79</v>
      </c>
      <c r="N105" s="13" t="str">
        <f>IF(IF(ISNUMBER(B105),VLOOKUP($A105,List!$A$1:$B$29,2,FALSE))=FALSE,"",IF(ISNUMBER(B105),VLOOKUP($A105,List!$A$1:$B$29,2,FALSE)))</f>
        <v/>
      </c>
      <c r="O105" s="13" t="str">
        <f>IF(IF(ISNUMBER(C105),VLOOKUP($A105,List!$A$1:$B$29,2,FALSE))=FALSE,"",IF(ISNUMBER(C105),VLOOKUP($A105,List!$A$1:$B$29,2,FALSE)))</f>
        <v/>
      </c>
      <c r="P105" s="13" t="str">
        <f>IF(IF(ISNUMBER(D105),VLOOKUP($A105,List!$A$1:$B$29,2,FALSE))=FALSE,"",IF(ISNUMBER(D105),VLOOKUP($A105,List!$A$1:$B$29,2,FALSE)))</f>
        <v/>
      </c>
      <c r="Q105" s="13" t="str">
        <f>IF(IF(ISNUMBER(E105),VLOOKUP($A105,List!$A$1:$B$29,2,FALSE))=FALSE,"",IF(ISNUMBER(E105),VLOOKUP($A105,List!$A$1:$B$29,2,FALSE)))</f>
        <v/>
      </c>
      <c r="R105" s="13" t="str">
        <f>IF(IF(ISNUMBER(F105),VLOOKUP($A105,List!$A$1:$B$29,2,FALSE))=FALSE,"",IF(ISNUMBER(F105),VLOOKUP($A105,List!$A$1:$B$29,2,FALSE)))</f>
        <v/>
      </c>
      <c r="S105" s="13" t="str">
        <f>IF(IF(ISNUMBER(G105),VLOOKUP($A105,List!$A$1:$B$29,2,FALSE))=FALSE,"",IF(ISNUMBER(G105),VLOOKUP($A105,List!$A$1:$B$29,2,FALSE)))</f>
        <v/>
      </c>
      <c r="T105" s="13" t="str">
        <f>IF(IF(ISNUMBER(H105),VLOOKUP($A105,List!$A$1:$B$29,2,FALSE))=FALSE,"",IF(ISNUMBER(H105),VLOOKUP($A105,List!$A$1:$B$29,2,FALSE)))</f>
        <v/>
      </c>
      <c r="U105" s="13" t="str">
        <f>IF(IF(ISNUMBER(I105),VLOOKUP($A105,List!$A$1:$B$29,2,FALSE))=FALSE,"",IF(ISNUMBER(I105),VLOOKUP($A105,List!$A$1:$B$29,2,FALSE)))</f>
        <v/>
      </c>
      <c r="V105" s="13" t="str">
        <f>IF(IF(ISNUMBER(J105),VLOOKUP($A105,List!$A$1:$B$29,2,FALSE))=FALSE,"",IF(ISNUMBER(J105),VLOOKUP($A105,List!$A$1:$B$29,2,FALSE)))</f>
        <v/>
      </c>
      <c r="W105" s="13" t="str">
        <f>IF(IF(ISNUMBER(K105),VLOOKUP($A105,List!$A$1:$B$29,2,FALSE))=FALSE,"",IF(ISNUMBER(K105),VLOOKUP($A105,List!$A$1:$B$29,2,FALSE)))</f>
        <v/>
      </c>
      <c r="X105" s="13" t="str">
        <f>IF(IF(ISNUMBER(L105),VLOOKUP($A105,List!$A$1:$B$29,2,FALSE))=FALSE,"",IF(ISNUMBER(L105),VLOOKUP($A105,List!$A$1:$B$29,2,FALSE)))</f>
        <v/>
      </c>
      <c r="Y105" s="13" t="str">
        <f>IF(IF(ISNUMBER(M105),VLOOKUP($A105,List!$A$1:$B$29,2,FALSE))=FALSE,"",IF(ISNUMBER(M105),VLOOKUP($A105,List!$A$1:$B$29,2,FALSE)))</f>
        <v/>
      </c>
    </row>
    <row r="106" spans="1:25" ht="15" thickBot="1" x14ac:dyDescent="0.35">
      <c r="A106" s="4">
        <v>22</v>
      </c>
      <c r="B106" s="6" t="s">
        <v>79</v>
      </c>
      <c r="C106" s="6" t="s">
        <v>79</v>
      </c>
      <c r="D106" s="6" t="s">
        <v>79</v>
      </c>
      <c r="E106" s="6" t="s">
        <v>79</v>
      </c>
      <c r="F106" s="6" t="s">
        <v>79</v>
      </c>
      <c r="G106" s="7" t="s">
        <v>79</v>
      </c>
      <c r="H106" s="7" t="s">
        <v>79</v>
      </c>
      <c r="I106" s="7" t="s">
        <v>79</v>
      </c>
      <c r="J106" s="7" t="s">
        <v>79</v>
      </c>
      <c r="K106" s="7" t="s">
        <v>79</v>
      </c>
      <c r="L106" s="7" t="s">
        <v>79</v>
      </c>
      <c r="M106" s="7" t="s">
        <v>79</v>
      </c>
      <c r="N106" s="13" t="str">
        <f>IF(IF(ISNUMBER(B106),VLOOKUP($A106,List!$A$1:$B$29,2,FALSE))=FALSE,"",IF(ISNUMBER(B106),VLOOKUP($A106,List!$A$1:$B$29,2,FALSE)))</f>
        <v/>
      </c>
      <c r="O106" s="13" t="str">
        <f>IF(IF(ISNUMBER(C106),VLOOKUP($A106,List!$A$1:$B$29,2,FALSE))=FALSE,"",IF(ISNUMBER(C106),VLOOKUP($A106,List!$A$1:$B$29,2,FALSE)))</f>
        <v/>
      </c>
      <c r="P106" s="13" t="str">
        <f>IF(IF(ISNUMBER(D106),VLOOKUP($A106,List!$A$1:$B$29,2,FALSE))=FALSE,"",IF(ISNUMBER(D106),VLOOKUP($A106,List!$A$1:$B$29,2,FALSE)))</f>
        <v/>
      </c>
      <c r="Q106" s="13" t="str">
        <f>IF(IF(ISNUMBER(E106),VLOOKUP($A106,List!$A$1:$B$29,2,FALSE))=FALSE,"",IF(ISNUMBER(E106),VLOOKUP($A106,List!$A$1:$B$29,2,FALSE)))</f>
        <v/>
      </c>
      <c r="R106" s="13" t="str">
        <f>IF(IF(ISNUMBER(F106),VLOOKUP($A106,List!$A$1:$B$29,2,FALSE))=FALSE,"",IF(ISNUMBER(F106),VLOOKUP($A106,List!$A$1:$B$29,2,FALSE)))</f>
        <v/>
      </c>
      <c r="S106" s="13" t="str">
        <f>IF(IF(ISNUMBER(G106),VLOOKUP($A106,List!$A$1:$B$29,2,FALSE))=FALSE,"",IF(ISNUMBER(G106),VLOOKUP($A106,List!$A$1:$B$29,2,FALSE)))</f>
        <v/>
      </c>
      <c r="T106" s="13" t="str">
        <f>IF(IF(ISNUMBER(H106),VLOOKUP($A106,List!$A$1:$B$29,2,FALSE))=FALSE,"",IF(ISNUMBER(H106),VLOOKUP($A106,List!$A$1:$B$29,2,FALSE)))</f>
        <v/>
      </c>
      <c r="U106" s="13" t="str">
        <f>IF(IF(ISNUMBER(I106),VLOOKUP($A106,List!$A$1:$B$29,2,FALSE))=FALSE,"",IF(ISNUMBER(I106),VLOOKUP($A106,List!$A$1:$B$29,2,FALSE)))</f>
        <v/>
      </c>
      <c r="V106" s="13" t="str">
        <f>IF(IF(ISNUMBER(J106),VLOOKUP($A106,List!$A$1:$B$29,2,FALSE))=FALSE,"",IF(ISNUMBER(J106),VLOOKUP($A106,List!$A$1:$B$29,2,FALSE)))</f>
        <v/>
      </c>
      <c r="W106" s="13" t="str">
        <f>IF(IF(ISNUMBER(K106),VLOOKUP($A106,List!$A$1:$B$29,2,FALSE))=FALSE,"",IF(ISNUMBER(K106),VLOOKUP($A106,List!$A$1:$B$29,2,FALSE)))</f>
        <v/>
      </c>
      <c r="X106" s="13" t="str">
        <f>IF(IF(ISNUMBER(L106),VLOOKUP($A106,List!$A$1:$B$29,2,FALSE))=FALSE,"",IF(ISNUMBER(L106),VLOOKUP($A106,List!$A$1:$B$29,2,FALSE)))</f>
        <v/>
      </c>
      <c r="Y106" s="13" t="str">
        <f>IF(IF(ISNUMBER(M106),VLOOKUP($A106,List!$A$1:$B$29,2,FALSE))=FALSE,"",IF(ISNUMBER(M106),VLOOKUP($A106,List!$A$1:$B$29,2,FALSE)))</f>
        <v/>
      </c>
    </row>
    <row r="107" spans="1:25" ht="15" thickBot="1" x14ac:dyDescent="0.35">
      <c r="A107" s="4">
        <v>12</v>
      </c>
      <c r="B107" s="6" t="s">
        <v>79</v>
      </c>
      <c r="C107" s="6" t="s">
        <v>79</v>
      </c>
      <c r="D107" s="6" t="s">
        <v>79</v>
      </c>
      <c r="E107" s="5" t="s">
        <v>79</v>
      </c>
      <c r="F107" s="6" t="s">
        <v>79</v>
      </c>
      <c r="G107" s="7" t="s">
        <v>79</v>
      </c>
      <c r="H107" s="7" t="s">
        <v>79</v>
      </c>
      <c r="I107" s="7" t="s">
        <v>79</v>
      </c>
      <c r="J107" s="7" t="s">
        <v>79</v>
      </c>
      <c r="K107" s="7" t="s">
        <v>79</v>
      </c>
      <c r="L107" s="7" t="s">
        <v>79</v>
      </c>
      <c r="M107" s="7" t="s">
        <v>79</v>
      </c>
      <c r="N107" s="13" t="str">
        <f>IF(IF(ISNUMBER(B107),VLOOKUP($A107,List!$A$1:$B$29,2,FALSE))=FALSE,"",IF(ISNUMBER(B107),VLOOKUP($A107,List!$A$1:$B$29,2,FALSE)))</f>
        <v/>
      </c>
      <c r="O107" s="13" t="str">
        <f>IF(IF(ISNUMBER(C107),VLOOKUP($A107,List!$A$1:$B$29,2,FALSE))=FALSE,"",IF(ISNUMBER(C107),VLOOKUP($A107,List!$A$1:$B$29,2,FALSE)))</f>
        <v/>
      </c>
      <c r="P107" s="13" t="str">
        <f>IF(IF(ISNUMBER(D107),VLOOKUP($A107,List!$A$1:$B$29,2,FALSE))=FALSE,"",IF(ISNUMBER(D107),VLOOKUP($A107,List!$A$1:$B$29,2,FALSE)))</f>
        <v/>
      </c>
      <c r="Q107" s="13" t="str">
        <f>IF(IF(ISNUMBER(E107),VLOOKUP($A107,List!$A$1:$B$29,2,FALSE))=FALSE,"",IF(ISNUMBER(E107),VLOOKUP($A107,List!$A$1:$B$29,2,FALSE)))</f>
        <v/>
      </c>
      <c r="R107" s="13" t="str">
        <f>IF(IF(ISNUMBER(F107),VLOOKUP($A107,List!$A$1:$B$29,2,FALSE))=FALSE,"",IF(ISNUMBER(F107),VLOOKUP($A107,List!$A$1:$B$29,2,FALSE)))</f>
        <v/>
      </c>
      <c r="S107" s="13" t="str">
        <f>IF(IF(ISNUMBER(G107),VLOOKUP($A107,List!$A$1:$B$29,2,FALSE))=FALSE,"",IF(ISNUMBER(G107),VLOOKUP($A107,List!$A$1:$B$29,2,FALSE)))</f>
        <v/>
      </c>
      <c r="T107" s="13" t="str">
        <f>IF(IF(ISNUMBER(H107),VLOOKUP($A107,List!$A$1:$B$29,2,FALSE))=FALSE,"",IF(ISNUMBER(H107),VLOOKUP($A107,List!$A$1:$B$29,2,FALSE)))</f>
        <v/>
      </c>
      <c r="U107" s="13" t="str">
        <f>IF(IF(ISNUMBER(I107),VLOOKUP($A107,List!$A$1:$B$29,2,FALSE))=FALSE,"",IF(ISNUMBER(I107),VLOOKUP($A107,List!$A$1:$B$29,2,FALSE)))</f>
        <v/>
      </c>
      <c r="V107" s="13" t="str">
        <f>IF(IF(ISNUMBER(J107),VLOOKUP($A107,List!$A$1:$B$29,2,FALSE))=FALSE,"",IF(ISNUMBER(J107),VLOOKUP($A107,List!$A$1:$B$29,2,FALSE)))</f>
        <v/>
      </c>
      <c r="W107" s="13" t="str">
        <f>IF(IF(ISNUMBER(K107),VLOOKUP($A107,List!$A$1:$B$29,2,FALSE))=FALSE,"",IF(ISNUMBER(K107),VLOOKUP($A107,List!$A$1:$B$29,2,FALSE)))</f>
        <v/>
      </c>
      <c r="X107" s="13" t="str">
        <f>IF(IF(ISNUMBER(L107),VLOOKUP($A107,List!$A$1:$B$29,2,FALSE))=FALSE,"",IF(ISNUMBER(L107),VLOOKUP($A107,List!$A$1:$B$29,2,FALSE)))</f>
        <v/>
      </c>
      <c r="Y107" s="13" t="str">
        <f>IF(IF(ISNUMBER(M107),VLOOKUP($A107,List!$A$1:$B$29,2,FALSE))=FALSE,"",IF(ISNUMBER(M107),VLOOKUP($A107,List!$A$1:$B$29,2,FALSE)))</f>
        <v/>
      </c>
    </row>
    <row r="108" spans="1:25" ht="15" thickBot="1" x14ac:dyDescent="0.35">
      <c r="A108" s="4">
        <v>3</v>
      </c>
      <c r="B108" s="6" t="s">
        <v>79</v>
      </c>
      <c r="C108" s="6" t="s">
        <v>79</v>
      </c>
      <c r="D108" s="6">
        <v>0.54</v>
      </c>
      <c r="E108" s="5" t="s">
        <v>79</v>
      </c>
      <c r="F108" s="6" t="s">
        <v>79</v>
      </c>
      <c r="G108" s="7" t="s">
        <v>79</v>
      </c>
      <c r="H108" s="7" t="s">
        <v>79</v>
      </c>
      <c r="I108" s="7" t="s">
        <v>79</v>
      </c>
      <c r="J108" s="7" t="s">
        <v>79</v>
      </c>
      <c r="K108" s="7" t="s">
        <v>79</v>
      </c>
      <c r="L108" s="7" t="s">
        <v>79</v>
      </c>
      <c r="M108" s="7" t="s">
        <v>79</v>
      </c>
      <c r="N108" s="13" t="str">
        <f>IF(IF(ISNUMBER(B108),VLOOKUP($A108,List!$A$1:$B$29,2,FALSE))=FALSE,"",IF(ISNUMBER(B108),VLOOKUP($A108,List!$A$1:$B$29,2,FALSE)))</f>
        <v/>
      </c>
      <c r="O108" s="13" t="str">
        <f>IF(IF(ISNUMBER(C108),VLOOKUP($A108,List!$A$1:$B$29,2,FALSE))=FALSE,"",IF(ISNUMBER(C108),VLOOKUP($A108,List!$A$1:$B$29,2,FALSE)))</f>
        <v/>
      </c>
      <c r="P108" s="13" t="str">
        <f>IF(IF(ISNUMBER(D108),VLOOKUP($A108,List!$A$1:$B$29,2,FALSE))=FALSE,"",IF(ISNUMBER(D108),VLOOKUP($A108,List!$A$1:$B$29,2,FALSE)))</f>
        <v>The brand of the boat I buy says a lot about who I am</v>
      </c>
      <c r="Q108" s="13" t="str">
        <f>IF(IF(ISNUMBER(E108),VLOOKUP($A108,List!$A$1:$B$29,2,FALSE))=FALSE,"",IF(ISNUMBER(E108),VLOOKUP($A108,List!$A$1:$B$29,2,FALSE)))</f>
        <v/>
      </c>
      <c r="R108" s="13" t="str">
        <f>IF(IF(ISNUMBER(F108),VLOOKUP($A108,List!$A$1:$B$29,2,FALSE))=FALSE,"",IF(ISNUMBER(F108),VLOOKUP($A108,List!$A$1:$B$29,2,FALSE)))</f>
        <v/>
      </c>
      <c r="S108" s="13" t="str">
        <f>IF(IF(ISNUMBER(G108),VLOOKUP($A108,List!$A$1:$B$29,2,FALSE))=FALSE,"",IF(ISNUMBER(G108),VLOOKUP($A108,List!$A$1:$B$29,2,FALSE)))</f>
        <v/>
      </c>
      <c r="T108" s="13" t="str">
        <f>IF(IF(ISNUMBER(H108),VLOOKUP($A108,List!$A$1:$B$29,2,FALSE))=FALSE,"",IF(ISNUMBER(H108),VLOOKUP($A108,List!$A$1:$B$29,2,FALSE)))</f>
        <v/>
      </c>
      <c r="U108" s="13" t="str">
        <f>IF(IF(ISNUMBER(I108),VLOOKUP($A108,List!$A$1:$B$29,2,FALSE))=FALSE,"",IF(ISNUMBER(I108),VLOOKUP($A108,List!$A$1:$B$29,2,FALSE)))</f>
        <v/>
      </c>
      <c r="V108" s="13" t="str">
        <f>IF(IF(ISNUMBER(J108),VLOOKUP($A108,List!$A$1:$B$29,2,FALSE))=FALSE,"",IF(ISNUMBER(J108),VLOOKUP($A108,List!$A$1:$B$29,2,FALSE)))</f>
        <v/>
      </c>
      <c r="W108" s="13" t="str">
        <f>IF(IF(ISNUMBER(K108),VLOOKUP($A108,List!$A$1:$B$29,2,FALSE))=FALSE,"",IF(ISNUMBER(K108),VLOOKUP($A108,List!$A$1:$B$29,2,FALSE)))</f>
        <v/>
      </c>
      <c r="X108" s="13" t="str">
        <f>IF(IF(ISNUMBER(L108),VLOOKUP($A108,List!$A$1:$B$29,2,FALSE))=FALSE,"",IF(ISNUMBER(L108),VLOOKUP($A108,List!$A$1:$B$29,2,FALSE)))</f>
        <v/>
      </c>
      <c r="Y108" s="13" t="str">
        <f>IF(IF(ISNUMBER(M108),VLOOKUP($A108,List!$A$1:$B$29,2,FALSE))=FALSE,"",IF(ISNUMBER(M108),VLOOKUP($A108,List!$A$1:$B$29,2,FALSE)))</f>
        <v/>
      </c>
    </row>
    <row r="109" spans="1:25" ht="15" thickBot="1" x14ac:dyDescent="0.35">
      <c r="A109" s="4">
        <v>5</v>
      </c>
      <c r="B109" s="6" t="s">
        <v>79</v>
      </c>
      <c r="C109" s="5" t="s">
        <v>79</v>
      </c>
      <c r="D109" s="6" t="s">
        <v>79</v>
      </c>
      <c r="E109" s="6" t="s">
        <v>79</v>
      </c>
      <c r="F109" s="6" t="s">
        <v>79</v>
      </c>
      <c r="G109" s="7" t="s">
        <v>79</v>
      </c>
      <c r="H109" s="7" t="s">
        <v>79</v>
      </c>
      <c r="I109" s="7" t="s">
        <v>79</v>
      </c>
      <c r="J109" s="7" t="s">
        <v>79</v>
      </c>
      <c r="K109" s="7" t="s">
        <v>79</v>
      </c>
      <c r="L109" s="7" t="s">
        <v>79</v>
      </c>
      <c r="M109" s="7" t="s">
        <v>79</v>
      </c>
      <c r="N109" s="13" t="str">
        <f>IF(IF(ISNUMBER(B109),VLOOKUP($A109,List!$A$1:$B$29,2,FALSE))=FALSE,"",IF(ISNUMBER(B109),VLOOKUP($A109,List!$A$1:$B$29,2,FALSE)))</f>
        <v/>
      </c>
      <c r="O109" s="13" t="str">
        <f>IF(IF(ISNUMBER(C109),VLOOKUP($A109,List!$A$1:$B$29,2,FALSE))=FALSE,"",IF(ISNUMBER(C109),VLOOKUP($A109,List!$A$1:$B$29,2,FALSE)))</f>
        <v/>
      </c>
      <c r="P109" s="13" t="str">
        <f>IF(IF(ISNUMBER(D109),VLOOKUP($A109,List!$A$1:$B$29,2,FALSE))=FALSE,"",IF(ISNUMBER(D109),VLOOKUP($A109,List!$A$1:$B$29,2,FALSE)))</f>
        <v/>
      </c>
      <c r="Q109" s="13" t="str">
        <f>IF(IF(ISNUMBER(E109),VLOOKUP($A109,List!$A$1:$B$29,2,FALSE))=FALSE,"",IF(ISNUMBER(E109),VLOOKUP($A109,List!$A$1:$B$29,2,FALSE)))</f>
        <v/>
      </c>
      <c r="R109" s="13" t="str">
        <f>IF(IF(ISNUMBER(F109),VLOOKUP($A109,List!$A$1:$B$29,2,FALSE))=FALSE,"",IF(ISNUMBER(F109),VLOOKUP($A109,List!$A$1:$B$29,2,FALSE)))</f>
        <v/>
      </c>
      <c r="S109" s="13" t="str">
        <f>IF(IF(ISNUMBER(G109),VLOOKUP($A109,List!$A$1:$B$29,2,FALSE))=FALSE,"",IF(ISNUMBER(G109),VLOOKUP($A109,List!$A$1:$B$29,2,FALSE)))</f>
        <v/>
      </c>
      <c r="T109" s="13" t="str">
        <f>IF(IF(ISNUMBER(H109),VLOOKUP($A109,List!$A$1:$B$29,2,FALSE))=FALSE,"",IF(ISNUMBER(H109),VLOOKUP($A109,List!$A$1:$B$29,2,FALSE)))</f>
        <v/>
      </c>
      <c r="U109" s="13" t="str">
        <f>IF(IF(ISNUMBER(I109),VLOOKUP($A109,List!$A$1:$B$29,2,FALSE))=FALSE,"",IF(ISNUMBER(I109),VLOOKUP($A109,List!$A$1:$B$29,2,FALSE)))</f>
        <v/>
      </c>
      <c r="V109" s="13" t="str">
        <f>IF(IF(ISNUMBER(J109),VLOOKUP($A109,List!$A$1:$B$29,2,FALSE))=FALSE,"",IF(ISNUMBER(J109),VLOOKUP($A109,List!$A$1:$B$29,2,FALSE)))</f>
        <v/>
      </c>
      <c r="W109" s="13" t="str">
        <f>IF(IF(ISNUMBER(K109),VLOOKUP($A109,List!$A$1:$B$29,2,FALSE))=FALSE,"",IF(ISNUMBER(K109),VLOOKUP($A109,List!$A$1:$B$29,2,FALSE)))</f>
        <v/>
      </c>
      <c r="X109" s="13" t="str">
        <f>IF(IF(ISNUMBER(L109),VLOOKUP($A109,List!$A$1:$B$29,2,FALSE))=FALSE,"",IF(ISNUMBER(L109),VLOOKUP($A109,List!$A$1:$B$29,2,FALSE)))</f>
        <v/>
      </c>
      <c r="Y109" s="13" t="str">
        <f>IF(IF(ISNUMBER(M109),VLOOKUP($A109,List!$A$1:$B$29,2,FALSE))=FALSE,"",IF(ISNUMBER(M109),VLOOKUP($A109,List!$A$1:$B$29,2,FALSE)))</f>
        <v/>
      </c>
    </row>
    <row r="110" spans="1:25" ht="15" thickBot="1" x14ac:dyDescent="0.35">
      <c r="A110" s="4">
        <v>9</v>
      </c>
      <c r="B110" s="6" t="s">
        <v>79</v>
      </c>
      <c r="C110" s="5" t="s">
        <v>79</v>
      </c>
      <c r="D110" s="6">
        <v>0.63</v>
      </c>
      <c r="E110" s="6" t="s">
        <v>79</v>
      </c>
      <c r="F110" s="6" t="s">
        <v>79</v>
      </c>
      <c r="G110" s="7" t="s">
        <v>79</v>
      </c>
      <c r="H110" s="7" t="s">
        <v>79</v>
      </c>
      <c r="I110" s="7" t="s">
        <v>79</v>
      </c>
      <c r="J110" s="7" t="s">
        <v>79</v>
      </c>
      <c r="K110" s="7" t="s">
        <v>79</v>
      </c>
      <c r="L110" s="7" t="s">
        <v>79</v>
      </c>
      <c r="M110" s="7" t="s">
        <v>79</v>
      </c>
      <c r="N110" s="13" t="str">
        <f>IF(IF(ISNUMBER(B110),VLOOKUP($A110,List!$A$1:$B$29,2,FALSE))=FALSE,"",IF(ISNUMBER(B110),VLOOKUP($A110,List!$A$1:$B$29,2,FALSE)))</f>
        <v/>
      </c>
      <c r="O110" s="13" t="str">
        <f>IF(IF(ISNUMBER(C110),VLOOKUP($A110,List!$A$1:$B$29,2,FALSE))=FALSE,"",IF(ISNUMBER(C110),VLOOKUP($A110,List!$A$1:$B$29,2,FALSE)))</f>
        <v/>
      </c>
      <c r="P110" s="13" t="str">
        <f>IF(IF(ISNUMBER(D110),VLOOKUP($A110,List!$A$1:$B$29,2,FALSE))=FALSE,"",IF(ISNUMBER(D110),VLOOKUP($A110,List!$A$1:$B$29,2,FALSE)))</f>
        <v>I see my boat as status symbol</v>
      </c>
      <c r="Q110" s="13" t="str">
        <f>IF(IF(ISNUMBER(E110),VLOOKUP($A110,List!$A$1:$B$29,2,FALSE))=FALSE,"",IF(ISNUMBER(E110),VLOOKUP($A110,List!$A$1:$B$29,2,FALSE)))</f>
        <v/>
      </c>
      <c r="R110" s="13" t="str">
        <f>IF(IF(ISNUMBER(F110),VLOOKUP($A110,List!$A$1:$B$29,2,FALSE))=FALSE,"",IF(ISNUMBER(F110),VLOOKUP($A110,List!$A$1:$B$29,2,FALSE)))</f>
        <v/>
      </c>
      <c r="S110" s="13" t="str">
        <f>IF(IF(ISNUMBER(G110),VLOOKUP($A110,List!$A$1:$B$29,2,FALSE))=FALSE,"",IF(ISNUMBER(G110),VLOOKUP($A110,List!$A$1:$B$29,2,FALSE)))</f>
        <v/>
      </c>
      <c r="T110" s="13" t="str">
        <f>IF(IF(ISNUMBER(H110),VLOOKUP($A110,List!$A$1:$B$29,2,FALSE))=FALSE,"",IF(ISNUMBER(H110),VLOOKUP($A110,List!$A$1:$B$29,2,FALSE)))</f>
        <v/>
      </c>
      <c r="U110" s="13" t="str">
        <f>IF(IF(ISNUMBER(I110),VLOOKUP($A110,List!$A$1:$B$29,2,FALSE))=FALSE,"",IF(ISNUMBER(I110),VLOOKUP($A110,List!$A$1:$B$29,2,FALSE)))</f>
        <v/>
      </c>
      <c r="V110" s="13" t="str">
        <f>IF(IF(ISNUMBER(J110),VLOOKUP($A110,List!$A$1:$B$29,2,FALSE))=FALSE,"",IF(ISNUMBER(J110),VLOOKUP($A110,List!$A$1:$B$29,2,FALSE)))</f>
        <v/>
      </c>
      <c r="W110" s="13" t="str">
        <f>IF(IF(ISNUMBER(K110),VLOOKUP($A110,List!$A$1:$B$29,2,FALSE))=FALSE,"",IF(ISNUMBER(K110),VLOOKUP($A110,List!$A$1:$B$29,2,FALSE)))</f>
        <v/>
      </c>
      <c r="X110" s="13" t="str">
        <f>IF(IF(ISNUMBER(L110),VLOOKUP($A110,List!$A$1:$B$29,2,FALSE))=FALSE,"",IF(ISNUMBER(L110),VLOOKUP($A110,List!$A$1:$B$29,2,FALSE)))</f>
        <v/>
      </c>
      <c r="Y110" s="13" t="str">
        <f>IF(IF(ISNUMBER(M110),VLOOKUP($A110,List!$A$1:$B$29,2,FALSE))=FALSE,"",IF(ISNUMBER(M110),VLOOKUP($A110,List!$A$1:$B$29,2,FALSE)))</f>
        <v/>
      </c>
    </row>
    <row r="111" spans="1:25" ht="15" thickBot="1" x14ac:dyDescent="0.35">
      <c r="A111" s="4">
        <v>13</v>
      </c>
      <c r="B111" s="6" t="s">
        <v>79</v>
      </c>
      <c r="C111" s="6">
        <v>0.7</v>
      </c>
      <c r="D111" s="6" t="s">
        <v>79</v>
      </c>
      <c r="E111" s="6" t="s">
        <v>79</v>
      </c>
      <c r="F111" s="6" t="s">
        <v>79</v>
      </c>
      <c r="G111" s="7" t="s">
        <v>79</v>
      </c>
      <c r="H111" s="7" t="s">
        <v>79</v>
      </c>
      <c r="I111" s="7" t="s">
        <v>79</v>
      </c>
      <c r="J111" s="7" t="s">
        <v>79</v>
      </c>
      <c r="K111" s="7" t="s">
        <v>79</v>
      </c>
      <c r="L111" s="7" t="s">
        <v>79</v>
      </c>
      <c r="M111" s="7" t="s">
        <v>79</v>
      </c>
      <c r="N111" s="13" t="str">
        <f>IF(IF(ISNUMBER(B111),VLOOKUP($A111,List!$A$1:$B$29,2,FALSE))=FALSE,"",IF(ISNUMBER(B111),VLOOKUP($A111,List!$A$1:$B$29,2,FALSE)))</f>
        <v/>
      </c>
      <c r="O111" s="13" t="str">
        <f>IF(IF(ISNUMBER(C111),VLOOKUP($A111,List!$A$1:$B$29,2,FALSE))=FALSE,"",IF(ISNUMBER(C111),VLOOKUP($A111,List!$A$1:$B$29,2,FALSE)))</f>
        <v>When buying a boat, I tend to buy the latest and greatest</v>
      </c>
      <c r="P111" s="13" t="str">
        <f>IF(IF(ISNUMBER(D111),VLOOKUP($A111,List!$A$1:$B$29,2,FALSE))=FALSE,"",IF(ISNUMBER(D111),VLOOKUP($A111,List!$A$1:$B$29,2,FALSE)))</f>
        <v/>
      </c>
      <c r="Q111" s="13" t="str">
        <f>IF(IF(ISNUMBER(E111),VLOOKUP($A111,List!$A$1:$B$29,2,FALSE))=FALSE,"",IF(ISNUMBER(E111),VLOOKUP($A111,List!$A$1:$B$29,2,FALSE)))</f>
        <v/>
      </c>
      <c r="R111" s="13" t="str">
        <f>IF(IF(ISNUMBER(F111),VLOOKUP($A111,List!$A$1:$B$29,2,FALSE))=FALSE,"",IF(ISNUMBER(F111),VLOOKUP($A111,List!$A$1:$B$29,2,FALSE)))</f>
        <v/>
      </c>
      <c r="S111" s="13" t="str">
        <f>IF(IF(ISNUMBER(G111),VLOOKUP($A111,List!$A$1:$B$29,2,FALSE))=FALSE,"",IF(ISNUMBER(G111),VLOOKUP($A111,List!$A$1:$B$29,2,FALSE)))</f>
        <v/>
      </c>
      <c r="T111" s="13" t="str">
        <f>IF(IF(ISNUMBER(H111),VLOOKUP($A111,List!$A$1:$B$29,2,FALSE))=FALSE,"",IF(ISNUMBER(H111),VLOOKUP($A111,List!$A$1:$B$29,2,FALSE)))</f>
        <v/>
      </c>
      <c r="U111" s="13" t="str">
        <f>IF(IF(ISNUMBER(I111),VLOOKUP($A111,List!$A$1:$B$29,2,FALSE))=FALSE,"",IF(ISNUMBER(I111),VLOOKUP($A111,List!$A$1:$B$29,2,FALSE)))</f>
        <v/>
      </c>
      <c r="V111" s="13" t="str">
        <f>IF(IF(ISNUMBER(J111),VLOOKUP($A111,List!$A$1:$B$29,2,FALSE))=FALSE,"",IF(ISNUMBER(J111),VLOOKUP($A111,List!$A$1:$B$29,2,FALSE)))</f>
        <v/>
      </c>
      <c r="W111" s="13" t="str">
        <f>IF(IF(ISNUMBER(K111),VLOOKUP($A111,List!$A$1:$B$29,2,FALSE))=FALSE,"",IF(ISNUMBER(K111),VLOOKUP($A111,List!$A$1:$B$29,2,FALSE)))</f>
        <v/>
      </c>
      <c r="X111" s="13" t="str">
        <f>IF(IF(ISNUMBER(L111),VLOOKUP($A111,List!$A$1:$B$29,2,FALSE))=FALSE,"",IF(ISNUMBER(L111),VLOOKUP($A111,List!$A$1:$B$29,2,FALSE)))</f>
        <v/>
      </c>
      <c r="Y111" s="13" t="str">
        <f>IF(IF(ISNUMBER(M111),VLOOKUP($A111,List!$A$1:$B$29,2,FALSE))=FALSE,"",IF(ISNUMBER(M111),VLOOKUP($A111,List!$A$1:$B$29,2,FALSE)))</f>
        <v/>
      </c>
    </row>
    <row r="112" spans="1:25" ht="15" thickBot="1" x14ac:dyDescent="0.35">
      <c r="A112" s="4">
        <v>14</v>
      </c>
      <c r="B112" s="6" t="s">
        <v>79</v>
      </c>
      <c r="C112" s="6">
        <v>0.72</v>
      </c>
      <c r="D112" s="6" t="s">
        <v>79</v>
      </c>
      <c r="E112" s="6" t="s">
        <v>79</v>
      </c>
      <c r="F112" s="6" t="s">
        <v>79</v>
      </c>
      <c r="G112" s="7" t="s">
        <v>79</v>
      </c>
      <c r="H112" s="7" t="s">
        <v>79</v>
      </c>
      <c r="I112" s="7" t="s">
        <v>79</v>
      </c>
      <c r="J112" s="7" t="s">
        <v>79</v>
      </c>
      <c r="K112" s="7" t="s">
        <v>79</v>
      </c>
      <c r="L112" s="7" t="s">
        <v>79</v>
      </c>
      <c r="M112" s="7" t="s">
        <v>79</v>
      </c>
      <c r="N112" s="13" t="str">
        <f>IF(IF(ISNUMBER(B112),VLOOKUP($A112,List!$A$1:$B$29,2,FALSE))=FALSE,"",IF(ISNUMBER(B112),VLOOKUP($A112,List!$A$1:$B$29,2,FALSE)))</f>
        <v/>
      </c>
      <c r="O112" s="13" t="str">
        <f>IF(IF(ISNUMBER(C112),VLOOKUP($A112,List!$A$1:$B$29,2,FALSE))=FALSE,"",IF(ISNUMBER(C112),VLOOKUP($A112,List!$A$1:$B$29,2,FALSE)))</f>
        <v>When buying accessories for my boat, I tend to buy the latest and greatest</v>
      </c>
      <c r="P112" s="13" t="str">
        <f>IF(IF(ISNUMBER(D112),VLOOKUP($A112,List!$A$1:$B$29,2,FALSE))=FALSE,"",IF(ISNUMBER(D112),VLOOKUP($A112,List!$A$1:$B$29,2,FALSE)))</f>
        <v/>
      </c>
      <c r="Q112" s="13" t="str">
        <f>IF(IF(ISNUMBER(E112),VLOOKUP($A112,List!$A$1:$B$29,2,FALSE))=FALSE,"",IF(ISNUMBER(E112),VLOOKUP($A112,List!$A$1:$B$29,2,FALSE)))</f>
        <v/>
      </c>
      <c r="R112" s="13" t="str">
        <f>IF(IF(ISNUMBER(F112),VLOOKUP($A112,List!$A$1:$B$29,2,FALSE))=FALSE,"",IF(ISNUMBER(F112),VLOOKUP($A112,List!$A$1:$B$29,2,FALSE)))</f>
        <v/>
      </c>
      <c r="S112" s="13" t="str">
        <f>IF(IF(ISNUMBER(G112),VLOOKUP($A112,List!$A$1:$B$29,2,FALSE))=FALSE,"",IF(ISNUMBER(G112),VLOOKUP($A112,List!$A$1:$B$29,2,FALSE)))</f>
        <v/>
      </c>
      <c r="T112" s="13" t="str">
        <f>IF(IF(ISNUMBER(H112),VLOOKUP($A112,List!$A$1:$B$29,2,FALSE))=FALSE,"",IF(ISNUMBER(H112),VLOOKUP($A112,List!$A$1:$B$29,2,FALSE)))</f>
        <v/>
      </c>
      <c r="U112" s="13" t="str">
        <f>IF(IF(ISNUMBER(I112),VLOOKUP($A112,List!$A$1:$B$29,2,FALSE))=FALSE,"",IF(ISNUMBER(I112),VLOOKUP($A112,List!$A$1:$B$29,2,FALSE)))</f>
        <v/>
      </c>
      <c r="V112" s="13" t="str">
        <f>IF(IF(ISNUMBER(J112),VLOOKUP($A112,List!$A$1:$B$29,2,FALSE))=FALSE,"",IF(ISNUMBER(J112),VLOOKUP($A112,List!$A$1:$B$29,2,FALSE)))</f>
        <v/>
      </c>
      <c r="W112" s="13" t="str">
        <f>IF(IF(ISNUMBER(K112),VLOOKUP($A112,List!$A$1:$B$29,2,FALSE))=FALSE,"",IF(ISNUMBER(K112),VLOOKUP($A112,List!$A$1:$B$29,2,FALSE)))</f>
        <v/>
      </c>
      <c r="X112" s="13" t="str">
        <f>IF(IF(ISNUMBER(L112),VLOOKUP($A112,List!$A$1:$B$29,2,FALSE))=FALSE,"",IF(ISNUMBER(L112),VLOOKUP($A112,List!$A$1:$B$29,2,FALSE)))</f>
        <v/>
      </c>
      <c r="Y112" s="13" t="str">
        <f>IF(IF(ISNUMBER(M112),VLOOKUP($A112,List!$A$1:$B$29,2,FALSE))=FALSE,"",IF(ISNUMBER(M112),VLOOKUP($A112,List!$A$1:$B$29,2,FALSE)))</f>
        <v/>
      </c>
    </row>
    <row r="113" spans="1:25" ht="15" thickBot="1" x14ac:dyDescent="0.35">
      <c r="A113" s="4">
        <v>21</v>
      </c>
      <c r="B113" s="6" t="s">
        <v>79</v>
      </c>
      <c r="C113" s="5" t="s">
        <v>79</v>
      </c>
      <c r="D113" s="6" t="s">
        <v>79</v>
      </c>
      <c r="E113" s="6" t="s">
        <v>79</v>
      </c>
      <c r="F113" s="6" t="s">
        <v>79</v>
      </c>
      <c r="G113" s="7" t="s">
        <v>79</v>
      </c>
      <c r="H113" s="7" t="s">
        <v>79</v>
      </c>
      <c r="I113" s="7" t="s">
        <v>79</v>
      </c>
      <c r="J113" s="7" t="s">
        <v>79</v>
      </c>
      <c r="K113" s="7" t="s">
        <v>79</v>
      </c>
      <c r="L113" s="7" t="s">
        <v>79</v>
      </c>
      <c r="M113" s="7" t="s">
        <v>79</v>
      </c>
      <c r="N113" s="13" t="str">
        <f>IF(IF(ISNUMBER(B113),VLOOKUP($A113,List!$A$1:$B$29,2,FALSE))=FALSE,"",IF(ISNUMBER(B113),VLOOKUP($A113,List!$A$1:$B$29,2,FALSE)))</f>
        <v/>
      </c>
      <c r="O113" s="13" t="str">
        <f>IF(IF(ISNUMBER(C113),VLOOKUP($A113,List!$A$1:$B$29,2,FALSE))=FALSE,"",IF(ISNUMBER(C113),VLOOKUP($A113,List!$A$1:$B$29,2,FALSE)))</f>
        <v/>
      </c>
      <c r="P113" s="13" t="str">
        <f>IF(IF(ISNUMBER(D113),VLOOKUP($A113,List!$A$1:$B$29,2,FALSE))=FALSE,"",IF(ISNUMBER(D113),VLOOKUP($A113,List!$A$1:$B$29,2,FALSE)))</f>
        <v/>
      </c>
      <c r="Q113" s="13" t="str">
        <f>IF(IF(ISNUMBER(E113),VLOOKUP($A113,List!$A$1:$B$29,2,FALSE))=FALSE,"",IF(ISNUMBER(E113),VLOOKUP($A113,List!$A$1:$B$29,2,FALSE)))</f>
        <v/>
      </c>
      <c r="R113" s="13" t="str">
        <f>IF(IF(ISNUMBER(F113),VLOOKUP($A113,List!$A$1:$B$29,2,FALSE))=FALSE,"",IF(ISNUMBER(F113),VLOOKUP($A113,List!$A$1:$B$29,2,FALSE)))</f>
        <v/>
      </c>
      <c r="S113" s="13" t="str">
        <f>IF(IF(ISNUMBER(G113),VLOOKUP($A113,List!$A$1:$B$29,2,FALSE))=FALSE,"",IF(ISNUMBER(G113),VLOOKUP($A113,List!$A$1:$B$29,2,FALSE)))</f>
        <v/>
      </c>
      <c r="T113" s="13" t="str">
        <f>IF(IF(ISNUMBER(H113),VLOOKUP($A113,List!$A$1:$B$29,2,FALSE))=FALSE,"",IF(ISNUMBER(H113),VLOOKUP($A113,List!$A$1:$B$29,2,FALSE)))</f>
        <v/>
      </c>
      <c r="U113" s="13" t="str">
        <f>IF(IF(ISNUMBER(I113),VLOOKUP($A113,List!$A$1:$B$29,2,FALSE))=FALSE,"",IF(ISNUMBER(I113),VLOOKUP($A113,List!$A$1:$B$29,2,FALSE)))</f>
        <v/>
      </c>
      <c r="V113" s="13" t="str">
        <f>IF(IF(ISNUMBER(J113),VLOOKUP($A113,List!$A$1:$B$29,2,FALSE))=FALSE,"",IF(ISNUMBER(J113),VLOOKUP($A113,List!$A$1:$B$29,2,FALSE)))</f>
        <v/>
      </c>
      <c r="W113" s="13" t="str">
        <f>IF(IF(ISNUMBER(K113),VLOOKUP($A113,List!$A$1:$B$29,2,FALSE))=FALSE,"",IF(ISNUMBER(K113),VLOOKUP($A113,List!$A$1:$B$29,2,FALSE)))</f>
        <v/>
      </c>
      <c r="X113" s="13" t="str">
        <f>IF(IF(ISNUMBER(L113),VLOOKUP($A113,List!$A$1:$B$29,2,FALSE))=FALSE,"",IF(ISNUMBER(L113),VLOOKUP($A113,List!$A$1:$B$29,2,FALSE)))</f>
        <v/>
      </c>
      <c r="Y113" s="13" t="str">
        <f>IF(IF(ISNUMBER(M113),VLOOKUP($A113,List!$A$1:$B$29,2,FALSE))=FALSE,"",IF(ISNUMBER(M113),VLOOKUP($A113,List!$A$1:$B$29,2,FALSE)))</f>
        <v/>
      </c>
    </row>
    <row r="114" spans="1:25" ht="15" thickBot="1" x14ac:dyDescent="0.35">
      <c r="A114" s="4">
        <v>6</v>
      </c>
      <c r="B114" s="6" t="s">
        <v>79</v>
      </c>
      <c r="C114" s="6" t="s">
        <v>79</v>
      </c>
      <c r="D114" s="6">
        <v>0.67</v>
      </c>
      <c r="E114" s="5" t="s">
        <v>79</v>
      </c>
      <c r="F114" s="6" t="s">
        <v>79</v>
      </c>
      <c r="G114" s="7" t="s">
        <v>79</v>
      </c>
      <c r="H114" s="7" t="s">
        <v>79</v>
      </c>
      <c r="I114" s="7" t="s">
        <v>79</v>
      </c>
      <c r="J114" s="7" t="s">
        <v>79</v>
      </c>
      <c r="K114" s="7" t="s">
        <v>79</v>
      </c>
      <c r="L114" s="7" t="s">
        <v>79</v>
      </c>
      <c r="M114" s="7" t="s">
        <v>79</v>
      </c>
      <c r="N114" s="13" t="str">
        <f>IF(IF(ISNUMBER(B114),VLOOKUP($A114,List!$A$1:$B$29,2,FALSE))=FALSE,"",IF(ISNUMBER(B114),VLOOKUP($A114,List!$A$1:$B$29,2,FALSE)))</f>
        <v/>
      </c>
      <c r="O114" s="13" t="str">
        <f>IF(IF(ISNUMBER(C114),VLOOKUP($A114,List!$A$1:$B$29,2,FALSE))=FALSE,"",IF(ISNUMBER(C114),VLOOKUP($A114,List!$A$1:$B$29,2,FALSE)))</f>
        <v/>
      </c>
      <c r="P114" s="13" t="str">
        <f>IF(IF(ISNUMBER(D114),VLOOKUP($A114,List!$A$1:$B$29,2,FALSE))=FALSE,"",IF(ISNUMBER(D114),VLOOKUP($A114,List!$A$1:$B$29,2,FALSE)))</f>
        <v>Owning a boat is a way of rewarding myself for hard work</v>
      </c>
      <c r="Q114" s="14" t="str">
        <f>IF(IF(ISNUMBER(E114),VLOOKUP($A114,List!$A$1:$B$29,2,FALSE))=FALSE,"",IF(ISNUMBER(E114),VLOOKUP($A114,List!$A$1:$B$29,2,FALSE)))</f>
        <v/>
      </c>
      <c r="R114" s="13" t="str">
        <f>IF(IF(ISNUMBER(F114),VLOOKUP($A114,List!$A$1:$B$29,2,FALSE))=FALSE,"",IF(ISNUMBER(F114),VLOOKUP($A114,List!$A$1:$B$29,2,FALSE)))</f>
        <v/>
      </c>
      <c r="S114" s="13" t="str">
        <f>IF(IF(ISNUMBER(G114),VLOOKUP($A114,List!$A$1:$B$29,2,FALSE))=FALSE,"",IF(ISNUMBER(G114),VLOOKUP($A114,List!$A$1:$B$29,2,FALSE)))</f>
        <v/>
      </c>
      <c r="T114" s="13" t="str">
        <f>IF(IF(ISNUMBER(H114),VLOOKUP($A114,List!$A$1:$B$29,2,FALSE))=FALSE,"",IF(ISNUMBER(H114),VLOOKUP($A114,List!$A$1:$B$29,2,FALSE)))</f>
        <v/>
      </c>
      <c r="U114" s="13" t="str">
        <f>IF(IF(ISNUMBER(I114),VLOOKUP($A114,List!$A$1:$B$29,2,FALSE))=FALSE,"",IF(ISNUMBER(I114),VLOOKUP($A114,List!$A$1:$B$29,2,FALSE)))</f>
        <v/>
      </c>
      <c r="V114" s="13" t="str">
        <f>IF(IF(ISNUMBER(J114),VLOOKUP($A114,List!$A$1:$B$29,2,FALSE))=FALSE,"",IF(ISNUMBER(J114),VLOOKUP($A114,List!$A$1:$B$29,2,FALSE)))</f>
        <v/>
      </c>
      <c r="W114" s="13" t="str">
        <f>IF(IF(ISNUMBER(K114),VLOOKUP($A114,List!$A$1:$B$29,2,FALSE))=FALSE,"",IF(ISNUMBER(K114),VLOOKUP($A114,List!$A$1:$B$29,2,FALSE)))</f>
        <v/>
      </c>
      <c r="X114" s="13" t="str">
        <f>IF(IF(ISNUMBER(L114),VLOOKUP($A114,List!$A$1:$B$29,2,FALSE))=FALSE,"",IF(ISNUMBER(L114),VLOOKUP($A114,List!$A$1:$B$29,2,FALSE)))</f>
        <v/>
      </c>
      <c r="Y114" s="13" t="str">
        <f>IF(IF(ISNUMBER(M114),VLOOKUP($A114,List!$A$1:$B$29,2,FALSE))=FALSE,"",IF(ISNUMBER(M114),VLOOKUP($A114,List!$A$1:$B$29,2,FALSE)))</f>
        <v/>
      </c>
    </row>
    <row r="115" spans="1:25" ht="15" thickBot="1" x14ac:dyDescent="0.35">
      <c r="A115" s="4">
        <v>24</v>
      </c>
      <c r="B115" s="6" t="s">
        <v>79</v>
      </c>
      <c r="C115" s="6" t="s">
        <v>79</v>
      </c>
      <c r="D115" s="6" t="s">
        <v>79</v>
      </c>
      <c r="E115" s="5" t="s">
        <v>79</v>
      </c>
      <c r="F115" s="6" t="s">
        <v>79</v>
      </c>
      <c r="G115" s="7" t="s">
        <v>79</v>
      </c>
      <c r="H115" s="7">
        <v>0.84</v>
      </c>
      <c r="I115" s="7" t="s">
        <v>79</v>
      </c>
      <c r="J115" s="7" t="s">
        <v>79</v>
      </c>
      <c r="K115" s="7" t="s">
        <v>79</v>
      </c>
      <c r="L115" s="7" t="s">
        <v>79</v>
      </c>
      <c r="M115" s="7" t="s">
        <v>79</v>
      </c>
      <c r="N115" s="13" t="str">
        <f>IF(IF(ISNUMBER(B115),VLOOKUP($A115,List!$A$1:$B$29,2,FALSE))=FALSE,"",IF(ISNUMBER(B115),VLOOKUP($A115,List!$A$1:$B$29,2,FALSE)))</f>
        <v/>
      </c>
      <c r="O115" s="13" t="str">
        <f>IF(IF(ISNUMBER(C115),VLOOKUP($A115,List!$A$1:$B$29,2,FALSE))=FALSE,"",IF(ISNUMBER(C115),VLOOKUP($A115,List!$A$1:$B$29,2,FALSE)))</f>
        <v/>
      </c>
      <c r="P115" s="13" t="str">
        <f>IF(IF(ISNUMBER(D115),VLOOKUP($A115,List!$A$1:$B$29,2,FALSE))=FALSE,"",IF(ISNUMBER(D115),VLOOKUP($A115,List!$A$1:$B$29,2,FALSE)))</f>
        <v/>
      </c>
      <c r="Q115" s="14" t="str">
        <f>IF(IF(ISNUMBER(E115),VLOOKUP($A115,List!$A$1:$B$29,2,FALSE))=FALSE,"",IF(ISNUMBER(E115),VLOOKUP($A115,List!$A$1:$B$29,2,FALSE)))</f>
        <v/>
      </c>
      <c r="R115" s="13" t="str">
        <f>IF(IF(ISNUMBER(F115),VLOOKUP($A115,List!$A$1:$B$29,2,FALSE))=FALSE,"",IF(ISNUMBER(F115),VLOOKUP($A115,List!$A$1:$B$29,2,FALSE)))</f>
        <v/>
      </c>
      <c r="S115" s="13" t="str">
        <f>IF(IF(ISNUMBER(G115),VLOOKUP($A115,List!$A$1:$B$29,2,FALSE))=FALSE,"",IF(ISNUMBER(G115),VLOOKUP($A115,List!$A$1:$B$29,2,FALSE)))</f>
        <v/>
      </c>
      <c r="T115" s="13" t="str">
        <f>IF(IF(ISNUMBER(H115),VLOOKUP($A115,List!$A$1:$B$29,2,FALSE))=FALSE,"",IF(ISNUMBER(H115),VLOOKUP($A115,List!$A$1:$B$29,2,FALSE)))</f>
        <v>Boating gives me an outlet to socialize with family/friends</v>
      </c>
      <c r="U115" s="13" t="str">
        <f>IF(IF(ISNUMBER(I115),VLOOKUP($A115,List!$A$1:$B$29,2,FALSE))=FALSE,"",IF(ISNUMBER(I115),VLOOKUP($A115,List!$A$1:$B$29,2,FALSE)))</f>
        <v/>
      </c>
      <c r="V115" s="13" t="str">
        <f>IF(IF(ISNUMBER(J115),VLOOKUP($A115,List!$A$1:$B$29,2,FALSE))=FALSE,"",IF(ISNUMBER(J115),VLOOKUP($A115,List!$A$1:$B$29,2,FALSE)))</f>
        <v/>
      </c>
      <c r="W115" s="13" t="str">
        <f>IF(IF(ISNUMBER(K115),VLOOKUP($A115,List!$A$1:$B$29,2,FALSE))=FALSE,"",IF(ISNUMBER(K115),VLOOKUP($A115,List!$A$1:$B$29,2,FALSE)))</f>
        <v/>
      </c>
      <c r="X115" s="13" t="str">
        <f>IF(IF(ISNUMBER(L115),VLOOKUP($A115,List!$A$1:$B$29,2,FALSE))=FALSE,"",IF(ISNUMBER(L115),VLOOKUP($A115,List!$A$1:$B$29,2,FALSE)))</f>
        <v/>
      </c>
      <c r="Y115" s="13" t="str">
        <f>IF(IF(ISNUMBER(M115),VLOOKUP($A115,List!$A$1:$B$29,2,FALSE))=FALSE,"",IF(ISNUMBER(M115),VLOOKUP($A115,List!$A$1:$B$29,2,FALSE)))</f>
        <v/>
      </c>
    </row>
    <row r="116" spans="1:25" ht="15" thickBot="1" x14ac:dyDescent="0.35">
      <c r="A116" s="4">
        <v>25</v>
      </c>
      <c r="B116" s="6" t="s">
        <v>79</v>
      </c>
      <c r="C116" s="6" t="s">
        <v>79</v>
      </c>
      <c r="D116" s="6" t="s">
        <v>79</v>
      </c>
      <c r="E116" s="6" t="s">
        <v>79</v>
      </c>
      <c r="F116" s="5" t="s">
        <v>79</v>
      </c>
      <c r="G116" s="7" t="s">
        <v>79</v>
      </c>
      <c r="H116" s="7" t="s">
        <v>79</v>
      </c>
      <c r="I116" s="7" t="s">
        <v>79</v>
      </c>
      <c r="J116" s="7" t="s">
        <v>79</v>
      </c>
      <c r="K116" s="7" t="s">
        <v>79</v>
      </c>
      <c r="L116" s="7" t="s">
        <v>79</v>
      </c>
      <c r="M116" s="7" t="s">
        <v>79</v>
      </c>
      <c r="N116" s="13" t="str">
        <f>IF(IF(ISNUMBER(B116),VLOOKUP($A116,List!$A$1:$B$29,2,FALSE))=FALSE,"",IF(ISNUMBER(B116),VLOOKUP($A116,List!$A$1:$B$29,2,FALSE)))</f>
        <v/>
      </c>
      <c r="O116" s="13" t="str">
        <f>IF(IF(ISNUMBER(C116),VLOOKUP($A116,List!$A$1:$B$29,2,FALSE))=FALSE,"",IF(ISNUMBER(C116),VLOOKUP($A116,List!$A$1:$B$29,2,FALSE)))</f>
        <v/>
      </c>
      <c r="P116" s="13" t="str">
        <f>IF(IF(ISNUMBER(D116),VLOOKUP($A116,List!$A$1:$B$29,2,FALSE))=FALSE,"",IF(ISNUMBER(D116),VLOOKUP($A116,List!$A$1:$B$29,2,FALSE)))</f>
        <v/>
      </c>
      <c r="Q116" s="13" t="str">
        <f>IF(IF(ISNUMBER(E116),VLOOKUP($A116,List!$A$1:$B$29,2,FALSE))=FALSE,"",IF(ISNUMBER(E116),VLOOKUP($A116,List!$A$1:$B$29,2,FALSE)))</f>
        <v/>
      </c>
      <c r="R116" s="13" t="str">
        <f>IF(IF(ISNUMBER(F116),VLOOKUP($A116,List!$A$1:$B$29,2,FALSE))=FALSE,"",IF(ISNUMBER(F116),VLOOKUP($A116,List!$A$1:$B$29,2,FALSE)))</f>
        <v/>
      </c>
      <c r="S116" s="13" t="str">
        <f>IF(IF(ISNUMBER(G116),VLOOKUP($A116,List!$A$1:$B$29,2,FALSE))=FALSE,"",IF(ISNUMBER(G116),VLOOKUP($A116,List!$A$1:$B$29,2,FALSE)))</f>
        <v/>
      </c>
      <c r="T116" s="13" t="str">
        <f>IF(IF(ISNUMBER(H116),VLOOKUP($A116,List!$A$1:$B$29,2,FALSE))=FALSE,"",IF(ISNUMBER(H116),VLOOKUP($A116,List!$A$1:$B$29,2,FALSE)))</f>
        <v/>
      </c>
      <c r="U116" s="13" t="str">
        <f>IF(IF(ISNUMBER(I116),VLOOKUP($A116,List!$A$1:$B$29,2,FALSE))=FALSE,"",IF(ISNUMBER(I116),VLOOKUP($A116,List!$A$1:$B$29,2,FALSE)))</f>
        <v/>
      </c>
      <c r="V116" s="13" t="str">
        <f>IF(IF(ISNUMBER(J116),VLOOKUP($A116,List!$A$1:$B$29,2,FALSE))=FALSE,"",IF(ISNUMBER(J116),VLOOKUP($A116,List!$A$1:$B$29,2,FALSE)))</f>
        <v/>
      </c>
      <c r="W116" s="13" t="str">
        <f>IF(IF(ISNUMBER(K116),VLOOKUP($A116,List!$A$1:$B$29,2,FALSE))=FALSE,"",IF(ISNUMBER(K116),VLOOKUP($A116,List!$A$1:$B$29,2,FALSE)))</f>
        <v/>
      </c>
      <c r="X116" s="13" t="str">
        <f>IF(IF(ISNUMBER(L116),VLOOKUP($A116,List!$A$1:$B$29,2,FALSE))=FALSE,"",IF(ISNUMBER(L116),VLOOKUP($A116,List!$A$1:$B$29,2,FALSE)))</f>
        <v/>
      </c>
      <c r="Y116" s="13" t="str">
        <f>IF(IF(ISNUMBER(M116),VLOOKUP($A116,List!$A$1:$B$29,2,FALSE))=FALSE,"",IF(ISNUMBER(M116),VLOOKUP($A116,List!$A$1:$B$29,2,FALSE)))</f>
        <v/>
      </c>
    </row>
    <row r="117" spans="1:25" ht="15" thickBot="1" x14ac:dyDescent="0.35">
      <c r="A117" s="4">
        <v>15</v>
      </c>
      <c r="B117" s="6" t="s">
        <v>79</v>
      </c>
      <c r="C117" s="6">
        <v>0.6</v>
      </c>
      <c r="D117" s="6" t="s">
        <v>79</v>
      </c>
      <c r="E117" s="6" t="s">
        <v>79</v>
      </c>
      <c r="F117" s="6" t="s">
        <v>79</v>
      </c>
      <c r="G117" s="7" t="s">
        <v>79</v>
      </c>
      <c r="H117" s="7" t="s">
        <v>79</v>
      </c>
      <c r="I117" s="7" t="s">
        <v>79</v>
      </c>
      <c r="J117" s="7" t="s">
        <v>79</v>
      </c>
      <c r="K117" s="7" t="s">
        <v>79</v>
      </c>
      <c r="L117" s="7" t="s">
        <v>79</v>
      </c>
      <c r="M117" s="8" t="s">
        <v>79</v>
      </c>
      <c r="N117" s="13" t="str">
        <f>IF(IF(ISNUMBER(B117),VLOOKUP($A117,List!$A$1:$B$29,2,FALSE))=FALSE,"",IF(ISNUMBER(B117),VLOOKUP($A117,List!$A$1:$B$29,2,FALSE)))</f>
        <v/>
      </c>
      <c r="O117" s="13" t="str">
        <f>IF(IF(ISNUMBER(C117),VLOOKUP($A117,List!$A$1:$B$29,2,FALSE))=FALSE,"",IF(ISNUMBER(C117),VLOOKUP($A117,List!$A$1:$B$29,2,FALSE)))</f>
        <v>I am serious about the technology on my boat</v>
      </c>
      <c r="P117" s="13" t="str">
        <f>IF(IF(ISNUMBER(D117),VLOOKUP($A117,List!$A$1:$B$29,2,FALSE))=FALSE,"",IF(ISNUMBER(D117),VLOOKUP($A117,List!$A$1:$B$29,2,FALSE)))</f>
        <v/>
      </c>
      <c r="Q117" s="13" t="str">
        <f>IF(IF(ISNUMBER(E117),VLOOKUP($A117,List!$A$1:$B$29,2,FALSE))=FALSE,"",IF(ISNUMBER(E117),VLOOKUP($A117,List!$A$1:$B$29,2,FALSE)))</f>
        <v/>
      </c>
      <c r="R117" s="13" t="str">
        <f>IF(IF(ISNUMBER(F117),VLOOKUP($A117,List!$A$1:$B$29,2,FALSE))=FALSE,"",IF(ISNUMBER(F117),VLOOKUP($A117,List!$A$1:$B$29,2,FALSE)))</f>
        <v/>
      </c>
      <c r="S117" s="13" t="str">
        <f>IF(IF(ISNUMBER(G117),VLOOKUP($A117,List!$A$1:$B$29,2,FALSE))=FALSE,"",IF(ISNUMBER(G117),VLOOKUP($A117,List!$A$1:$B$29,2,FALSE)))</f>
        <v/>
      </c>
      <c r="T117" s="13" t="str">
        <f>IF(IF(ISNUMBER(H117),VLOOKUP($A117,List!$A$1:$B$29,2,FALSE))=FALSE,"",IF(ISNUMBER(H117),VLOOKUP($A117,List!$A$1:$B$29,2,FALSE)))</f>
        <v/>
      </c>
      <c r="U117" s="13" t="str">
        <f>IF(IF(ISNUMBER(I117),VLOOKUP($A117,List!$A$1:$B$29,2,FALSE))=FALSE,"",IF(ISNUMBER(I117),VLOOKUP($A117,List!$A$1:$B$29,2,FALSE)))</f>
        <v/>
      </c>
      <c r="V117" s="13" t="str">
        <f>IF(IF(ISNUMBER(J117),VLOOKUP($A117,List!$A$1:$B$29,2,FALSE))=FALSE,"",IF(ISNUMBER(J117),VLOOKUP($A117,List!$A$1:$B$29,2,FALSE)))</f>
        <v/>
      </c>
      <c r="W117" s="13" t="str">
        <f>IF(IF(ISNUMBER(K117),VLOOKUP($A117,List!$A$1:$B$29,2,FALSE))=FALSE,"",IF(ISNUMBER(K117),VLOOKUP($A117,List!$A$1:$B$29,2,FALSE)))</f>
        <v/>
      </c>
      <c r="X117" s="13" t="str">
        <f>IF(IF(ISNUMBER(L117),VLOOKUP($A117,List!$A$1:$B$29,2,FALSE))=FALSE,"",IF(ISNUMBER(L117),VLOOKUP($A117,List!$A$1:$B$29,2,FALSE)))</f>
        <v/>
      </c>
      <c r="Y117" s="13" t="str">
        <f>IF(IF(ISNUMBER(M117),VLOOKUP($A117,List!$A$1:$B$29,2,FALSE))=FALSE,"",IF(ISNUMBER(M117),VLOOKUP($A117,List!$A$1:$B$29,2,FALSE)))</f>
        <v/>
      </c>
    </row>
    <row r="118" spans="1:25" ht="15" thickBot="1" x14ac:dyDescent="0.35">
      <c r="A118" s="4">
        <v>18</v>
      </c>
      <c r="B118" s="6" t="s">
        <v>79</v>
      </c>
      <c r="C118" s="6" t="s">
        <v>79</v>
      </c>
      <c r="D118" s="6" t="s">
        <v>79</v>
      </c>
      <c r="E118" s="6">
        <v>0.61</v>
      </c>
      <c r="F118" s="6" t="s">
        <v>79</v>
      </c>
      <c r="G118" s="8" t="s">
        <v>79</v>
      </c>
      <c r="H118" s="7" t="s">
        <v>79</v>
      </c>
      <c r="I118" s="7" t="s">
        <v>79</v>
      </c>
      <c r="J118" s="7" t="s">
        <v>79</v>
      </c>
      <c r="K118" s="7" t="s">
        <v>79</v>
      </c>
      <c r="L118" s="7" t="s">
        <v>79</v>
      </c>
      <c r="M118" s="7" t="s">
        <v>79</v>
      </c>
      <c r="N118" s="13" t="str">
        <f>IF(IF(ISNUMBER(B118),VLOOKUP($A118,List!$A$1:$B$29,2,FALSE))=FALSE,"",IF(ISNUMBER(B118),VLOOKUP($A118,List!$A$1:$B$29,2,FALSE)))</f>
        <v/>
      </c>
      <c r="O118" s="13" t="str">
        <f>IF(IF(ISNUMBER(C118),VLOOKUP($A118,List!$A$1:$B$29,2,FALSE))=FALSE,"",IF(ISNUMBER(C118),VLOOKUP($A118,List!$A$1:$B$29,2,FALSE)))</f>
        <v/>
      </c>
      <c r="P118" s="13" t="str">
        <f>IF(IF(ISNUMBER(D118),VLOOKUP($A118,List!$A$1:$B$29,2,FALSE))=FALSE,"",IF(ISNUMBER(D118),VLOOKUP($A118,List!$A$1:$B$29,2,FALSE)))</f>
        <v/>
      </c>
      <c r="Q118" s="13" t="str">
        <f>IF(IF(ISNUMBER(E118),VLOOKUP($A118,List!$A$1:$B$29,2,FALSE))=FALSE,"",IF(ISNUMBER(E118),VLOOKUP($A118,List!$A$1:$B$29,2,FALSE)))</f>
        <v>Boating gives me a feeling of adventure</v>
      </c>
      <c r="R118" s="13" t="str">
        <f>IF(IF(ISNUMBER(F118),VLOOKUP($A118,List!$A$1:$B$29,2,FALSE))=FALSE,"",IF(ISNUMBER(F118),VLOOKUP($A118,List!$A$1:$B$29,2,FALSE)))</f>
        <v/>
      </c>
      <c r="S118" s="13" t="str">
        <f>IF(IF(ISNUMBER(G118),VLOOKUP($A118,List!$A$1:$B$29,2,FALSE))=FALSE,"",IF(ISNUMBER(G118),VLOOKUP($A118,List!$A$1:$B$29,2,FALSE)))</f>
        <v/>
      </c>
      <c r="T118" s="13" t="str">
        <f>IF(IF(ISNUMBER(H118),VLOOKUP($A118,List!$A$1:$B$29,2,FALSE))=FALSE,"",IF(ISNUMBER(H118),VLOOKUP($A118,List!$A$1:$B$29,2,FALSE)))</f>
        <v/>
      </c>
      <c r="U118" s="13" t="str">
        <f>IF(IF(ISNUMBER(I118),VLOOKUP($A118,List!$A$1:$B$29,2,FALSE))=FALSE,"",IF(ISNUMBER(I118),VLOOKUP($A118,List!$A$1:$B$29,2,FALSE)))</f>
        <v/>
      </c>
      <c r="V118" s="13" t="str">
        <f>IF(IF(ISNUMBER(J118),VLOOKUP($A118,List!$A$1:$B$29,2,FALSE))=FALSE,"",IF(ISNUMBER(J118),VLOOKUP($A118,List!$A$1:$B$29,2,FALSE)))</f>
        <v/>
      </c>
      <c r="W118" s="13" t="str">
        <f>IF(IF(ISNUMBER(K118),VLOOKUP($A118,List!$A$1:$B$29,2,FALSE))=FALSE,"",IF(ISNUMBER(K118),VLOOKUP($A118,List!$A$1:$B$29,2,FALSE)))</f>
        <v/>
      </c>
      <c r="X118" s="13" t="str">
        <f>IF(IF(ISNUMBER(L118),VLOOKUP($A118,List!$A$1:$B$29,2,FALSE))=FALSE,"",IF(ISNUMBER(L118),VLOOKUP($A118,List!$A$1:$B$29,2,FALSE)))</f>
        <v/>
      </c>
      <c r="Y118" s="13" t="str">
        <f>IF(IF(ISNUMBER(M118),VLOOKUP($A118,List!$A$1:$B$29,2,FALSE))=FALSE,"",IF(ISNUMBER(M118),VLOOKUP($A118,List!$A$1:$B$29,2,FALSE)))</f>
        <v/>
      </c>
    </row>
    <row r="119" spans="1:25" ht="15" thickBot="1" x14ac:dyDescent="0.35">
      <c r="A119" s="4">
        <v>1</v>
      </c>
      <c r="B119" s="6" t="s">
        <v>79</v>
      </c>
      <c r="C119" s="6" t="s">
        <v>79</v>
      </c>
      <c r="D119" s="5" t="s">
        <v>79</v>
      </c>
      <c r="E119" s="6" t="s">
        <v>79</v>
      </c>
      <c r="F119" s="6" t="s">
        <v>79</v>
      </c>
      <c r="G119" s="7" t="s">
        <v>79</v>
      </c>
      <c r="H119" s="7" t="s">
        <v>79</v>
      </c>
      <c r="I119" s="7" t="s">
        <v>79</v>
      </c>
      <c r="J119" s="7" t="s">
        <v>79</v>
      </c>
      <c r="K119" s="7" t="s">
        <v>79</v>
      </c>
      <c r="L119" s="7">
        <v>0.98</v>
      </c>
      <c r="M119" s="7" t="s">
        <v>79</v>
      </c>
      <c r="N119" s="13" t="str">
        <f>IF(IF(ISNUMBER(B119),VLOOKUP($A119,List!$A$1:$B$29,2,FALSE))=FALSE,"",IF(ISNUMBER(B119),VLOOKUP($A119,List!$A$1:$B$29,2,FALSE)))</f>
        <v/>
      </c>
      <c r="O119" s="13" t="str">
        <f>IF(IF(ISNUMBER(C119),VLOOKUP($A119,List!$A$1:$B$29,2,FALSE))=FALSE,"",IF(ISNUMBER(C119),VLOOKUP($A119,List!$A$1:$B$29,2,FALSE)))</f>
        <v/>
      </c>
      <c r="P119" s="13" t="str">
        <f>IF(IF(ISNUMBER(D119),VLOOKUP($A119,List!$A$1:$B$29,2,FALSE))=FALSE,"",IF(ISNUMBER(D119),VLOOKUP($A119,List!$A$1:$B$29,2,FALSE)))</f>
        <v/>
      </c>
      <c r="Q119" s="13" t="str">
        <f>IF(IF(ISNUMBER(E119),VLOOKUP($A119,List!$A$1:$B$29,2,FALSE))=FALSE,"",IF(ISNUMBER(E119),VLOOKUP($A119,List!$A$1:$B$29,2,FALSE)))</f>
        <v/>
      </c>
      <c r="R119" s="13" t="str">
        <f>IF(IF(ISNUMBER(F119),VLOOKUP($A119,List!$A$1:$B$29,2,FALSE))=FALSE,"",IF(ISNUMBER(F119),VLOOKUP($A119,List!$A$1:$B$29,2,FALSE)))</f>
        <v/>
      </c>
      <c r="S119" s="13" t="str">
        <f>IF(IF(ISNUMBER(G119),VLOOKUP($A119,List!$A$1:$B$29,2,FALSE))=FALSE,"",IF(ISNUMBER(G119),VLOOKUP($A119,List!$A$1:$B$29,2,FALSE)))</f>
        <v/>
      </c>
      <c r="T119" s="13" t="str">
        <f>IF(IF(ISNUMBER(H119),VLOOKUP($A119,List!$A$1:$B$29,2,FALSE))=FALSE,"",IF(ISNUMBER(H119),VLOOKUP($A119,List!$A$1:$B$29,2,FALSE)))</f>
        <v/>
      </c>
      <c r="U119" s="13" t="str">
        <f>IF(IF(ISNUMBER(I119),VLOOKUP($A119,List!$A$1:$B$29,2,FALSE))=FALSE,"",IF(ISNUMBER(I119),VLOOKUP($A119,List!$A$1:$B$29,2,FALSE)))</f>
        <v/>
      </c>
      <c r="V119" s="13" t="str">
        <f>IF(IF(ISNUMBER(J119),VLOOKUP($A119,List!$A$1:$B$29,2,FALSE))=FALSE,"",IF(ISNUMBER(J119),VLOOKUP($A119,List!$A$1:$B$29,2,FALSE)))</f>
        <v/>
      </c>
      <c r="W119" s="13" t="str">
        <f>IF(IF(ISNUMBER(K119),VLOOKUP($A119,List!$A$1:$B$29,2,FALSE))=FALSE,"",IF(ISNUMBER(K119),VLOOKUP($A119,List!$A$1:$B$29,2,FALSE)))</f>
        <v/>
      </c>
      <c r="X119" s="13" t="str">
        <f>IF(IF(ISNUMBER(L119),VLOOKUP($A119,List!$A$1:$B$29,2,FALSE))=FALSE,"",IF(ISNUMBER(L119),VLOOKUP($A119,List!$A$1:$B$29,2,FALSE)))</f>
        <v>When buying a boat, I do a lot of shopping around and visit multiple dealers</v>
      </c>
      <c r="Y119" s="13" t="str">
        <f>IF(IF(ISNUMBER(M119),VLOOKUP($A119,List!$A$1:$B$29,2,FALSE))=FALSE,"",IF(ISNUMBER(M119),VLOOKUP($A119,List!$A$1:$B$29,2,FALSE)))</f>
        <v/>
      </c>
    </row>
    <row r="120" spans="1:25" ht="15" thickBot="1" x14ac:dyDescent="0.35">
      <c r="A120" s="4">
        <v>19</v>
      </c>
      <c r="B120" s="6" t="s">
        <v>79</v>
      </c>
      <c r="C120" s="6" t="s">
        <v>79</v>
      </c>
      <c r="D120" s="5" t="s">
        <v>79</v>
      </c>
      <c r="E120" s="6">
        <v>0.83</v>
      </c>
      <c r="F120" s="6" t="s">
        <v>79</v>
      </c>
      <c r="G120" s="7" t="s">
        <v>79</v>
      </c>
      <c r="H120" s="7" t="s">
        <v>79</v>
      </c>
      <c r="I120" s="7" t="s">
        <v>79</v>
      </c>
      <c r="J120" s="7" t="s">
        <v>79</v>
      </c>
      <c r="K120" s="7" t="s">
        <v>79</v>
      </c>
      <c r="L120" s="7" t="s">
        <v>79</v>
      </c>
      <c r="M120" s="7" t="s">
        <v>79</v>
      </c>
      <c r="N120" s="13" t="str">
        <f>IF(IF(ISNUMBER(B120),VLOOKUP($A120,List!$A$1:$B$29,2,FALSE))=FALSE,"",IF(ISNUMBER(B120),VLOOKUP($A120,List!$A$1:$B$29,2,FALSE)))</f>
        <v/>
      </c>
      <c r="O120" s="13" t="str">
        <f>IF(IF(ISNUMBER(C120),VLOOKUP($A120,List!$A$1:$B$29,2,FALSE))=FALSE,"",IF(ISNUMBER(C120),VLOOKUP($A120,List!$A$1:$B$29,2,FALSE)))</f>
        <v/>
      </c>
      <c r="P120" s="13" t="str">
        <f>IF(IF(ISNUMBER(D120),VLOOKUP($A120,List!$A$1:$B$29,2,FALSE))=FALSE,"",IF(ISNUMBER(D120),VLOOKUP($A120,List!$A$1:$B$29,2,FALSE)))</f>
        <v/>
      </c>
      <c r="Q120" s="13" t="str">
        <f>IF(IF(ISNUMBER(E120),VLOOKUP($A120,List!$A$1:$B$29,2,FALSE))=FALSE,"",IF(ISNUMBER(E120),VLOOKUP($A120,List!$A$1:$B$29,2,FALSE)))</f>
        <v>Boating allows me to experience nature</v>
      </c>
      <c r="R120" s="13" t="str">
        <f>IF(IF(ISNUMBER(F120),VLOOKUP($A120,List!$A$1:$B$29,2,FALSE))=FALSE,"",IF(ISNUMBER(F120),VLOOKUP($A120,List!$A$1:$B$29,2,FALSE)))</f>
        <v/>
      </c>
      <c r="S120" s="13" t="str">
        <f>IF(IF(ISNUMBER(G120),VLOOKUP($A120,List!$A$1:$B$29,2,FALSE))=FALSE,"",IF(ISNUMBER(G120),VLOOKUP($A120,List!$A$1:$B$29,2,FALSE)))</f>
        <v/>
      </c>
      <c r="T120" s="13" t="str">
        <f>IF(IF(ISNUMBER(H120),VLOOKUP($A120,List!$A$1:$B$29,2,FALSE))=FALSE,"",IF(ISNUMBER(H120),VLOOKUP($A120,List!$A$1:$B$29,2,FALSE)))</f>
        <v/>
      </c>
      <c r="U120" s="13" t="str">
        <f>IF(IF(ISNUMBER(I120),VLOOKUP($A120,List!$A$1:$B$29,2,FALSE))=FALSE,"",IF(ISNUMBER(I120),VLOOKUP($A120,List!$A$1:$B$29,2,FALSE)))</f>
        <v/>
      </c>
      <c r="V120" s="13" t="str">
        <f>IF(IF(ISNUMBER(J120),VLOOKUP($A120,List!$A$1:$B$29,2,FALSE))=FALSE,"",IF(ISNUMBER(J120),VLOOKUP($A120,List!$A$1:$B$29,2,FALSE)))</f>
        <v/>
      </c>
      <c r="W120" s="13" t="str">
        <f>IF(IF(ISNUMBER(K120),VLOOKUP($A120,List!$A$1:$B$29,2,FALSE))=FALSE,"",IF(ISNUMBER(K120),VLOOKUP($A120,List!$A$1:$B$29,2,FALSE)))</f>
        <v/>
      </c>
      <c r="X120" s="13" t="str">
        <f>IF(IF(ISNUMBER(L120),VLOOKUP($A120,List!$A$1:$B$29,2,FALSE))=FALSE,"",IF(ISNUMBER(L120),VLOOKUP($A120,List!$A$1:$B$29,2,FALSE)))</f>
        <v/>
      </c>
      <c r="Y120" s="13" t="str">
        <f>IF(IF(ISNUMBER(M120),VLOOKUP($A120,List!$A$1:$B$29,2,FALSE))=FALSE,"",IF(ISNUMBER(M120),VLOOKUP($A120,List!$A$1:$B$29,2,FALSE)))</f>
        <v/>
      </c>
    </row>
    <row r="121" spans="1:25" ht="15" thickBot="1" x14ac:dyDescent="0.35">
      <c r="A121" s="4">
        <v>8</v>
      </c>
      <c r="B121" s="6" t="s">
        <v>79</v>
      </c>
      <c r="C121" s="6" t="s">
        <v>79</v>
      </c>
      <c r="D121" s="6" t="s">
        <v>79</v>
      </c>
      <c r="E121" s="6" t="s">
        <v>79</v>
      </c>
      <c r="F121" s="6" t="s">
        <v>79</v>
      </c>
      <c r="G121" s="7" t="s">
        <v>79</v>
      </c>
      <c r="H121" s="7" t="s">
        <v>79</v>
      </c>
      <c r="I121" s="7" t="s">
        <v>79</v>
      </c>
      <c r="J121" s="7" t="s">
        <v>79</v>
      </c>
      <c r="K121" s="7">
        <v>0.98</v>
      </c>
      <c r="L121" s="8" t="s">
        <v>79</v>
      </c>
      <c r="M121" s="7" t="s">
        <v>79</v>
      </c>
      <c r="N121" s="13" t="str">
        <f>IF(IF(ISNUMBER(B121),VLOOKUP($A121,List!$A$1:$B$29,2,FALSE))=FALSE,"",IF(ISNUMBER(B121),VLOOKUP($A121,List!$A$1:$B$29,2,FALSE)))</f>
        <v/>
      </c>
      <c r="O121" s="13" t="str">
        <f>IF(IF(ISNUMBER(C121),VLOOKUP($A121,List!$A$1:$B$29,2,FALSE))=FALSE,"",IF(ISNUMBER(C121),VLOOKUP($A121,List!$A$1:$B$29,2,FALSE)))</f>
        <v/>
      </c>
      <c r="P121" s="13" t="str">
        <f>IF(IF(ISNUMBER(D121),VLOOKUP($A121,List!$A$1:$B$29,2,FALSE))=FALSE,"",IF(ISNUMBER(D121),VLOOKUP($A121,List!$A$1:$B$29,2,FALSE)))</f>
        <v/>
      </c>
      <c r="Q121" s="13" t="str">
        <f>IF(IF(ISNUMBER(E121),VLOOKUP($A121,List!$A$1:$B$29,2,FALSE))=FALSE,"",IF(ISNUMBER(E121),VLOOKUP($A121,List!$A$1:$B$29,2,FALSE)))</f>
        <v/>
      </c>
      <c r="R121" s="13" t="str">
        <f>IF(IF(ISNUMBER(F121),VLOOKUP($A121,List!$A$1:$B$29,2,FALSE))=FALSE,"",IF(ISNUMBER(F121),VLOOKUP($A121,List!$A$1:$B$29,2,FALSE)))</f>
        <v/>
      </c>
      <c r="S121" s="13" t="str">
        <f>IF(IF(ISNUMBER(G121),VLOOKUP($A121,List!$A$1:$B$29,2,FALSE))=FALSE,"",IF(ISNUMBER(G121),VLOOKUP($A121,List!$A$1:$B$29,2,FALSE)))</f>
        <v/>
      </c>
      <c r="T121" s="13" t="str">
        <f>IF(IF(ISNUMBER(H121),VLOOKUP($A121,List!$A$1:$B$29,2,FALSE))=FALSE,"",IF(ISNUMBER(H121),VLOOKUP($A121,List!$A$1:$B$29,2,FALSE)))</f>
        <v/>
      </c>
      <c r="U121" s="13" t="str">
        <f>IF(IF(ISNUMBER(I121),VLOOKUP($A121,List!$A$1:$B$29,2,FALSE))=FALSE,"",IF(ISNUMBER(I121),VLOOKUP($A121,List!$A$1:$B$29,2,FALSE)))</f>
        <v/>
      </c>
      <c r="V121" s="13" t="str">
        <f>IF(IF(ISNUMBER(J121),VLOOKUP($A121,List!$A$1:$B$29,2,FALSE))=FALSE,"",IF(ISNUMBER(J121),VLOOKUP($A121,List!$A$1:$B$29,2,FALSE)))</f>
        <v/>
      </c>
      <c r="W121" s="13" t="str">
        <f>IF(IF(ISNUMBER(K121),VLOOKUP($A121,List!$A$1:$B$29,2,FALSE))=FALSE,"",IF(ISNUMBER(K121),VLOOKUP($A121,List!$A$1:$B$29,2,FALSE)))</f>
        <v>When buying a boat, functionality is more important than style</v>
      </c>
      <c r="X121" s="13" t="str">
        <f>IF(IF(ISNUMBER(L121),VLOOKUP($A121,List!$A$1:$B$29,2,FALSE))=FALSE,"",IF(ISNUMBER(L121),VLOOKUP($A121,List!$A$1:$B$29,2,FALSE)))</f>
        <v/>
      </c>
      <c r="Y121" s="13" t="str">
        <f>IF(IF(ISNUMBER(M121),VLOOKUP($A121,List!$A$1:$B$29,2,FALSE))=FALSE,"",IF(ISNUMBER(M121),VLOOKUP($A121,List!$A$1:$B$29,2,FALSE)))</f>
        <v/>
      </c>
    </row>
    <row r="122" spans="1:25" ht="15" thickBot="1" x14ac:dyDescent="0.35">
      <c r="A122" s="4">
        <v>29</v>
      </c>
      <c r="B122" s="6" t="s">
        <v>79</v>
      </c>
      <c r="C122" s="6" t="s">
        <v>79</v>
      </c>
      <c r="D122" s="6" t="s">
        <v>79</v>
      </c>
      <c r="E122" s="6" t="s">
        <v>79</v>
      </c>
      <c r="F122" s="6" t="s">
        <v>79</v>
      </c>
      <c r="G122" s="7" t="s">
        <v>79</v>
      </c>
      <c r="H122" s="7" t="s">
        <v>79</v>
      </c>
      <c r="I122" s="7" t="s">
        <v>79</v>
      </c>
      <c r="J122" s="7">
        <v>0.97</v>
      </c>
      <c r="K122" s="8" t="s">
        <v>79</v>
      </c>
      <c r="L122" s="7" t="s">
        <v>79</v>
      </c>
      <c r="M122" s="7" t="s">
        <v>79</v>
      </c>
      <c r="N122" s="13" t="str">
        <f>IF(IF(ISNUMBER(B122),VLOOKUP($A122,List!$A$1:$B$29,2,FALSE))=FALSE,"",IF(ISNUMBER(B122),VLOOKUP($A122,List!$A$1:$B$29,2,FALSE)))</f>
        <v/>
      </c>
      <c r="O122" s="13" t="str">
        <f>IF(IF(ISNUMBER(C122),VLOOKUP($A122,List!$A$1:$B$29,2,FALSE))=FALSE,"",IF(ISNUMBER(C122),VLOOKUP($A122,List!$A$1:$B$29,2,FALSE)))</f>
        <v/>
      </c>
      <c r="P122" s="13" t="str">
        <f>IF(IF(ISNUMBER(D122),VLOOKUP($A122,List!$A$1:$B$29,2,FALSE))=FALSE,"",IF(ISNUMBER(D122),VLOOKUP($A122,List!$A$1:$B$29,2,FALSE)))</f>
        <v/>
      </c>
      <c r="Q122" s="13" t="str">
        <f>IF(IF(ISNUMBER(E122),VLOOKUP($A122,List!$A$1:$B$29,2,FALSE))=FALSE,"",IF(ISNUMBER(E122),VLOOKUP($A122,List!$A$1:$B$29,2,FALSE)))</f>
        <v/>
      </c>
      <c r="R122" s="13" t="str">
        <f>IF(IF(ISNUMBER(F122),VLOOKUP($A122,List!$A$1:$B$29,2,FALSE))=FALSE,"",IF(ISNUMBER(F122),VLOOKUP($A122,List!$A$1:$B$29,2,FALSE)))</f>
        <v/>
      </c>
      <c r="S122" s="13" t="str">
        <f>IF(IF(ISNUMBER(G122),VLOOKUP($A122,List!$A$1:$B$29,2,FALSE))=FALSE,"",IF(ISNUMBER(G122),VLOOKUP($A122,List!$A$1:$B$29,2,FALSE)))</f>
        <v/>
      </c>
      <c r="T122" s="13" t="str">
        <f>IF(IF(ISNUMBER(H122),VLOOKUP($A122,List!$A$1:$B$29,2,FALSE))=FALSE,"",IF(ISNUMBER(H122),VLOOKUP($A122,List!$A$1:$B$29,2,FALSE)))</f>
        <v/>
      </c>
      <c r="U122" s="13" t="str">
        <f>IF(IF(ISNUMBER(I122),VLOOKUP($A122,List!$A$1:$B$29,2,FALSE))=FALSE,"",IF(ISNUMBER(I122),VLOOKUP($A122,List!$A$1:$B$29,2,FALSE)))</f>
        <v/>
      </c>
      <c r="V122" s="13" t="str">
        <f>IF(IF(ISNUMBER(J122),VLOOKUP($A122,List!$A$1:$B$29,2,FALSE))=FALSE,"",IF(ISNUMBER(J122),VLOOKUP($A122,List!$A$1:$B$29,2,FALSE)))</f>
        <v>Boating is one of many things I do in my spare time</v>
      </c>
      <c r="W122" s="13" t="str">
        <f>IF(IF(ISNUMBER(K122),VLOOKUP($A122,List!$A$1:$B$29,2,FALSE))=FALSE,"",IF(ISNUMBER(K122),VLOOKUP($A122,List!$A$1:$B$29,2,FALSE)))</f>
        <v/>
      </c>
      <c r="X122" s="13" t="str">
        <f>IF(IF(ISNUMBER(L122),VLOOKUP($A122,List!$A$1:$B$29,2,FALSE))=FALSE,"",IF(ISNUMBER(L122),VLOOKUP($A122,List!$A$1:$B$29,2,FALSE)))</f>
        <v/>
      </c>
      <c r="Y122" s="13" t="str">
        <f>IF(IF(ISNUMBER(M122),VLOOKUP($A122,List!$A$1:$B$29,2,FALSE))=FALSE,"",IF(ISNUMBER(M122),VLOOKUP($A122,List!$A$1:$B$29,2,FALSE)))</f>
        <v/>
      </c>
    </row>
    <row r="123" spans="1:25" ht="15" thickBot="1" x14ac:dyDescent="0.35">
      <c r="A123" s="4">
        <v>7</v>
      </c>
      <c r="B123" s="6" t="s">
        <v>79</v>
      </c>
      <c r="C123" s="6" t="s">
        <v>79</v>
      </c>
      <c r="D123" s="6">
        <v>0.81</v>
      </c>
      <c r="E123" s="6" t="s">
        <v>79</v>
      </c>
      <c r="F123" s="6" t="s">
        <v>79</v>
      </c>
      <c r="G123" s="7" t="s">
        <v>79</v>
      </c>
      <c r="H123" s="8" t="s">
        <v>79</v>
      </c>
      <c r="I123" s="7" t="s">
        <v>79</v>
      </c>
      <c r="J123" s="7" t="s">
        <v>79</v>
      </c>
      <c r="K123" s="7" t="s">
        <v>79</v>
      </c>
      <c r="L123" s="7" t="s">
        <v>79</v>
      </c>
      <c r="M123" s="7" t="s">
        <v>79</v>
      </c>
      <c r="N123" s="13" t="str">
        <f>IF(IF(ISNUMBER(B123),VLOOKUP($A123,List!$A$1:$B$29,2,FALSE))=FALSE,"",IF(ISNUMBER(B123),VLOOKUP($A123,List!$A$1:$B$29,2,FALSE)))</f>
        <v/>
      </c>
      <c r="O123" s="13" t="str">
        <f>IF(IF(ISNUMBER(C123),VLOOKUP($A123,List!$A$1:$B$29,2,FALSE))=FALSE,"",IF(ISNUMBER(C123),VLOOKUP($A123,List!$A$1:$B$29,2,FALSE)))</f>
        <v/>
      </c>
      <c r="P123" s="13" t="str">
        <f>IF(IF(ISNUMBER(D123),VLOOKUP($A123,List!$A$1:$B$29,2,FALSE))=FALSE,"",IF(ISNUMBER(D123),VLOOKUP($A123,List!$A$1:$B$29,2,FALSE)))</f>
        <v>Owning a boat gives me a sense of achievement</v>
      </c>
      <c r="Q123" s="13" t="str">
        <f>IF(IF(ISNUMBER(E123),VLOOKUP($A123,List!$A$1:$B$29,2,FALSE))=FALSE,"",IF(ISNUMBER(E123),VLOOKUP($A123,List!$A$1:$B$29,2,FALSE)))</f>
        <v/>
      </c>
      <c r="R123" s="13" t="str">
        <f>IF(IF(ISNUMBER(F123),VLOOKUP($A123,List!$A$1:$B$29,2,FALSE))=FALSE,"",IF(ISNUMBER(F123),VLOOKUP($A123,List!$A$1:$B$29,2,FALSE)))</f>
        <v/>
      </c>
      <c r="S123" s="13" t="str">
        <f>IF(IF(ISNUMBER(G123),VLOOKUP($A123,List!$A$1:$B$29,2,FALSE))=FALSE,"",IF(ISNUMBER(G123),VLOOKUP($A123,List!$A$1:$B$29,2,FALSE)))</f>
        <v/>
      </c>
      <c r="T123" s="13" t="str">
        <f>IF(IF(ISNUMBER(H123),VLOOKUP($A123,List!$A$1:$B$29,2,FALSE))=FALSE,"",IF(ISNUMBER(H123),VLOOKUP($A123,List!$A$1:$B$29,2,FALSE)))</f>
        <v/>
      </c>
      <c r="U123" s="13" t="str">
        <f>IF(IF(ISNUMBER(I123),VLOOKUP($A123,List!$A$1:$B$29,2,FALSE))=FALSE,"",IF(ISNUMBER(I123),VLOOKUP($A123,List!$A$1:$B$29,2,FALSE)))</f>
        <v/>
      </c>
      <c r="V123" s="13" t="str">
        <f>IF(IF(ISNUMBER(J123),VLOOKUP($A123,List!$A$1:$B$29,2,FALSE))=FALSE,"",IF(ISNUMBER(J123),VLOOKUP($A123,List!$A$1:$B$29,2,FALSE)))</f>
        <v/>
      </c>
      <c r="W123" s="13" t="str">
        <f>IF(IF(ISNUMBER(K123),VLOOKUP($A123,List!$A$1:$B$29,2,FALSE))=FALSE,"",IF(ISNUMBER(K123),VLOOKUP($A123,List!$A$1:$B$29,2,FALSE)))</f>
        <v/>
      </c>
      <c r="X123" s="13" t="str">
        <f>IF(IF(ISNUMBER(L123),VLOOKUP($A123,List!$A$1:$B$29,2,FALSE))=FALSE,"",IF(ISNUMBER(L123),VLOOKUP($A123,List!$A$1:$B$29,2,FALSE)))</f>
        <v/>
      </c>
      <c r="Y123" s="13" t="str">
        <f>IF(IF(ISNUMBER(M123),VLOOKUP($A123,List!$A$1:$B$29,2,FALSE))=FALSE,"",IF(ISNUMBER(M123),VLOOKUP($A123,List!$A$1:$B$29,2,FALSE)))</f>
        <v/>
      </c>
    </row>
    <row r="124" spans="1:25" ht="15" thickBot="1" x14ac:dyDescent="0.35">
      <c r="A124" s="4">
        <v>2</v>
      </c>
      <c r="B124" s="6" t="s">
        <v>79</v>
      </c>
      <c r="C124" s="6" t="s">
        <v>79</v>
      </c>
      <c r="D124" s="5" t="s">
        <v>79</v>
      </c>
      <c r="E124" s="6" t="s">
        <v>79</v>
      </c>
      <c r="F124" s="6">
        <v>0.83</v>
      </c>
      <c r="G124" s="7" t="s">
        <v>79</v>
      </c>
      <c r="H124" s="7" t="s">
        <v>79</v>
      </c>
      <c r="I124" s="7" t="s">
        <v>79</v>
      </c>
      <c r="J124" s="7" t="s">
        <v>79</v>
      </c>
      <c r="K124" s="7" t="s">
        <v>79</v>
      </c>
      <c r="L124" s="7" t="s">
        <v>79</v>
      </c>
      <c r="M124" s="7" t="s">
        <v>79</v>
      </c>
      <c r="N124" s="13" t="str">
        <f>IF(IF(ISNUMBER(B124),VLOOKUP($A124,List!$A$1:$B$29,2,FALSE))=FALSE,"",IF(ISNUMBER(B124),VLOOKUP($A124,List!$A$1:$B$29,2,FALSE)))</f>
        <v/>
      </c>
      <c r="O124" s="13" t="str">
        <f>IF(IF(ISNUMBER(C124),VLOOKUP($A124,List!$A$1:$B$29,2,FALSE))=FALSE,"",IF(ISNUMBER(C124),VLOOKUP($A124,List!$A$1:$B$29,2,FALSE)))</f>
        <v/>
      </c>
      <c r="P124" s="13" t="str">
        <f>IF(IF(ISNUMBER(D124),VLOOKUP($A124,List!$A$1:$B$29,2,FALSE))=FALSE,"",IF(ISNUMBER(D124),VLOOKUP($A124,List!$A$1:$B$29,2,FALSE)))</f>
        <v/>
      </c>
      <c r="Q124" s="13" t="str">
        <f>IF(IF(ISNUMBER(E124),VLOOKUP($A124,List!$A$1:$B$29,2,FALSE))=FALSE,"",IF(ISNUMBER(E124),VLOOKUP($A124,List!$A$1:$B$29,2,FALSE)))</f>
        <v/>
      </c>
      <c r="R124" s="13" t="str">
        <f>IF(IF(ISNUMBER(F124),VLOOKUP($A124,List!$A$1:$B$29,2,FALSE))=FALSE,"",IF(ISNUMBER(F124),VLOOKUP($A124,List!$A$1:$B$29,2,FALSE)))</f>
        <v>When buying a bot, getting the lowest P is more important than brand</v>
      </c>
      <c r="S124" s="13" t="str">
        <f>IF(IF(ISNUMBER(G124),VLOOKUP($A124,List!$A$1:$B$29,2,FALSE))=FALSE,"",IF(ISNUMBER(G124),VLOOKUP($A124,List!$A$1:$B$29,2,FALSE)))</f>
        <v/>
      </c>
      <c r="T124" s="13" t="str">
        <f>IF(IF(ISNUMBER(H124),VLOOKUP($A124,List!$A$1:$B$29,2,FALSE))=FALSE,"",IF(ISNUMBER(H124),VLOOKUP($A124,List!$A$1:$B$29,2,FALSE)))</f>
        <v/>
      </c>
      <c r="U124" s="13" t="str">
        <f>IF(IF(ISNUMBER(I124),VLOOKUP($A124,List!$A$1:$B$29,2,FALSE))=FALSE,"",IF(ISNUMBER(I124),VLOOKUP($A124,List!$A$1:$B$29,2,FALSE)))</f>
        <v/>
      </c>
      <c r="V124" s="13" t="str">
        <f>IF(IF(ISNUMBER(J124),VLOOKUP($A124,List!$A$1:$B$29,2,FALSE))=FALSE,"",IF(ISNUMBER(J124),VLOOKUP($A124,List!$A$1:$B$29,2,FALSE)))</f>
        <v/>
      </c>
      <c r="W124" s="13" t="str">
        <f>IF(IF(ISNUMBER(K124),VLOOKUP($A124,List!$A$1:$B$29,2,FALSE))=FALSE,"",IF(ISNUMBER(K124),VLOOKUP($A124,List!$A$1:$B$29,2,FALSE)))</f>
        <v/>
      </c>
      <c r="X124" s="13" t="str">
        <f>IF(IF(ISNUMBER(L124),VLOOKUP($A124,List!$A$1:$B$29,2,FALSE))=FALSE,"",IF(ISNUMBER(L124),VLOOKUP($A124,List!$A$1:$B$29,2,FALSE)))</f>
        <v/>
      </c>
      <c r="Y124" s="13" t="str">
        <f>IF(IF(ISNUMBER(M124),VLOOKUP($A124,List!$A$1:$B$29,2,FALSE))=FALSE,"",IF(ISNUMBER(M124),VLOOKUP($A124,List!$A$1:$B$29,2,FALSE)))</f>
        <v/>
      </c>
    </row>
    <row r="125" spans="1:25" ht="15" thickBot="1" x14ac:dyDescent="0.35">
      <c r="A125" s="4">
        <v>4</v>
      </c>
      <c r="B125" s="6" t="s">
        <v>79</v>
      </c>
      <c r="C125" s="6" t="s">
        <v>79</v>
      </c>
      <c r="D125" s="6" t="s">
        <v>79</v>
      </c>
      <c r="E125" s="6" t="s">
        <v>79</v>
      </c>
      <c r="F125" s="6" t="s">
        <v>79</v>
      </c>
      <c r="G125" s="7" t="s">
        <v>79</v>
      </c>
      <c r="H125" s="7" t="s">
        <v>79</v>
      </c>
      <c r="I125" s="7" t="s">
        <v>79</v>
      </c>
      <c r="J125" s="8" t="s">
        <v>79</v>
      </c>
      <c r="K125" s="7" t="s">
        <v>79</v>
      </c>
      <c r="L125" s="7" t="s">
        <v>79</v>
      </c>
      <c r="M125" s="7">
        <v>0.85</v>
      </c>
      <c r="N125" s="13" t="str">
        <f>IF(IF(ISNUMBER(B125),VLOOKUP($A125,List!$A$1:$B$29,2,FALSE))=FALSE,"",IF(ISNUMBER(B125),VLOOKUP($A125,List!$A$1:$B$29,2,FALSE)))</f>
        <v/>
      </c>
      <c r="O125" s="13" t="str">
        <f>IF(IF(ISNUMBER(C125),VLOOKUP($A125,List!$A$1:$B$29,2,FALSE))=FALSE,"",IF(ISNUMBER(C125),VLOOKUP($A125,List!$A$1:$B$29,2,FALSE)))</f>
        <v/>
      </c>
      <c r="P125" s="13" t="str">
        <f>IF(IF(ISNUMBER(D125),VLOOKUP($A125,List!$A$1:$B$29,2,FALSE))=FALSE,"",IF(ISNUMBER(D125),VLOOKUP($A125,List!$A$1:$B$29,2,FALSE)))</f>
        <v/>
      </c>
      <c r="Q125" s="13" t="str">
        <f>IF(IF(ISNUMBER(E125),VLOOKUP($A125,List!$A$1:$B$29,2,FALSE))=FALSE,"",IF(ISNUMBER(E125),VLOOKUP($A125,List!$A$1:$B$29,2,FALSE)))</f>
        <v/>
      </c>
      <c r="R125" s="13" t="str">
        <f>IF(IF(ISNUMBER(F125),VLOOKUP($A125,List!$A$1:$B$29,2,FALSE))=FALSE,"",IF(ISNUMBER(F125),VLOOKUP($A125,List!$A$1:$B$29,2,FALSE)))</f>
        <v/>
      </c>
      <c r="S125" s="13" t="str">
        <f>IF(IF(ISNUMBER(G125),VLOOKUP($A125,List!$A$1:$B$29,2,FALSE))=FALSE,"",IF(ISNUMBER(G125),VLOOKUP($A125,List!$A$1:$B$29,2,FALSE)))</f>
        <v/>
      </c>
      <c r="T125" s="13" t="str">
        <f>IF(IF(ISNUMBER(H125),VLOOKUP($A125,List!$A$1:$B$29,2,FALSE))=FALSE,"",IF(ISNUMBER(H125),VLOOKUP($A125,List!$A$1:$B$29,2,FALSE)))</f>
        <v/>
      </c>
      <c r="U125" s="13" t="str">
        <f>IF(IF(ISNUMBER(I125),VLOOKUP($A125,List!$A$1:$B$29,2,FALSE))=FALSE,"",IF(ISNUMBER(I125),VLOOKUP($A125,List!$A$1:$B$29,2,FALSE)))</f>
        <v/>
      </c>
      <c r="V125" s="13" t="str">
        <f>IF(IF(ISNUMBER(J125),VLOOKUP($A125,List!$A$1:$B$29,2,FALSE))=FALSE,"",IF(ISNUMBER(J125),VLOOKUP($A125,List!$A$1:$B$29,2,FALSE)))</f>
        <v/>
      </c>
      <c r="W125" s="13" t="str">
        <f>IF(IF(ISNUMBER(K125),VLOOKUP($A125,List!$A$1:$B$29,2,FALSE))=FALSE,"",IF(ISNUMBER(K125),VLOOKUP($A125,List!$A$1:$B$29,2,FALSE)))</f>
        <v/>
      </c>
      <c r="X125" s="13" t="str">
        <f>IF(IF(ISNUMBER(L125),VLOOKUP($A125,List!$A$1:$B$29,2,FALSE))=FALSE,"",IF(ISNUMBER(L125),VLOOKUP($A125,List!$A$1:$B$29,2,FALSE)))</f>
        <v/>
      </c>
      <c r="Y125" s="13" t="str">
        <f>IF(IF(ISNUMBER(M125),VLOOKUP($A125,List!$A$1:$B$29,2,FALSE))=FALSE,"",IF(ISNUMBER(M125),VLOOKUP($A125,List!$A$1:$B$29,2,FALSE)))</f>
        <v>I only consider buying a boat from a reputable brand</v>
      </c>
    </row>
    <row r="126" spans="1:25" ht="15" thickBot="1" x14ac:dyDescent="0.35">
      <c r="A126" s="4">
        <v>10</v>
      </c>
      <c r="B126" s="6" t="s">
        <v>79</v>
      </c>
      <c r="C126" s="6" t="s">
        <v>79</v>
      </c>
      <c r="D126" s="6" t="s">
        <v>79</v>
      </c>
      <c r="E126" s="6" t="s">
        <v>79</v>
      </c>
      <c r="F126" s="5" t="s">
        <v>79</v>
      </c>
      <c r="G126" s="7" t="s">
        <v>79</v>
      </c>
      <c r="H126" s="7" t="s">
        <v>79</v>
      </c>
      <c r="I126" s="7">
        <v>0.95</v>
      </c>
      <c r="J126" s="7" t="s">
        <v>79</v>
      </c>
      <c r="K126" s="7" t="s">
        <v>79</v>
      </c>
      <c r="L126" s="7" t="s">
        <v>79</v>
      </c>
      <c r="M126" s="7" t="s">
        <v>79</v>
      </c>
      <c r="N126" s="13" t="str">
        <f>IF(IF(ISNUMBER(B126),VLOOKUP($A126,List!$A$1:$B$29,2,FALSE))=FALSE,"",IF(ISNUMBER(B126),VLOOKUP($A126,List!$A$1:$B$29,2,FALSE)))</f>
        <v/>
      </c>
      <c r="O126" s="13" t="str">
        <f>IF(IF(ISNUMBER(C126),VLOOKUP($A126,List!$A$1:$B$29,2,FALSE))=FALSE,"",IF(ISNUMBER(C126),VLOOKUP($A126,List!$A$1:$B$29,2,FALSE)))</f>
        <v/>
      </c>
      <c r="P126" s="13" t="str">
        <f>IF(IF(ISNUMBER(D126),VLOOKUP($A126,List!$A$1:$B$29,2,FALSE))=FALSE,"",IF(ISNUMBER(D126),VLOOKUP($A126,List!$A$1:$B$29,2,FALSE)))</f>
        <v/>
      </c>
      <c r="Q126" s="13" t="str">
        <f>IF(IF(ISNUMBER(E126),VLOOKUP($A126,List!$A$1:$B$29,2,FALSE))=FALSE,"",IF(ISNUMBER(E126),VLOOKUP($A126,List!$A$1:$B$29,2,FALSE)))</f>
        <v/>
      </c>
      <c r="R126" s="13" t="str">
        <f>IF(IF(ISNUMBER(F126),VLOOKUP($A126,List!$A$1:$B$29,2,FALSE))=FALSE,"",IF(ISNUMBER(F126),VLOOKUP($A126,List!$A$1:$B$29,2,FALSE)))</f>
        <v/>
      </c>
      <c r="S126" s="13" t="str">
        <f>IF(IF(ISNUMBER(G126),VLOOKUP($A126,List!$A$1:$B$29,2,FALSE))=FALSE,"",IF(ISNUMBER(G126),VLOOKUP($A126,List!$A$1:$B$29,2,FALSE)))</f>
        <v/>
      </c>
      <c r="T126" s="13" t="str">
        <f>IF(IF(ISNUMBER(H126),VLOOKUP($A126,List!$A$1:$B$29,2,FALSE))=FALSE,"",IF(ISNUMBER(H126),VLOOKUP($A126,List!$A$1:$B$29,2,FALSE)))</f>
        <v/>
      </c>
      <c r="U126" s="13" t="str">
        <f>IF(IF(ISNUMBER(I126),VLOOKUP($A126,List!$A$1:$B$29,2,FALSE))=FALSE,"",IF(ISNUMBER(I126),VLOOKUP($A126,List!$A$1:$B$29,2,FALSE)))</f>
        <v>When buying a boat, I rely more on expert opinion than my own</v>
      </c>
      <c r="V126" s="13" t="str">
        <f>IF(IF(ISNUMBER(J126),VLOOKUP($A126,List!$A$1:$B$29,2,FALSE))=FALSE,"",IF(ISNUMBER(J126),VLOOKUP($A126,List!$A$1:$B$29,2,FALSE)))</f>
        <v/>
      </c>
      <c r="W126" s="13" t="str">
        <f>IF(IF(ISNUMBER(K126),VLOOKUP($A126,List!$A$1:$B$29,2,FALSE))=FALSE,"",IF(ISNUMBER(K126),VLOOKUP($A126,List!$A$1:$B$29,2,FALSE)))</f>
        <v/>
      </c>
      <c r="X126" s="13" t="str">
        <f>IF(IF(ISNUMBER(L126),VLOOKUP($A126,List!$A$1:$B$29,2,FALSE))=FALSE,"",IF(ISNUMBER(L126),VLOOKUP($A126,List!$A$1:$B$29,2,FALSE)))</f>
        <v/>
      </c>
      <c r="Y126" s="13" t="str">
        <f>IF(IF(ISNUMBER(M126),VLOOKUP($A126,List!$A$1:$B$29,2,FALSE))=FALSE,"",IF(ISNUMBER(M126),VLOOKUP($A126,List!$A$1:$B$29,2,FALSE)))</f>
        <v/>
      </c>
    </row>
    <row r="127" spans="1:25" ht="15" thickBot="1" x14ac:dyDescent="0.35">
      <c r="A127" s="4">
        <v>11</v>
      </c>
      <c r="B127" s="6" t="s">
        <v>79</v>
      </c>
      <c r="C127" s="6" t="s">
        <v>79</v>
      </c>
      <c r="D127" s="6" t="s">
        <v>79</v>
      </c>
      <c r="E127" s="6" t="s">
        <v>79</v>
      </c>
      <c r="F127" s="6" t="s">
        <v>79</v>
      </c>
      <c r="G127" s="7">
        <v>0.91</v>
      </c>
      <c r="H127" s="7" t="s">
        <v>79</v>
      </c>
      <c r="I127" s="8" t="s">
        <v>79</v>
      </c>
      <c r="J127" s="7" t="s">
        <v>79</v>
      </c>
      <c r="K127" s="7" t="s">
        <v>79</v>
      </c>
      <c r="L127" s="7" t="s">
        <v>79</v>
      </c>
      <c r="M127" s="7" t="s">
        <v>79</v>
      </c>
      <c r="N127" s="13" t="str">
        <f>IF(IF(ISNUMBER(B127),VLOOKUP($A127,List!$A$1:$B$29,2,FALSE))=FALSE,"",IF(ISNUMBER(B127),VLOOKUP($A127,List!$A$1:$B$29,2,FALSE)))</f>
        <v/>
      </c>
      <c r="O127" s="13" t="str">
        <f>IF(IF(ISNUMBER(C127),VLOOKUP($A127,List!$A$1:$B$29,2,FALSE))=FALSE,"",IF(ISNUMBER(C127),VLOOKUP($A127,List!$A$1:$B$29,2,FALSE)))</f>
        <v/>
      </c>
      <c r="P127" s="13" t="str">
        <f>IF(IF(ISNUMBER(D127),VLOOKUP($A127,List!$A$1:$B$29,2,FALSE))=FALSE,"",IF(ISNUMBER(D127),VLOOKUP($A127,List!$A$1:$B$29,2,FALSE)))</f>
        <v/>
      </c>
      <c r="Q127" s="13" t="str">
        <f>IF(IF(ISNUMBER(E127),VLOOKUP($A127,List!$A$1:$B$29,2,FALSE))=FALSE,"",IF(ISNUMBER(E127),VLOOKUP($A127,List!$A$1:$B$29,2,FALSE)))</f>
        <v/>
      </c>
      <c r="R127" s="13" t="str">
        <f>IF(IF(ISNUMBER(F127),VLOOKUP($A127,List!$A$1:$B$29,2,FALSE))=FALSE,"",IF(ISNUMBER(F127),VLOOKUP($A127,List!$A$1:$B$29,2,FALSE)))</f>
        <v/>
      </c>
      <c r="S127" s="13" t="str">
        <f>IF(IF(ISNUMBER(G127),VLOOKUP($A127,List!$A$1:$B$29,2,FALSE))=FALSE,"",IF(ISNUMBER(G127),VLOOKUP($A127,List!$A$1:$B$29,2,FALSE)))</f>
        <v>I tend to perform minor boat repairs and maintenance on my own</v>
      </c>
      <c r="T127" s="13" t="str">
        <f>IF(IF(ISNUMBER(H127),VLOOKUP($A127,List!$A$1:$B$29,2,FALSE))=FALSE,"",IF(ISNUMBER(H127),VLOOKUP($A127,List!$A$1:$B$29,2,FALSE)))</f>
        <v/>
      </c>
      <c r="U127" s="13" t="str">
        <f>IF(IF(ISNUMBER(I127),VLOOKUP($A127,List!$A$1:$B$29,2,FALSE))=FALSE,"",IF(ISNUMBER(I127),VLOOKUP($A127,List!$A$1:$B$29,2,FALSE)))</f>
        <v/>
      </c>
      <c r="V127" s="13" t="str">
        <f>IF(IF(ISNUMBER(J127),VLOOKUP($A127,List!$A$1:$B$29,2,FALSE))=FALSE,"",IF(ISNUMBER(J127),VLOOKUP($A127,List!$A$1:$B$29,2,FALSE)))</f>
        <v/>
      </c>
      <c r="W127" s="13" t="str">
        <f>IF(IF(ISNUMBER(K127),VLOOKUP($A127,List!$A$1:$B$29,2,FALSE))=FALSE,"",IF(ISNUMBER(K127),VLOOKUP($A127,List!$A$1:$B$29,2,FALSE)))</f>
        <v/>
      </c>
      <c r="X127" s="13" t="str">
        <f>IF(IF(ISNUMBER(L127),VLOOKUP($A127,List!$A$1:$B$29,2,FALSE))=FALSE,"",IF(ISNUMBER(L127),VLOOKUP($A127,List!$A$1:$B$29,2,FALSE)))</f>
        <v/>
      </c>
      <c r="Y127" s="13" t="str">
        <f>IF(IF(ISNUMBER(M127),VLOOKUP($A127,List!$A$1:$B$29,2,FALSE))=FALSE,"",IF(ISNUMBER(M127),VLOOKUP($A127,List!$A$1:$B$29,2,FALSE)))</f>
        <v/>
      </c>
    </row>
    <row r="129" spans="1:25" ht="23.4" x14ac:dyDescent="0.45">
      <c r="A129" s="18" t="s">
        <v>124</v>
      </c>
    </row>
    <row r="130" spans="1:25" ht="15" thickBot="1" x14ac:dyDescent="0.35">
      <c r="A130" s="3" t="s">
        <v>63</v>
      </c>
      <c r="B130" s="3" t="s">
        <v>49</v>
      </c>
      <c r="C130" s="3" t="s">
        <v>50</v>
      </c>
      <c r="D130" s="3" t="s">
        <v>51</v>
      </c>
      <c r="E130" s="3" t="s">
        <v>52</v>
      </c>
      <c r="F130" s="3" t="s">
        <v>53</v>
      </c>
      <c r="G130" s="3" t="s">
        <v>54</v>
      </c>
      <c r="H130" s="3" t="s">
        <v>55</v>
      </c>
      <c r="I130" s="3" t="s">
        <v>56</v>
      </c>
      <c r="J130" s="3" t="s">
        <v>57</v>
      </c>
      <c r="K130" s="3" t="s">
        <v>58</v>
      </c>
      <c r="L130" s="3" t="s">
        <v>59</v>
      </c>
      <c r="M130" s="3" t="s">
        <v>60</v>
      </c>
      <c r="N130" s="3" t="s">
        <v>80</v>
      </c>
      <c r="O130" s="3" t="s">
        <v>81</v>
      </c>
      <c r="P130" s="3" t="s">
        <v>82</v>
      </c>
      <c r="Q130" s="3" t="s">
        <v>83</v>
      </c>
      <c r="R130" s="3" t="s">
        <v>84</v>
      </c>
      <c r="S130" s="3" t="s">
        <v>85</v>
      </c>
      <c r="T130" s="3" t="s">
        <v>86</v>
      </c>
      <c r="U130" s="3" t="s">
        <v>87</v>
      </c>
      <c r="V130" s="3" t="s">
        <v>88</v>
      </c>
      <c r="W130" s="3" t="s">
        <v>90</v>
      </c>
      <c r="X130" s="3" t="s">
        <v>61</v>
      </c>
      <c r="Y130" s="3" t="s">
        <v>62</v>
      </c>
    </row>
    <row r="131" spans="1:25" ht="15" thickBot="1" x14ac:dyDescent="0.35">
      <c r="A131" s="4">
        <v>28</v>
      </c>
      <c r="B131" s="5">
        <v>0.7</v>
      </c>
      <c r="C131" s="6" t="s">
        <v>79</v>
      </c>
      <c r="D131" s="6" t="s">
        <v>79</v>
      </c>
      <c r="E131" s="6" t="s">
        <v>79</v>
      </c>
      <c r="F131" s="6" t="s">
        <v>79</v>
      </c>
      <c r="G131" s="7" t="s">
        <v>79</v>
      </c>
      <c r="H131" s="7" t="s">
        <v>79</v>
      </c>
      <c r="I131" s="7" t="s">
        <v>79</v>
      </c>
      <c r="J131" s="7" t="s">
        <v>79</v>
      </c>
      <c r="K131" s="7" t="s">
        <v>79</v>
      </c>
      <c r="L131" s="7" t="s">
        <v>79</v>
      </c>
      <c r="M131" s="7" t="s">
        <v>79</v>
      </c>
      <c r="N131" s="13" t="str">
        <f>IF(IF(ISNUMBER(B131),VLOOKUP($A131,List!$A$1:$B$29,2,FALSE))=FALSE,"",IF(ISNUMBER(B131),VLOOKUP($A131,List!$A$1:$B$29,2,FALSE)))</f>
        <v>Boating is my true passion in life</v>
      </c>
      <c r="O131" s="13" t="str">
        <f>IF(IF(ISNUMBER(C131),VLOOKUP($A131,List!$A$1:$B$29,2,FALSE))=FALSE,"",IF(ISNUMBER(C131),VLOOKUP($A131,List!$A$1:$B$29,2,FALSE)))</f>
        <v/>
      </c>
      <c r="P131" s="13" t="str">
        <f>IF(IF(ISNUMBER(D131),VLOOKUP($A131,List!$A$1:$B$29,2,FALSE))=FALSE,"",IF(ISNUMBER(D131),VLOOKUP($A131,List!$A$1:$B$29,2,FALSE)))</f>
        <v/>
      </c>
      <c r="Q131" s="13" t="str">
        <f>IF(IF(ISNUMBER(E131),VLOOKUP($A131,List!$A$1:$B$29,2,FALSE))=FALSE,"",IF(ISNUMBER(E131),VLOOKUP($A131,List!$A$1:$B$29,2,FALSE)))</f>
        <v/>
      </c>
      <c r="R131" s="13" t="str">
        <f>IF(IF(ISNUMBER(F131),VLOOKUP($A131,List!$A$1:$B$29,2,FALSE))=FALSE,"",IF(ISNUMBER(F131),VLOOKUP($A131,List!$A$1:$B$29,2,FALSE)))</f>
        <v/>
      </c>
      <c r="S131" s="13" t="str">
        <f>IF(IF(ISNUMBER(G131),VLOOKUP($A131,List!$A$1:$B$29,2,FALSE))=FALSE,"",IF(ISNUMBER(G131),VLOOKUP($A131,List!$A$1:$B$29,2,FALSE)))</f>
        <v/>
      </c>
      <c r="T131" s="13" t="str">
        <f>IF(IF(ISNUMBER(H131),VLOOKUP($A131,List!$A$1:$B$29,2,FALSE))=FALSE,"",IF(ISNUMBER(H131),VLOOKUP($A131,List!$A$1:$B$29,2,FALSE)))</f>
        <v/>
      </c>
      <c r="U131" s="13" t="str">
        <f>IF(IF(ISNUMBER(I131),VLOOKUP($A131,List!$A$1:$B$29,2,FALSE))=FALSE,"",IF(ISNUMBER(I131),VLOOKUP($A131,List!$A$1:$B$29,2,FALSE)))</f>
        <v/>
      </c>
      <c r="V131" s="13" t="str">
        <f>IF(IF(ISNUMBER(J131),VLOOKUP($A131,List!$A$1:$B$29,2,FALSE))=FALSE,"",IF(ISNUMBER(J131),VLOOKUP($A131,List!$A$1:$B$29,2,FALSE)))</f>
        <v/>
      </c>
      <c r="W131" s="13" t="str">
        <f>IF(IF(ISNUMBER(K131),VLOOKUP($A131,List!$A$1:$B$29,2,FALSE))=FALSE,"",IF(ISNUMBER(K131),VLOOKUP($A131,List!$A$1:$B$29,2,FALSE)))</f>
        <v/>
      </c>
      <c r="X131" s="13" t="str">
        <f>IF(IF(ISNUMBER(L131),VLOOKUP($A131,List!$A$1:$B$29,2,FALSE))=FALSE,"",IF(ISNUMBER(L131),VLOOKUP($A131,List!$A$1:$B$29,2,FALSE)))</f>
        <v/>
      </c>
      <c r="Y131" s="13" t="str">
        <f>IF(IF(ISNUMBER(M131),VLOOKUP($A131,List!$A$1:$B$29,2,FALSE))=FALSE,"",IF(ISNUMBER(M131),VLOOKUP($A131,List!$A$1:$B$29,2,FALSE)))</f>
        <v/>
      </c>
    </row>
    <row r="132" spans="1:25" ht="15" thickBot="1" x14ac:dyDescent="0.35">
      <c r="A132" s="4">
        <v>14</v>
      </c>
      <c r="B132" s="5">
        <v>0.67</v>
      </c>
      <c r="C132" s="6" t="s">
        <v>79</v>
      </c>
      <c r="D132" s="6" t="s">
        <v>79</v>
      </c>
      <c r="E132" s="6" t="s">
        <v>79</v>
      </c>
      <c r="F132" s="6" t="s">
        <v>79</v>
      </c>
      <c r="G132" s="7" t="s">
        <v>79</v>
      </c>
      <c r="H132" s="7" t="s">
        <v>79</v>
      </c>
      <c r="I132" s="7" t="s">
        <v>79</v>
      </c>
      <c r="J132" s="7" t="s">
        <v>79</v>
      </c>
      <c r="K132" s="7" t="s">
        <v>79</v>
      </c>
      <c r="L132" s="7" t="s">
        <v>79</v>
      </c>
      <c r="M132" s="7" t="s">
        <v>79</v>
      </c>
      <c r="N132" s="13" t="str">
        <f>IF(IF(ISNUMBER(B132),VLOOKUP($A132,List!$A$1:$B$29,2,FALSE))=FALSE,"",IF(ISNUMBER(B132),VLOOKUP($A132,List!$A$1:$B$29,2,FALSE)))</f>
        <v>When buying accessories for my boat, I tend to buy the latest and greatest</v>
      </c>
      <c r="O132" s="13" t="str">
        <f>IF(IF(ISNUMBER(C132),VLOOKUP($A132,List!$A$1:$B$29,2,FALSE))=FALSE,"",IF(ISNUMBER(C132),VLOOKUP($A132,List!$A$1:$B$29,2,FALSE)))</f>
        <v/>
      </c>
      <c r="P132" s="13" t="str">
        <f>IF(IF(ISNUMBER(D132),VLOOKUP($A132,List!$A$1:$B$29,2,FALSE))=FALSE,"",IF(ISNUMBER(D132),VLOOKUP($A132,List!$A$1:$B$29,2,FALSE)))</f>
        <v/>
      </c>
      <c r="Q132" s="13" t="str">
        <f>IF(IF(ISNUMBER(E132),VLOOKUP($A132,List!$A$1:$B$29,2,FALSE))=FALSE,"",IF(ISNUMBER(E132),VLOOKUP($A132,List!$A$1:$B$29,2,FALSE)))</f>
        <v/>
      </c>
      <c r="R132" s="13" t="str">
        <f>IF(IF(ISNUMBER(F132),VLOOKUP($A132,List!$A$1:$B$29,2,FALSE))=FALSE,"",IF(ISNUMBER(F132),VLOOKUP($A132,List!$A$1:$B$29,2,FALSE)))</f>
        <v/>
      </c>
      <c r="S132" s="13" t="str">
        <f>IF(IF(ISNUMBER(G132),VLOOKUP($A132,List!$A$1:$B$29,2,FALSE))=FALSE,"",IF(ISNUMBER(G132),VLOOKUP($A132,List!$A$1:$B$29,2,FALSE)))</f>
        <v/>
      </c>
      <c r="T132" s="13" t="str">
        <f>IF(IF(ISNUMBER(H132),VLOOKUP($A132,List!$A$1:$B$29,2,FALSE))=FALSE,"",IF(ISNUMBER(H132),VLOOKUP($A132,List!$A$1:$B$29,2,FALSE)))</f>
        <v/>
      </c>
      <c r="U132" s="13" t="str">
        <f>IF(IF(ISNUMBER(I132),VLOOKUP($A132,List!$A$1:$B$29,2,FALSE))=FALSE,"",IF(ISNUMBER(I132),VLOOKUP($A132,List!$A$1:$B$29,2,FALSE)))</f>
        <v/>
      </c>
      <c r="V132" s="13" t="str">
        <f>IF(IF(ISNUMBER(J132),VLOOKUP($A132,List!$A$1:$B$29,2,FALSE))=FALSE,"",IF(ISNUMBER(J132),VLOOKUP($A132,List!$A$1:$B$29,2,FALSE)))</f>
        <v/>
      </c>
      <c r="W132" s="13" t="str">
        <f>IF(IF(ISNUMBER(K132),VLOOKUP($A132,List!$A$1:$B$29,2,FALSE))=FALSE,"",IF(ISNUMBER(K132),VLOOKUP($A132,List!$A$1:$B$29,2,FALSE)))</f>
        <v/>
      </c>
      <c r="X132" s="13" t="str">
        <f>IF(IF(ISNUMBER(L132),VLOOKUP($A132,List!$A$1:$B$29,2,FALSE))=FALSE,"",IF(ISNUMBER(L132),VLOOKUP($A132,List!$A$1:$B$29,2,FALSE)))</f>
        <v/>
      </c>
      <c r="Y132" s="13" t="str">
        <f>IF(IF(ISNUMBER(M132),VLOOKUP($A132,List!$A$1:$B$29,2,FALSE))=FALSE,"",IF(ISNUMBER(M132),VLOOKUP($A132,List!$A$1:$B$29,2,FALSE)))</f>
        <v/>
      </c>
    </row>
    <row r="133" spans="1:25" ht="15" thickBot="1" x14ac:dyDescent="0.35">
      <c r="A133" s="4">
        <v>20</v>
      </c>
      <c r="B133" s="5">
        <v>0.67</v>
      </c>
      <c r="C133" s="6" t="s">
        <v>79</v>
      </c>
      <c r="D133" s="6" t="s">
        <v>79</v>
      </c>
      <c r="E133" s="6" t="s">
        <v>79</v>
      </c>
      <c r="F133" s="6" t="s">
        <v>79</v>
      </c>
      <c r="G133" s="7" t="s">
        <v>79</v>
      </c>
      <c r="H133" s="7" t="s">
        <v>79</v>
      </c>
      <c r="I133" s="7" t="s">
        <v>79</v>
      </c>
      <c r="J133" s="7" t="s">
        <v>79</v>
      </c>
      <c r="K133" s="7" t="s">
        <v>79</v>
      </c>
      <c r="L133" s="7" t="s">
        <v>79</v>
      </c>
      <c r="M133" s="7" t="s">
        <v>79</v>
      </c>
      <c r="N133" s="13" t="str">
        <f>IF(IF(ISNUMBER(B133),VLOOKUP($A133,List!$A$1:$B$29,2,FALSE))=FALSE,"",IF(ISNUMBER(B133),VLOOKUP($A133,List!$A$1:$B$29,2,FALSE)))</f>
        <v>When not on my boat, I often find myself doing boating related activities</v>
      </c>
      <c r="O133" s="13" t="str">
        <f>IF(IF(ISNUMBER(C133),VLOOKUP($A133,List!$A$1:$B$29,2,FALSE))=FALSE,"",IF(ISNUMBER(C133),VLOOKUP($A133,List!$A$1:$B$29,2,FALSE)))</f>
        <v/>
      </c>
      <c r="P133" s="13" t="str">
        <f>IF(IF(ISNUMBER(D133),VLOOKUP($A133,List!$A$1:$B$29,2,FALSE))=FALSE,"",IF(ISNUMBER(D133),VLOOKUP($A133,List!$A$1:$B$29,2,FALSE)))</f>
        <v/>
      </c>
      <c r="Q133" s="13" t="str">
        <f>IF(IF(ISNUMBER(E133),VLOOKUP($A133,List!$A$1:$B$29,2,FALSE))=FALSE,"",IF(ISNUMBER(E133),VLOOKUP($A133,List!$A$1:$B$29,2,FALSE)))</f>
        <v/>
      </c>
      <c r="R133" s="13" t="str">
        <f>IF(IF(ISNUMBER(F133),VLOOKUP($A133,List!$A$1:$B$29,2,FALSE))=FALSE,"",IF(ISNUMBER(F133),VLOOKUP($A133,List!$A$1:$B$29,2,FALSE)))</f>
        <v/>
      </c>
      <c r="S133" s="13" t="str">
        <f>IF(IF(ISNUMBER(G133),VLOOKUP($A133,List!$A$1:$B$29,2,FALSE))=FALSE,"",IF(ISNUMBER(G133),VLOOKUP($A133,List!$A$1:$B$29,2,FALSE)))</f>
        <v/>
      </c>
      <c r="T133" s="13" t="str">
        <f>IF(IF(ISNUMBER(H133),VLOOKUP($A133,List!$A$1:$B$29,2,FALSE))=FALSE,"",IF(ISNUMBER(H133),VLOOKUP($A133,List!$A$1:$B$29,2,FALSE)))</f>
        <v/>
      </c>
      <c r="U133" s="13" t="str">
        <f>IF(IF(ISNUMBER(I133),VLOOKUP($A133,List!$A$1:$B$29,2,FALSE))=FALSE,"",IF(ISNUMBER(I133),VLOOKUP($A133,List!$A$1:$B$29,2,FALSE)))</f>
        <v/>
      </c>
      <c r="V133" s="13" t="str">
        <f>IF(IF(ISNUMBER(J133),VLOOKUP($A133,List!$A$1:$B$29,2,FALSE))=FALSE,"",IF(ISNUMBER(J133),VLOOKUP($A133,List!$A$1:$B$29,2,FALSE)))</f>
        <v/>
      </c>
      <c r="W133" s="13" t="str">
        <f>IF(IF(ISNUMBER(K133),VLOOKUP($A133,List!$A$1:$B$29,2,FALSE))=FALSE,"",IF(ISNUMBER(K133),VLOOKUP($A133,List!$A$1:$B$29,2,FALSE)))</f>
        <v/>
      </c>
      <c r="X133" s="13" t="str">
        <f>IF(IF(ISNUMBER(L133),VLOOKUP($A133,List!$A$1:$B$29,2,FALSE))=FALSE,"",IF(ISNUMBER(L133),VLOOKUP($A133,List!$A$1:$B$29,2,FALSE)))</f>
        <v/>
      </c>
      <c r="Y133" s="13" t="str">
        <f>IF(IF(ISNUMBER(M133),VLOOKUP($A133,List!$A$1:$B$29,2,FALSE))=FALSE,"",IF(ISNUMBER(M133),VLOOKUP($A133,List!$A$1:$B$29,2,FALSE)))</f>
        <v/>
      </c>
    </row>
    <row r="134" spans="1:25" ht="15" thickBot="1" x14ac:dyDescent="0.35">
      <c r="A134" s="4">
        <v>27</v>
      </c>
      <c r="B134" s="5">
        <v>0.66</v>
      </c>
      <c r="C134" s="6" t="s">
        <v>79</v>
      </c>
      <c r="D134" s="6" t="s">
        <v>79</v>
      </c>
      <c r="E134" s="6" t="s">
        <v>79</v>
      </c>
      <c r="F134" s="6" t="s">
        <v>79</v>
      </c>
      <c r="G134" s="7" t="s">
        <v>79</v>
      </c>
      <c r="H134" s="7" t="s">
        <v>79</v>
      </c>
      <c r="I134" s="7" t="s">
        <v>79</v>
      </c>
      <c r="J134" s="7" t="s">
        <v>79</v>
      </c>
      <c r="K134" s="7" t="s">
        <v>79</v>
      </c>
      <c r="L134" s="7" t="s">
        <v>79</v>
      </c>
      <c r="M134" s="7" t="s">
        <v>79</v>
      </c>
      <c r="N134" s="13" t="str">
        <f>IF(IF(ISNUMBER(B134),VLOOKUP($A134,List!$A$1:$B$29,2,FALSE))=FALSE,"",IF(ISNUMBER(B134),VLOOKUP($A134,List!$A$1:$B$29,2,FALSE)))</f>
        <v>Boating is the number one thing I do with my spare time</v>
      </c>
      <c r="O134" s="13" t="str">
        <f>IF(IF(ISNUMBER(C134),VLOOKUP($A134,List!$A$1:$B$29,2,FALSE))=FALSE,"",IF(ISNUMBER(C134),VLOOKUP($A134,List!$A$1:$B$29,2,FALSE)))</f>
        <v/>
      </c>
      <c r="P134" s="13" t="str">
        <f>IF(IF(ISNUMBER(D134),VLOOKUP($A134,List!$A$1:$B$29,2,FALSE))=FALSE,"",IF(ISNUMBER(D134),VLOOKUP($A134,List!$A$1:$B$29,2,FALSE)))</f>
        <v/>
      </c>
      <c r="Q134" s="13" t="str">
        <f>IF(IF(ISNUMBER(E134),VLOOKUP($A134,List!$A$1:$B$29,2,FALSE))=FALSE,"",IF(ISNUMBER(E134),VLOOKUP($A134,List!$A$1:$B$29,2,FALSE)))</f>
        <v/>
      </c>
      <c r="R134" s="13" t="str">
        <f>IF(IF(ISNUMBER(F134),VLOOKUP($A134,List!$A$1:$B$29,2,FALSE))=FALSE,"",IF(ISNUMBER(F134),VLOOKUP($A134,List!$A$1:$B$29,2,FALSE)))</f>
        <v/>
      </c>
      <c r="S134" s="13" t="str">
        <f>IF(IF(ISNUMBER(G134),VLOOKUP($A134,List!$A$1:$B$29,2,FALSE))=FALSE,"",IF(ISNUMBER(G134),VLOOKUP($A134,List!$A$1:$B$29,2,FALSE)))</f>
        <v/>
      </c>
      <c r="T134" s="13" t="str">
        <f>IF(IF(ISNUMBER(H134),VLOOKUP($A134,List!$A$1:$B$29,2,FALSE))=FALSE,"",IF(ISNUMBER(H134),VLOOKUP($A134,List!$A$1:$B$29,2,FALSE)))</f>
        <v/>
      </c>
      <c r="U134" s="13" t="str">
        <f>IF(IF(ISNUMBER(I134),VLOOKUP($A134,List!$A$1:$B$29,2,FALSE))=FALSE,"",IF(ISNUMBER(I134),VLOOKUP($A134,List!$A$1:$B$29,2,FALSE)))</f>
        <v/>
      </c>
      <c r="V134" s="13" t="str">
        <f>IF(IF(ISNUMBER(J134),VLOOKUP($A134,List!$A$1:$B$29,2,FALSE))=FALSE,"",IF(ISNUMBER(J134),VLOOKUP($A134,List!$A$1:$B$29,2,FALSE)))</f>
        <v/>
      </c>
      <c r="W134" s="13" t="str">
        <f>IF(IF(ISNUMBER(K134),VLOOKUP($A134,List!$A$1:$B$29,2,FALSE))=FALSE,"",IF(ISNUMBER(K134),VLOOKUP($A134,List!$A$1:$B$29,2,FALSE)))</f>
        <v/>
      </c>
      <c r="X134" s="13" t="str">
        <f>IF(IF(ISNUMBER(L134),VLOOKUP($A134,List!$A$1:$B$29,2,FALSE))=FALSE,"",IF(ISNUMBER(L134),VLOOKUP($A134,List!$A$1:$B$29,2,FALSE)))</f>
        <v/>
      </c>
      <c r="Y134" s="13" t="str">
        <f>IF(IF(ISNUMBER(M134),VLOOKUP($A134,List!$A$1:$B$29,2,FALSE))=FALSE,"",IF(ISNUMBER(M134),VLOOKUP($A134,List!$A$1:$B$29,2,FALSE)))</f>
        <v/>
      </c>
    </row>
    <row r="135" spans="1:25" ht="15" thickBot="1" x14ac:dyDescent="0.35">
      <c r="A135" s="4">
        <v>3</v>
      </c>
      <c r="B135" s="5">
        <v>0.65</v>
      </c>
      <c r="C135" s="6" t="s">
        <v>79</v>
      </c>
      <c r="D135" s="6" t="s">
        <v>79</v>
      </c>
      <c r="E135" s="6" t="s">
        <v>79</v>
      </c>
      <c r="F135" s="6" t="s">
        <v>79</v>
      </c>
      <c r="G135" s="7" t="s">
        <v>79</v>
      </c>
      <c r="H135" s="7" t="s">
        <v>79</v>
      </c>
      <c r="I135" s="7" t="s">
        <v>79</v>
      </c>
      <c r="J135" s="7" t="s">
        <v>79</v>
      </c>
      <c r="K135" s="7" t="s">
        <v>79</v>
      </c>
      <c r="L135" s="7" t="s">
        <v>79</v>
      </c>
      <c r="M135" s="7" t="s">
        <v>79</v>
      </c>
      <c r="N135" s="13" t="str">
        <f>IF(IF(ISNUMBER(B135),VLOOKUP($A135,List!$A$1:$B$29,2,FALSE))=FALSE,"",IF(ISNUMBER(B135),VLOOKUP($A135,List!$A$1:$B$29,2,FALSE)))</f>
        <v>The brand of the boat I buy says a lot about who I am</v>
      </c>
      <c r="O135" s="13" t="str">
        <f>IF(IF(ISNUMBER(C135),VLOOKUP($A135,List!$A$1:$B$29,2,FALSE))=FALSE,"",IF(ISNUMBER(C135),VLOOKUP($A135,List!$A$1:$B$29,2,FALSE)))</f>
        <v/>
      </c>
      <c r="P135" s="13" t="str">
        <f>IF(IF(ISNUMBER(D135),VLOOKUP($A135,List!$A$1:$B$29,2,FALSE))=FALSE,"",IF(ISNUMBER(D135),VLOOKUP($A135,List!$A$1:$B$29,2,FALSE)))</f>
        <v/>
      </c>
      <c r="Q135" s="13" t="str">
        <f>IF(IF(ISNUMBER(E135),VLOOKUP($A135,List!$A$1:$B$29,2,FALSE))=FALSE,"",IF(ISNUMBER(E135),VLOOKUP($A135,List!$A$1:$B$29,2,FALSE)))</f>
        <v/>
      </c>
      <c r="R135" s="13" t="str">
        <f>IF(IF(ISNUMBER(F135),VLOOKUP($A135,List!$A$1:$B$29,2,FALSE))=FALSE,"",IF(ISNUMBER(F135),VLOOKUP($A135,List!$A$1:$B$29,2,FALSE)))</f>
        <v/>
      </c>
      <c r="S135" s="13" t="str">
        <f>IF(IF(ISNUMBER(G135),VLOOKUP($A135,List!$A$1:$B$29,2,FALSE))=FALSE,"",IF(ISNUMBER(G135),VLOOKUP($A135,List!$A$1:$B$29,2,FALSE)))</f>
        <v/>
      </c>
      <c r="T135" s="13" t="str">
        <f>IF(IF(ISNUMBER(H135),VLOOKUP($A135,List!$A$1:$B$29,2,FALSE))=FALSE,"",IF(ISNUMBER(H135),VLOOKUP($A135,List!$A$1:$B$29,2,FALSE)))</f>
        <v/>
      </c>
      <c r="U135" s="13" t="str">
        <f>IF(IF(ISNUMBER(I135),VLOOKUP($A135,List!$A$1:$B$29,2,FALSE))=FALSE,"",IF(ISNUMBER(I135),VLOOKUP($A135,List!$A$1:$B$29,2,FALSE)))</f>
        <v/>
      </c>
      <c r="V135" s="13" t="str">
        <f>IF(IF(ISNUMBER(J135),VLOOKUP($A135,List!$A$1:$B$29,2,FALSE))=FALSE,"",IF(ISNUMBER(J135),VLOOKUP($A135,List!$A$1:$B$29,2,FALSE)))</f>
        <v/>
      </c>
      <c r="W135" s="13" t="str">
        <f>IF(IF(ISNUMBER(K135),VLOOKUP($A135,List!$A$1:$B$29,2,FALSE))=FALSE,"",IF(ISNUMBER(K135),VLOOKUP($A135,List!$A$1:$B$29,2,FALSE)))</f>
        <v/>
      </c>
      <c r="X135" s="13" t="str">
        <f>IF(IF(ISNUMBER(L135),VLOOKUP($A135,List!$A$1:$B$29,2,FALSE))=FALSE,"",IF(ISNUMBER(L135),VLOOKUP($A135,List!$A$1:$B$29,2,FALSE)))</f>
        <v/>
      </c>
      <c r="Y135" s="13" t="str">
        <f>IF(IF(ISNUMBER(M135),VLOOKUP($A135,List!$A$1:$B$29,2,FALSE))=FALSE,"",IF(ISNUMBER(M135),VLOOKUP($A135,List!$A$1:$B$29,2,FALSE)))</f>
        <v/>
      </c>
    </row>
    <row r="136" spans="1:25" ht="15" thickBot="1" x14ac:dyDescent="0.35">
      <c r="A136" s="4">
        <v>7</v>
      </c>
      <c r="B136" s="5">
        <v>0.65</v>
      </c>
      <c r="C136" s="6" t="s">
        <v>79</v>
      </c>
      <c r="D136" s="6" t="s">
        <v>79</v>
      </c>
      <c r="E136" s="6" t="s">
        <v>79</v>
      </c>
      <c r="F136" s="6" t="s">
        <v>79</v>
      </c>
      <c r="G136" s="7" t="s">
        <v>79</v>
      </c>
      <c r="H136" s="7" t="s">
        <v>79</v>
      </c>
      <c r="I136" s="7" t="s">
        <v>79</v>
      </c>
      <c r="J136" s="7" t="s">
        <v>79</v>
      </c>
      <c r="K136" s="7" t="s">
        <v>79</v>
      </c>
      <c r="L136" s="7" t="s">
        <v>79</v>
      </c>
      <c r="M136" s="7" t="s">
        <v>79</v>
      </c>
      <c r="N136" s="13" t="str">
        <f>IF(IF(ISNUMBER(B136),VLOOKUP($A136,List!$A$1:$B$29,2,FALSE))=FALSE,"",IF(ISNUMBER(B136),VLOOKUP($A136,List!$A$1:$B$29,2,FALSE)))</f>
        <v>Owning a boat gives me a sense of achievement</v>
      </c>
      <c r="O136" s="13" t="str">
        <f>IF(IF(ISNUMBER(C136),VLOOKUP($A136,List!$A$1:$B$29,2,FALSE))=FALSE,"",IF(ISNUMBER(C136),VLOOKUP($A136,List!$A$1:$B$29,2,FALSE)))</f>
        <v/>
      </c>
      <c r="P136" s="13" t="str">
        <f>IF(IF(ISNUMBER(D136),VLOOKUP($A136,List!$A$1:$B$29,2,FALSE))=FALSE,"",IF(ISNUMBER(D136),VLOOKUP($A136,List!$A$1:$B$29,2,FALSE)))</f>
        <v/>
      </c>
      <c r="Q136" s="13" t="str">
        <f>IF(IF(ISNUMBER(E136),VLOOKUP($A136,List!$A$1:$B$29,2,FALSE))=FALSE,"",IF(ISNUMBER(E136),VLOOKUP($A136,List!$A$1:$B$29,2,FALSE)))</f>
        <v/>
      </c>
      <c r="R136" s="13" t="str">
        <f>IF(IF(ISNUMBER(F136),VLOOKUP($A136,List!$A$1:$B$29,2,FALSE))=FALSE,"",IF(ISNUMBER(F136),VLOOKUP($A136,List!$A$1:$B$29,2,FALSE)))</f>
        <v/>
      </c>
      <c r="S136" s="13" t="str">
        <f>IF(IF(ISNUMBER(G136),VLOOKUP($A136,List!$A$1:$B$29,2,FALSE))=FALSE,"",IF(ISNUMBER(G136),VLOOKUP($A136,List!$A$1:$B$29,2,FALSE)))</f>
        <v/>
      </c>
      <c r="T136" s="13" t="str">
        <f>IF(IF(ISNUMBER(H136),VLOOKUP($A136,List!$A$1:$B$29,2,FALSE))=FALSE,"",IF(ISNUMBER(H136),VLOOKUP($A136,List!$A$1:$B$29,2,FALSE)))</f>
        <v/>
      </c>
      <c r="U136" s="13" t="str">
        <f>IF(IF(ISNUMBER(I136),VLOOKUP($A136,List!$A$1:$B$29,2,FALSE))=FALSE,"",IF(ISNUMBER(I136),VLOOKUP($A136,List!$A$1:$B$29,2,FALSE)))</f>
        <v/>
      </c>
      <c r="V136" s="13" t="str">
        <f>IF(IF(ISNUMBER(J136),VLOOKUP($A136,List!$A$1:$B$29,2,FALSE))=FALSE,"",IF(ISNUMBER(J136),VLOOKUP($A136,List!$A$1:$B$29,2,FALSE)))</f>
        <v/>
      </c>
      <c r="W136" s="13" t="str">
        <f>IF(IF(ISNUMBER(K136),VLOOKUP($A136,List!$A$1:$B$29,2,FALSE))=FALSE,"",IF(ISNUMBER(K136),VLOOKUP($A136,List!$A$1:$B$29,2,FALSE)))</f>
        <v/>
      </c>
      <c r="X136" s="13" t="str">
        <f>IF(IF(ISNUMBER(L136),VLOOKUP($A136,List!$A$1:$B$29,2,FALSE))=FALSE,"",IF(ISNUMBER(L136),VLOOKUP($A136,List!$A$1:$B$29,2,FALSE)))</f>
        <v/>
      </c>
      <c r="Y136" s="13" t="str">
        <f>IF(IF(ISNUMBER(M136),VLOOKUP($A136,List!$A$1:$B$29,2,FALSE))=FALSE,"",IF(ISNUMBER(M136),VLOOKUP($A136,List!$A$1:$B$29,2,FALSE)))</f>
        <v/>
      </c>
    </row>
    <row r="137" spans="1:25" ht="15" thickBot="1" x14ac:dyDescent="0.35">
      <c r="A137" s="4">
        <v>15</v>
      </c>
      <c r="B137" s="6">
        <v>0.65</v>
      </c>
      <c r="C137" s="6" t="s">
        <v>79</v>
      </c>
      <c r="D137" s="6" t="s">
        <v>79</v>
      </c>
      <c r="E137" s="6" t="s">
        <v>79</v>
      </c>
      <c r="F137" s="6" t="s">
        <v>79</v>
      </c>
      <c r="G137" s="7" t="s">
        <v>79</v>
      </c>
      <c r="H137" s="7" t="s">
        <v>79</v>
      </c>
      <c r="I137" s="7" t="s">
        <v>79</v>
      </c>
      <c r="J137" s="7" t="s">
        <v>79</v>
      </c>
      <c r="K137" s="7" t="s">
        <v>79</v>
      </c>
      <c r="L137" s="7" t="s">
        <v>79</v>
      </c>
      <c r="M137" s="7" t="s">
        <v>79</v>
      </c>
      <c r="N137" s="13" t="str">
        <f>IF(IF(ISNUMBER(B137),VLOOKUP($A137,List!$A$1:$B$29,2,FALSE))=FALSE,"",IF(ISNUMBER(B137),VLOOKUP($A137,List!$A$1:$B$29,2,FALSE)))</f>
        <v>I am serious about the technology on my boat</v>
      </c>
      <c r="O137" s="13" t="str">
        <f>IF(IF(ISNUMBER(C137),VLOOKUP($A137,List!$A$1:$B$29,2,FALSE))=FALSE,"",IF(ISNUMBER(C137),VLOOKUP($A137,List!$A$1:$B$29,2,FALSE)))</f>
        <v/>
      </c>
      <c r="P137" s="13" t="str">
        <f>IF(IF(ISNUMBER(D137),VLOOKUP($A137,List!$A$1:$B$29,2,FALSE))=FALSE,"",IF(ISNUMBER(D137),VLOOKUP($A137,List!$A$1:$B$29,2,FALSE)))</f>
        <v/>
      </c>
      <c r="Q137" s="13" t="str">
        <f>IF(IF(ISNUMBER(E137),VLOOKUP($A137,List!$A$1:$B$29,2,FALSE))=FALSE,"",IF(ISNUMBER(E137),VLOOKUP($A137,List!$A$1:$B$29,2,FALSE)))</f>
        <v/>
      </c>
      <c r="R137" s="13" t="str">
        <f>IF(IF(ISNUMBER(F137),VLOOKUP($A137,List!$A$1:$B$29,2,FALSE))=FALSE,"",IF(ISNUMBER(F137),VLOOKUP($A137,List!$A$1:$B$29,2,FALSE)))</f>
        <v/>
      </c>
      <c r="S137" s="13" t="str">
        <f>IF(IF(ISNUMBER(G137),VLOOKUP($A137,List!$A$1:$B$29,2,FALSE))=FALSE,"",IF(ISNUMBER(G137),VLOOKUP($A137,List!$A$1:$B$29,2,FALSE)))</f>
        <v/>
      </c>
      <c r="T137" s="13" t="str">
        <f>IF(IF(ISNUMBER(H137),VLOOKUP($A137,List!$A$1:$B$29,2,FALSE))=FALSE,"",IF(ISNUMBER(H137),VLOOKUP($A137,List!$A$1:$B$29,2,FALSE)))</f>
        <v/>
      </c>
      <c r="U137" s="13" t="str">
        <f>IF(IF(ISNUMBER(I137),VLOOKUP($A137,List!$A$1:$B$29,2,FALSE))=FALSE,"",IF(ISNUMBER(I137),VLOOKUP($A137,List!$A$1:$B$29,2,FALSE)))</f>
        <v/>
      </c>
      <c r="V137" s="13" t="str">
        <f>IF(IF(ISNUMBER(J137),VLOOKUP($A137,List!$A$1:$B$29,2,FALSE))=FALSE,"",IF(ISNUMBER(J137),VLOOKUP($A137,List!$A$1:$B$29,2,FALSE)))</f>
        <v/>
      </c>
      <c r="W137" s="13" t="str">
        <f>IF(IF(ISNUMBER(K137),VLOOKUP($A137,List!$A$1:$B$29,2,FALSE))=FALSE,"",IF(ISNUMBER(K137),VLOOKUP($A137,List!$A$1:$B$29,2,FALSE)))</f>
        <v/>
      </c>
      <c r="X137" s="13" t="str">
        <f>IF(IF(ISNUMBER(L137),VLOOKUP($A137,List!$A$1:$B$29,2,FALSE))=FALSE,"",IF(ISNUMBER(L137),VLOOKUP($A137,List!$A$1:$B$29,2,FALSE)))</f>
        <v/>
      </c>
      <c r="Y137" s="13" t="str">
        <f>IF(IF(ISNUMBER(M137),VLOOKUP($A137,List!$A$1:$B$29,2,FALSE))=FALSE,"",IF(ISNUMBER(M137),VLOOKUP($A137,List!$A$1:$B$29,2,FALSE)))</f>
        <v/>
      </c>
    </row>
    <row r="138" spans="1:25" ht="15" thickBot="1" x14ac:dyDescent="0.35">
      <c r="A138" s="4">
        <v>16</v>
      </c>
      <c r="B138" s="6">
        <v>0.65</v>
      </c>
      <c r="C138" s="6" t="s">
        <v>79</v>
      </c>
      <c r="D138" s="6" t="s">
        <v>79</v>
      </c>
      <c r="E138" s="6" t="s">
        <v>79</v>
      </c>
      <c r="F138" s="6" t="s">
        <v>79</v>
      </c>
      <c r="G138" s="7" t="s">
        <v>79</v>
      </c>
      <c r="H138" s="7" t="s">
        <v>79</v>
      </c>
      <c r="I138" s="7" t="s">
        <v>79</v>
      </c>
      <c r="J138" s="7" t="s">
        <v>79</v>
      </c>
      <c r="K138" s="7" t="s">
        <v>79</v>
      </c>
      <c r="L138" s="7" t="s">
        <v>79</v>
      </c>
      <c r="M138" s="7" t="s">
        <v>79</v>
      </c>
      <c r="N138" s="13" t="str">
        <f>IF(IF(ISNUMBER(B138),VLOOKUP($A138,List!$A$1:$B$29,2,FALSE))=FALSE,"",IF(ISNUMBER(B138),VLOOKUP($A138,List!$A$1:$B$29,2,FALSE)))</f>
        <v>People tend to come to me for advice about boating</v>
      </c>
      <c r="O138" s="13" t="str">
        <f>IF(IF(ISNUMBER(C138),VLOOKUP($A138,List!$A$1:$B$29,2,FALSE))=FALSE,"",IF(ISNUMBER(C138),VLOOKUP($A138,List!$A$1:$B$29,2,FALSE)))</f>
        <v/>
      </c>
      <c r="P138" s="13" t="str">
        <f>IF(IF(ISNUMBER(D138),VLOOKUP($A138,List!$A$1:$B$29,2,FALSE))=FALSE,"",IF(ISNUMBER(D138),VLOOKUP($A138,List!$A$1:$B$29,2,FALSE)))</f>
        <v/>
      </c>
      <c r="Q138" s="13" t="str">
        <f>IF(IF(ISNUMBER(E138),VLOOKUP($A138,List!$A$1:$B$29,2,FALSE))=FALSE,"",IF(ISNUMBER(E138),VLOOKUP($A138,List!$A$1:$B$29,2,FALSE)))</f>
        <v/>
      </c>
      <c r="R138" s="13" t="str">
        <f>IF(IF(ISNUMBER(F138),VLOOKUP($A138,List!$A$1:$B$29,2,FALSE))=FALSE,"",IF(ISNUMBER(F138),VLOOKUP($A138,List!$A$1:$B$29,2,FALSE)))</f>
        <v/>
      </c>
      <c r="S138" s="13" t="str">
        <f>IF(IF(ISNUMBER(G138),VLOOKUP($A138,List!$A$1:$B$29,2,FALSE))=FALSE,"",IF(ISNUMBER(G138),VLOOKUP($A138,List!$A$1:$B$29,2,FALSE)))</f>
        <v/>
      </c>
      <c r="T138" s="13" t="str">
        <f>IF(IF(ISNUMBER(H138),VLOOKUP($A138,List!$A$1:$B$29,2,FALSE))=FALSE,"",IF(ISNUMBER(H138),VLOOKUP($A138,List!$A$1:$B$29,2,FALSE)))</f>
        <v/>
      </c>
      <c r="U138" s="13" t="str">
        <f>IF(IF(ISNUMBER(I138),VLOOKUP($A138,List!$A$1:$B$29,2,FALSE))=FALSE,"",IF(ISNUMBER(I138),VLOOKUP($A138,List!$A$1:$B$29,2,FALSE)))</f>
        <v/>
      </c>
      <c r="V138" s="13" t="str">
        <f>IF(IF(ISNUMBER(J138),VLOOKUP($A138,List!$A$1:$B$29,2,FALSE))=FALSE,"",IF(ISNUMBER(J138),VLOOKUP($A138,List!$A$1:$B$29,2,FALSE)))</f>
        <v/>
      </c>
      <c r="W138" s="13" t="str">
        <f>IF(IF(ISNUMBER(K138),VLOOKUP($A138,List!$A$1:$B$29,2,FALSE))=FALSE,"",IF(ISNUMBER(K138),VLOOKUP($A138,List!$A$1:$B$29,2,FALSE)))</f>
        <v/>
      </c>
      <c r="X138" s="13" t="str">
        <f>IF(IF(ISNUMBER(L138),VLOOKUP($A138,List!$A$1:$B$29,2,FALSE))=FALSE,"",IF(ISNUMBER(L138),VLOOKUP($A138,List!$A$1:$B$29,2,FALSE)))</f>
        <v/>
      </c>
      <c r="Y138" s="13" t="str">
        <f>IF(IF(ISNUMBER(M138),VLOOKUP($A138,List!$A$1:$B$29,2,FALSE))=FALSE,"",IF(ISNUMBER(M138),VLOOKUP($A138,List!$A$1:$B$29,2,FALSE)))</f>
        <v/>
      </c>
    </row>
    <row r="139" spans="1:25" ht="15" thickBot="1" x14ac:dyDescent="0.35">
      <c r="A139" s="4">
        <v>13</v>
      </c>
      <c r="B139" s="6">
        <v>0.64</v>
      </c>
      <c r="C139" s="6" t="s">
        <v>79</v>
      </c>
      <c r="D139" s="6" t="s">
        <v>79</v>
      </c>
      <c r="E139" s="5" t="s">
        <v>79</v>
      </c>
      <c r="F139" s="6" t="s">
        <v>79</v>
      </c>
      <c r="G139" s="7" t="s">
        <v>79</v>
      </c>
      <c r="H139" s="7" t="s">
        <v>79</v>
      </c>
      <c r="I139" s="7" t="s">
        <v>79</v>
      </c>
      <c r="J139" s="7" t="s">
        <v>79</v>
      </c>
      <c r="K139" s="7" t="s">
        <v>79</v>
      </c>
      <c r="L139" s="7" t="s">
        <v>79</v>
      </c>
      <c r="M139" s="7" t="s">
        <v>79</v>
      </c>
      <c r="N139" s="13" t="str">
        <f>IF(IF(ISNUMBER(B139),VLOOKUP($A139,List!$A$1:$B$29,2,FALSE))=FALSE,"",IF(ISNUMBER(B139),VLOOKUP($A139,List!$A$1:$B$29,2,FALSE)))</f>
        <v>When buying a boat, I tend to buy the latest and greatest</v>
      </c>
      <c r="O139" s="13" t="str">
        <f>IF(IF(ISNUMBER(C139),VLOOKUP($A139,List!$A$1:$B$29,2,FALSE))=FALSE,"",IF(ISNUMBER(C139),VLOOKUP($A139,List!$A$1:$B$29,2,FALSE)))</f>
        <v/>
      </c>
      <c r="P139" s="13" t="str">
        <f>IF(IF(ISNUMBER(D139),VLOOKUP($A139,List!$A$1:$B$29,2,FALSE))=FALSE,"",IF(ISNUMBER(D139),VLOOKUP($A139,List!$A$1:$B$29,2,FALSE)))</f>
        <v/>
      </c>
      <c r="Q139" s="13" t="str">
        <f>IF(IF(ISNUMBER(E139),VLOOKUP($A139,List!$A$1:$B$29,2,FALSE))=FALSE,"",IF(ISNUMBER(E139),VLOOKUP($A139,List!$A$1:$B$29,2,FALSE)))</f>
        <v/>
      </c>
      <c r="R139" s="13" t="str">
        <f>IF(IF(ISNUMBER(F139),VLOOKUP($A139,List!$A$1:$B$29,2,FALSE))=FALSE,"",IF(ISNUMBER(F139),VLOOKUP($A139,List!$A$1:$B$29,2,FALSE)))</f>
        <v/>
      </c>
      <c r="S139" s="13" t="str">
        <f>IF(IF(ISNUMBER(G139),VLOOKUP($A139,List!$A$1:$B$29,2,FALSE))=FALSE,"",IF(ISNUMBER(G139),VLOOKUP($A139,List!$A$1:$B$29,2,FALSE)))</f>
        <v/>
      </c>
      <c r="T139" s="13" t="str">
        <f>IF(IF(ISNUMBER(H139),VLOOKUP($A139,List!$A$1:$B$29,2,FALSE))=FALSE,"",IF(ISNUMBER(H139),VLOOKUP($A139,List!$A$1:$B$29,2,FALSE)))</f>
        <v/>
      </c>
      <c r="U139" s="13" t="str">
        <f>IF(IF(ISNUMBER(I139),VLOOKUP($A139,List!$A$1:$B$29,2,FALSE))=FALSE,"",IF(ISNUMBER(I139),VLOOKUP($A139,List!$A$1:$B$29,2,FALSE)))</f>
        <v/>
      </c>
      <c r="V139" s="13" t="str">
        <f>IF(IF(ISNUMBER(J139),VLOOKUP($A139,List!$A$1:$B$29,2,FALSE))=FALSE,"",IF(ISNUMBER(J139),VLOOKUP($A139,List!$A$1:$B$29,2,FALSE)))</f>
        <v/>
      </c>
      <c r="W139" s="13" t="str">
        <f>IF(IF(ISNUMBER(K139),VLOOKUP($A139,List!$A$1:$B$29,2,FALSE))=FALSE,"",IF(ISNUMBER(K139),VLOOKUP($A139,List!$A$1:$B$29,2,FALSE)))</f>
        <v/>
      </c>
      <c r="X139" s="13" t="str">
        <f>IF(IF(ISNUMBER(L139),VLOOKUP($A139,List!$A$1:$B$29,2,FALSE))=FALSE,"",IF(ISNUMBER(L139),VLOOKUP($A139,List!$A$1:$B$29,2,FALSE)))</f>
        <v/>
      </c>
      <c r="Y139" s="13" t="str">
        <f>IF(IF(ISNUMBER(M139),VLOOKUP($A139,List!$A$1:$B$29,2,FALSE))=FALSE,"",IF(ISNUMBER(M139),VLOOKUP($A139,List!$A$1:$B$29,2,FALSE)))</f>
        <v/>
      </c>
    </row>
    <row r="140" spans="1:25" ht="15" thickBot="1" x14ac:dyDescent="0.35">
      <c r="A140" s="4">
        <v>25</v>
      </c>
      <c r="B140" s="6">
        <v>0.64</v>
      </c>
      <c r="C140" s="6" t="s">
        <v>79</v>
      </c>
      <c r="D140" s="6" t="s">
        <v>79</v>
      </c>
      <c r="E140" s="5" t="s">
        <v>79</v>
      </c>
      <c r="F140" s="6" t="s">
        <v>79</v>
      </c>
      <c r="G140" s="7" t="s">
        <v>79</v>
      </c>
      <c r="H140" s="7" t="s">
        <v>79</v>
      </c>
      <c r="I140" s="7" t="s">
        <v>79</v>
      </c>
      <c r="J140" s="7" t="s">
        <v>79</v>
      </c>
      <c r="K140" s="7" t="s">
        <v>79</v>
      </c>
      <c r="L140" s="7" t="s">
        <v>79</v>
      </c>
      <c r="M140" s="7" t="s">
        <v>79</v>
      </c>
      <c r="N140" s="13" t="str">
        <f>IF(IF(ISNUMBER(B140),VLOOKUP($A140,List!$A$1:$B$29,2,FALSE))=FALSE,"",IF(ISNUMBER(B140),VLOOKUP($A140,List!$A$1:$B$29,2,FALSE)))</f>
        <v>Being in charge of my boat is what is most important to me</v>
      </c>
      <c r="O140" s="13" t="str">
        <f>IF(IF(ISNUMBER(C140),VLOOKUP($A140,List!$A$1:$B$29,2,FALSE))=FALSE,"",IF(ISNUMBER(C140),VLOOKUP($A140,List!$A$1:$B$29,2,FALSE)))</f>
        <v/>
      </c>
      <c r="P140" s="13" t="str">
        <f>IF(IF(ISNUMBER(D140),VLOOKUP($A140,List!$A$1:$B$29,2,FALSE))=FALSE,"",IF(ISNUMBER(D140),VLOOKUP($A140,List!$A$1:$B$29,2,FALSE)))</f>
        <v/>
      </c>
      <c r="Q140" s="13" t="str">
        <f>IF(IF(ISNUMBER(E140),VLOOKUP($A140,List!$A$1:$B$29,2,FALSE))=FALSE,"",IF(ISNUMBER(E140),VLOOKUP($A140,List!$A$1:$B$29,2,FALSE)))</f>
        <v/>
      </c>
      <c r="R140" s="13" t="str">
        <f>IF(IF(ISNUMBER(F140),VLOOKUP($A140,List!$A$1:$B$29,2,FALSE))=FALSE,"",IF(ISNUMBER(F140),VLOOKUP($A140,List!$A$1:$B$29,2,FALSE)))</f>
        <v/>
      </c>
      <c r="S140" s="13" t="str">
        <f>IF(IF(ISNUMBER(G140),VLOOKUP($A140,List!$A$1:$B$29,2,FALSE))=FALSE,"",IF(ISNUMBER(G140),VLOOKUP($A140,List!$A$1:$B$29,2,FALSE)))</f>
        <v/>
      </c>
      <c r="T140" s="13" t="str">
        <f>IF(IF(ISNUMBER(H140),VLOOKUP($A140,List!$A$1:$B$29,2,FALSE))=FALSE,"",IF(ISNUMBER(H140),VLOOKUP($A140,List!$A$1:$B$29,2,FALSE)))</f>
        <v/>
      </c>
      <c r="U140" s="13" t="str">
        <f>IF(IF(ISNUMBER(I140),VLOOKUP($A140,List!$A$1:$B$29,2,FALSE))=FALSE,"",IF(ISNUMBER(I140),VLOOKUP($A140,List!$A$1:$B$29,2,FALSE)))</f>
        <v/>
      </c>
      <c r="V140" s="13" t="str">
        <f>IF(IF(ISNUMBER(J140),VLOOKUP($A140,List!$A$1:$B$29,2,FALSE))=FALSE,"",IF(ISNUMBER(J140),VLOOKUP($A140,List!$A$1:$B$29,2,FALSE)))</f>
        <v/>
      </c>
      <c r="W140" s="13" t="str">
        <f>IF(IF(ISNUMBER(K140),VLOOKUP($A140,List!$A$1:$B$29,2,FALSE))=FALSE,"",IF(ISNUMBER(K140),VLOOKUP($A140,List!$A$1:$B$29,2,FALSE)))</f>
        <v/>
      </c>
      <c r="X140" s="13" t="str">
        <f>IF(IF(ISNUMBER(L140),VLOOKUP($A140,List!$A$1:$B$29,2,FALSE))=FALSE,"",IF(ISNUMBER(L140),VLOOKUP($A140,List!$A$1:$B$29,2,FALSE)))</f>
        <v/>
      </c>
      <c r="Y140" s="13" t="str">
        <f>IF(IF(ISNUMBER(M140),VLOOKUP($A140,List!$A$1:$B$29,2,FALSE))=FALSE,"",IF(ISNUMBER(M140),VLOOKUP($A140,List!$A$1:$B$29,2,FALSE)))</f>
        <v/>
      </c>
    </row>
    <row r="141" spans="1:25" ht="15" thickBot="1" x14ac:dyDescent="0.35">
      <c r="A141" s="4">
        <v>6</v>
      </c>
      <c r="B141" s="6">
        <v>0.63</v>
      </c>
      <c r="C141" s="5" t="s">
        <v>79</v>
      </c>
      <c r="D141" s="6" t="s">
        <v>79</v>
      </c>
      <c r="E141" s="6" t="s">
        <v>79</v>
      </c>
      <c r="F141" s="6" t="s">
        <v>79</v>
      </c>
      <c r="G141" s="7" t="s">
        <v>79</v>
      </c>
      <c r="H141" s="7" t="s">
        <v>79</v>
      </c>
      <c r="I141" s="7" t="s">
        <v>79</v>
      </c>
      <c r="J141" s="7" t="s">
        <v>79</v>
      </c>
      <c r="K141" s="7" t="s">
        <v>79</v>
      </c>
      <c r="L141" s="7" t="s">
        <v>79</v>
      </c>
      <c r="M141" s="7" t="s">
        <v>79</v>
      </c>
      <c r="N141" s="13" t="str">
        <f>IF(IF(ISNUMBER(B141),VLOOKUP($A141,List!$A$1:$B$29,2,FALSE))=FALSE,"",IF(ISNUMBER(B141),VLOOKUP($A141,List!$A$1:$B$29,2,FALSE)))</f>
        <v>Owning a boat is a way of rewarding myself for hard work</v>
      </c>
      <c r="O141" s="13" t="str">
        <f>IF(IF(ISNUMBER(C141),VLOOKUP($A141,List!$A$1:$B$29,2,FALSE))=FALSE,"",IF(ISNUMBER(C141),VLOOKUP($A141,List!$A$1:$B$29,2,FALSE)))</f>
        <v/>
      </c>
      <c r="P141" s="13" t="str">
        <f>IF(IF(ISNUMBER(D141),VLOOKUP($A141,List!$A$1:$B$29,2,FALSE))=FALSE,"",IF(ISNUMBER(D141),VLOOKUP($A141,List!$A$1:$B$29,2,FALSE)))</f>
        <v/>
      </c>
      <c r="Q141" s="13" t="str">
        <f>IF(IF(ISNUMBER(E141),VLOOKUP($A141,List!$A$1:$B$29,2,FALSE))=FALSE,"",IF(ISNUMBER(E141),VLOOKUP($A141,List!$A$1:$B$29,2,FALSE)))</f>
        <v/>
      </c>
      <c r="R141" s="13" t="str">
        <f>IF(IF(ISNUMBER(F141),VLOOKUP($A141,List!$A$1:$B$29,2,FALSE))=FALSE,"",IF(ISNUMBER(F141),VLOOKUP($A141,List!$A$1:$B$29,2,FALSE)))</f>
        <v/>
      </c>
      <c r="S141" s="13" t="str">
        <f>IF(IF(ISNUMBER(G141),VLOOKUP($A141,List!$A$1:$B$29,2,FALSE))=FALSE,"",IF(ISNUMBER(G141),VLOOKUP($A141,List!$A$1:$B$29,2,FALSE)))</f>
        <v/>
      </c>
      <c r="T141" s="13" t="str">
        <f>IF(IF(ISNUMBER(H141),VLOOKUP($A141,List!$A$1:$B$29,2,FALSE))=FALSE,"",IF(ISNUMBER(H141),VLOOKUP($A141,List!$A$1:$B$29,2,FALSE)))</f>
        <v/>
      </c>
      <c r="U141" s="13" t="str">
        <f>IF(IF(ISNUMBER(I141),VLOOKUP($A141,List!$A$1:$B$29,2,FALSE))=FALSE,"",IF(ISNUMBER(I141),VLOOKUP($A141,List!$A$1:$B$29,2,FALSE)))</f>
        <v/>
      </c>
      <c r="V141" s="13" t="str">
        <f>IF(IF(ISNUMBER(J141),VLOOKUP($A141,List!$A$1:$B$29,2,FALSE))=FALSE,"",IF(ISNUMBER(J141),VLOOKUP($A141,List!$A$1:$B$29,2,FALSE)))</f>
        <v/>
      </c>
      <c r="W141" s="13" t="str">
        <f>IF(IF(ISNUMBER(K141),VLOOKUP($A141,List!$A$1:$B$29,2,FALSE))=FALSE,"",IF(ISNUMBER(K141),VLOOKUP($A141,List!$A$1:$B$29,2,FALSE)))</f>
        <v/>
      </c>
      <c r="X141" s="13" t="str">
        <f>IF(IF(ISNUMBER(L141),VLOOKUP($A141,List!$A$1:$B$29,2,FALSE))=FALSE,"",IF(ISNUMBER(L141),VLOOKUP($A141,List!$A$1:$B$29,2,FALSE)))</f>
        <v/>
      </c>
      <c r="Y141" s="13" t="str">
        <f>IF(IF(ISNUMBER(M141),VLOOKUP($A141,List!$A$1:$B$29,2,FALSE))=FALSE,"",IF(ISNUMBER(M141),VLOOKUP($A141,List!$A$1:$B$29,2,FALSE)))</f>
        <v/>
      </c>
    </row>
    <row r="142" spans="1:25" ht="15" thickBot="1" x14ac:dyDescent="0.35">
      <c r="A142" s="4">
        <v>26</v>
      </c>
      <c r="B142" s="6">
        <v>0.63</v>
      </c>
      <c r="C142" s="5" t="s">
        <v>79</v>
      </c>
      <c r="D142" s="6" t="s">
        <v>79</v>
      </c>
      <c r="E142" s="6" t="s">
        <v>79</v>
      </c>
      <c r="F142" s="6" t="s">
        <v>79</v>
      </c>
      <c r="G142" s="7" t="s">
        <v>79</v>
      </c>
      <c r="H142" s="7" t="s">
        <v>79</v>
      </c>
      <c r="I142" s="7" t="s">
        <v>79</v>
      </c>
      <c r="J142" s="7" t="s">
        <v>79</v>
      </c>
      <c r="K142" s="7" t="s">
        <v>79</v>
      </c>
      <c r="L142" s="7" t="s">
        <v>79</v>
      </c>
      <c r="M142" s="7" t="s">
        <v>79</v>
      </c>
      <c r="N142" s="13" t="str">
        <f>IF(IF(ISNUMBER(B142),VLOOKUP($A142,List!$A$1:$B$29,2,FALSE))=FALSE,"",IF(ISNUMBER(B142),VLOOKUP($A142,List!$A$1:$B$29,2,FALSE)))</f>
        <v>Having a powerful boat is what is most important to me</v>
      </c>
      <c r="O142" s="13" t="str">
        <f>IF(IF(ISNUMBER(C142),VLOOKUP($A142,List!$A$1:$B$29,2,FALSE))=FALSE,"",IF(ISNUMBER(C142),VLOOKUP($A142,List!$A$1:$B$29,2,FALSE)))</f>
        <v/>
      </c>
      <c r="P142" s="13" t="str">
        <f>IF(IF(ISNUMBER(D142),VLOOKUP($A142,List!$A$1:$B$29,2,FALSE))=FALSE,"",IF(ISNUMBER(D142),VLOOKUP($A142,List!$A$1:$B$29,2,FALSE)))</f>
        <v/>
      </c>
      <c r="Q142" s="13" t="str">
        <f>IF(IF(ISNUMBER(E142),VLOOKUP($A142,List!$A$1:$B$29,2,FALSE))=FALSE,"",IF(ISNUMBER(E142),VLOOKUP($A142,List!$A$1:$B$29,2,FALSE)))</f>
        <v/>
      </c>
      <c r="R142" s="13" t="str">
        <f>IF(IF(ISNUMBER(F142),VLOOKUP($A142,List!$A$1:$B$29,2,FALSE))=FALSE,"",IF(ISNUMBER(F142),VLOOKUP($A142,List!$A$1:$B$29,2,FALSE)))</f>
        <v/>
      </c>
      <c r="S142" s="13" t="str">
        <f>IF(IF(ISNUMBER(G142),VLOOKUP($A142,List!$A$1:$B$29,2,FALSE))=FALSE,"",IF(ISNUMBER(G142),VLOOKUP($A142,List!$A$1:$B$29,2,FALSE)))</f>
        <v/>
      </c>
      <c r="T142" s="13" t="str">
        <f>IF(IF(ISNUMBER(H142),VLOOKUP($A142,List!$A$1:$B$29,2,FALSE))=FALSE,"",IF(ISNUMBER(H142),VLOOKUP($A142,List!$A$1:$B$29,2,FALSE)))</f>
        <v/>
      </c>
      <c r="U142" s="13" t="str">
        <f>IF(IF(ISNUMBER(I142),VLOOKUP($A142,List!$A$1:$B$29,2,FALSE))=FALSE,"",IF(ISNUMBER(I142),VLOOKUP($A142,List!$A$1:$B$29,2,FALSE)))</f>
        <v/>
      </c>
      <c r="V142" s="13" t="str">
        <f>IF(IF(ISNUMBER(J142),VLOOKUP($A142,List!$A$1:$B$29,2,FALSE))=FALSE,"",IF(ISNUMBER(J142),VLOOKUP($A142,List!$A$1:$B$29,2,FALSE)))</f>
        <v/>
      </c>
      <c r="W142" s="13" t="str">
        <f>IF(IF(ISNUMBER(K142),VLOOKUP($A142,List!$A$1:$B$29,2,FALSE))=FALSE,"",IF(ISNUMBER(K142),VLOOKUP($A142,List!$A$1:$B$29,2,FALSE)))</f>
        <v/>
      </c>
      <c r="X142" s="13" t="str">
        <f>IF(IF(ISNUMBER(L142),VLOOKUP($A142,List!$A$1:$B$29,2,FALSE))=FALSE,"",IF(ISNUMBER(L142),VLOOKUP($A142,List!$A$1:$B$29,2,FALSE)))</f>
        <v/>
      </c>
      <c r="Y142" s="13" t="str">
        <f>IF(IF(ISNUMBER(M142),VLOOKUP($A142,List!$A$1:$B$29,2,FALSE))=FALSE,"",IF(ISNUMBER(M142),VLOOKUP($A142,List!$A$1:$B$29,2,FALSE)))</f>
        <v/>
      </c>
    </row>
    <row r="143" spans="1:25" ht="15" thickBot="1" x14ac:dyDescent="0.35">
      <c r="A143" s="4">
        <v>9</v>
      </c>
      <c r="B143" s="6">
        <v>0.61</v>
      </c>
      <c r="C143" s="6" t="s">
        <v>79</v>
      </c>
      <c r="D143" s="6" t="s">
        <v>79</v>
      </c>
      <c r="E143" s="6" t="s">
        <v>79</v>
      </c>
      <c r="F143" s="6" t="s">
        <v>79</v>
      </c>
      <c r="G143" s="7" t="s">
        <v>79</v>
      </c>
      <c r="H143" s="7" t="s">
        <v>79</v>
      </c>
      <c r="I143" s="7" t="s">
        <v>79</v>
      </c>
      <c r="J143" s="7" t="s">
        <v>79</v>
      </c>
      <c r="K143" s="7" t="s">
        <v>79</v>
      </c>
      <c r="L143" s="7" t="s">
        <v>79</v>
      </c>
      <c r="M143" s="7" t="s">
        <v>79</v>
      </c>
      <c r="N143" s="13" t="str">
        <f>IF(IF(ISNUMBER(B143),VLOOKUP($A143,List!$A$1:$B$29,2,FALSE))=FALSE,"",IF(ISNUMBER(B143),VLOOKUP($A143,List!$A$1:$B$29,2,FALSE)))</f>
        <v>I see my boat as status symbol</v>
      </c>
      <c r="O143" s="13" t="str">
        <f>IF(IF(ISNUMBER(C143),VLOOKUP($A143,List!$A$1:$B$29,2,FALSE))=FALSE,"",IF(ISNUMBER(C143),VLOOKUP($A143,List!$A$1:$B$29,2,FALSE)))</f>
        <v/>
      </c>
      <c r="P143" s="13" t="str">
        <f>IF(IF(ISNUMBER(D143),VLOOKUP($A143,List!$A$1:$B$29,2,FALSE))=FALSE,"",IF(ISNUMBER(D143),VLOOKUP($A143,List!$A$1:$B$29,2,FALSE)))</f>
        <v/>
      </c>
      <c r="Q143" s="13" t="str">
        <f>IF(IF(ISNUMBER(E143),VLOOKUP($A143,List!$A$1:$B$29,2,FALSE))=FALSE,"",IF(ISNUMBER(E143),VLOOKUP($A143,List!$A$1:$B$29,2,FALSE)))</f>
        <v/>
      </c>
      <c r="R143" s="13" t="str">
        <f>IF(IF(ISNUMBER(F143),VLOOKUP($A143,List!$A$1:$B$29,2,FALSE))=FALSE,"",IF(ISNUMBER(F143),VLOOKUP($A143,List!$A$1:$B$29,2,FALSE)))</f>
        <v/>
      </c>
      <c r="S143" s="13" t="str">
        <f>IF(IF(ISNUMBER(G143),VLOOKUP($A143,List!$A$1:$B$29,2,FALSE))=FALSE,"",IF(ISNUMBER(G143),VLOOKUP($A143,List!$A$1:$B$29,2,FALSE)))</f>
        <v/>
      </c>
      <c r="T143" s="13" t="str">
        <f>IF(IF(ISNUMBER(H143),VLOOKUP($A143,List!$A$1:$B$29,2,FALSE))=FALSE,"",IF(ISNUMBER(H143),VLOOKUP($A143,List!$A$1:$B$29,2,FALSE)))</f>
        <v/>
      </c>
      <c r="U143" s="13" t="str">
        <f>IF(IF(ISNUMBER(I143),VLOOKUP($A143,List!$A$1:$B$29,2,FALSE))=FALSE,"",IF(ISNUMBER(I143),VLOOKUP($A143,List!$A$1:$B$29,2,FALSE)))</f>
        <v/>
      </c>
      <c r="V143" s="13" t="str">
        <f>IF(IF(ISNUMBER(J143),VLOOKUP($A143,List!$A$1:$B$29,2,FALSE))=FALSE,"",IF(ISNUMBER(J143),VLOOKUP($A143,List!$A$1:$B$29,2,FALSE)))</f>
        <v/>
      </c>
      <c r="W143" s="13" t="str">
        <f>IF(IF(ISNUMBER(K143),VLOOKUP($A143,List!$A$1:$B$29,2,FALSE))=FALSE,"",IF(ISNUMBER(K143),VLOOKUP($A143,List!$A$1:$B$29,2,FALSE)))</f>
        <v/>
      </c>
      <c r="X143" s="13" t="str">
        <f>IF(IF(ISNUMBER(L143),VLOOKUP($A143,List!$A$1:$B$29,2,FALSE))=FALSE,"",IF(ISNUMBER(L143),VLOOKUP($A143,List!$A$1:$B$29,2,FALSE)))</f>
        <v/>
      </c>
      <c r="Y143" s="13" t="str">
        <f>IF(IF(ISNUMBER(M143),VLOOKUP($A143,List!$A$1:$B$29,2,FALSE))=FALSE,"",IF(ISNUMBER(M143),VLOOKUP($A143,List!$A$1:$B$29,2,FALSE)))</f>
        <v/>
      </c>
    </row>
    <row r="144" spans="1:25" ht="15" thickBot="1" x14ac:dyDescent="0.35">
      <c r="A144" s="4">
        <v>17</v>
      </c>
      <c r="B144" s="6">
        <v>0.61</v>
      </c>
      <c r="C144" s="6" t="s">
        <v>79</v>
      </c>
      <c r="D144" s="6" t="s">
        <v>79</v>
      </c>
      <c r="E144" s="6" t="s">
        <v>79</v>
      </c>
      <c r="F144" s="6" t="s">
        <v>79</v>
      </c>
      <c r="G144" s="7" t="s">
        <v>79</v>
      </c>
      <c r="H144" s="7" t="s">
        <v>79</v>
      </c>
      <c r="I144" s="7" t="s">
        <v>79</v>
      </c>
      <c r="J144" s="7" t="s">
        <v>79</v>
      </c>
      <c r="K144" s="7" t="s">
        <v>79</v>
      </c>
      <c r="L144" s="7" t="s">
        <v>79</v>
      </c>
      <c r="M144" s="7" t="s">
        <v>79</v>
      </c>
      <c r="N144" s="13" t="str">
        <f>IF(IF(ISNUMBER(B144),VLOOKUP($A144,List!$A$1:$B$29,2,FALSE))=FALSE,"",IF(ISNUMBER(B144),VLOOKUP($A144,List!$A$1:$B$29,2,FALSE)))</f>
        <v>I consider myself more knowledgeable about boating than the rest of my boating peers</v>
      </c>
      <c r="O144" s="13" t="str">
        <f>IF(IF(ISNUMBER(C144),VLOOKUP($A144,List!$A$1:$B$29,2,FALSE))=FALSE,"",IF(ISNUMBER(C144),VLOOKUP($A144,List!$A$1:$B$29,2,FALSE)))</f>
        <v/>
      </c>
      <c r="P144" s="13" t="str">
        <f>IF(IF(ISNUMBER(D144),VLOOKUP($A144,List!$A$1:$B$29,2,FALSE))=FALSE,"",IF(ISNUMBER(D144),VLOOKUP($A144,List!$A$1:$B$29,2,FALSE)))</f>
        <v/>
      </c>
      <c r="Q144" s="13" t="str">
        <f>IF(IF(ISNUMBER(E144),VLOOKUP($A144,List!$A$1:$B$29,2,FALSE))=FALSE,"",IF(ISNUMBER(E144),VLOOKUP($A144,List!$A$1:$B$29,2,FALSE)))</f>
        <v/>
      </c>
      <c r="R144" s="13" t="str">
        <f>IF(IF(ISNUMBER(F144),VLOOKUP($A144,List!$A$1:$B$29,2,FALSE))=FALSE,"",IF(ISNUMBER(F144),VLOOKUP($A144,List!$A$1:$B$29,2,FALSE)))</f>
        <v/>
      </c>
      <c r="S144" s="13" t="str">
        <f>IF(IF(ISNUMBER(G144),VLOOKUP($A144,List!$A$1:$B$29,2,FALSE))=FALSE,"",IF(ISNUMBER(G144),VLOOKUP($A144,List!$A$1:$B$29,2,FALSE)))</f>
        <v/>
      </c>
      <c r="T144" s="13" t="str">
        <f>IF(IF(ISNUMBER(H144),VLOOKUP($A144,List!$A$1:$B$29,2,FALSE))=FALSE,"",IF(ISNUMBER(H144),VLOOKUP($A144,List!$A$1:$B$29,2,FALSE)))</f>
        <v/>
      </c>
      <c r="U144" s="13" t="str">
        <f>IF(IF(ISNUMBER(I144),VLOOKUP($A144,List!$A$1:$B$29,2,FALSE))=FALSE,"",IF(ISNUMBER(I144),VLOOKUP($A144,List!$A$1:$B$29,2,FALSE)))</f>
        <v/>
      </c>
      <c r="V144" s="13" t="str">
        <f>IF(IF(ISNUMBER(J144),VLOOKUP($A144,List!$A$1:$B$29,2,FALSE))=FALSE,"",IF(ISNUMBER(J144),VLOOKUP($A144,List!$A$1:$B$29,2,FALSE)))</f>
        <v/>
      </c>
      <c r="W144" s="13" t="str">
        <f>IF(IF(ISNUMBER(K144),VLOOKUP($A144,List!$A$1:$B$29,2,FALSE))=FALSE,"",IF(ISNUMBER(K144),VLOOKUP($A144,List!$A$1:$B$29,2,FALSE)))</f>
        <v/>
      </c>
      <c r="X144" s="13" t="str">
        <f>IF(IF(ISNUMBER(L144),VLOOKUP($A144,List!$A$1:$B$29,2,FALSE))=FALSE,"",IF(ISNUMBER(L144),VLOOKUP($A144,List!$A$1:$B$29,2,FALSE)))</f>
        <v/>
      </c>
      <c r="Y144" s="13" t="str">
        <f>IF(IF(ISNUMBER(M144),VLOOKUP($A144,List!$A$1:$B$29,2,FALSE))=FALSE,"",IF(ISNUMBER(M144),VLOOKUP($A144,List!$A$1:$B$29,2,FALSE)))</f>
        <v/>
      </c>
    </row>
    <row r="145" spans="1:25" ht="15" thickBot="1" x14ac:dyDescent="0.35">
      <c r="A145" s="4">
        <v>22</v>
      </c>
      <c r="B145" s="6">
        <v>0.59</v>
      </c>
      <c r="C145" s="5" t="s">
        <v>79</v>
      </c>
      <c r="D145" s="6" t="s">
        <v>79</v>
      </c>
      <c r="E145" s="6" t="s">
        <v>79</v>
      </c>
      <c r="F145" s="6" t="s">
        <v>79</v>
      </c>
      <c r="G145" s="7" t="s">
        <v>79</v>
      </c>
      <c r="H145" s="7" t="s">
        <v>79</v>
      </c>
      <c r="I145" s="7" t="s">
        <v>79</v>
      </c>
      <c r="J145" s="7" t="s">
        <v>79</v>
      </c>
      <c r="K145" s="7" t="s">
        <v>79</v>
      </c>
      <c r="L145" s="7" t="s">
        <v>79</v>
      </c>
      <c r="M145" s="7" t="s">
        <v>79</v>
      </c>
      <c r="N145" s="13" t="str">
        <f>IF(IF(ISNUMBER(B145),VLOOKUP($A145,List!$A$1:$B$29,2,FALSE))=FALSE,"",IF(ISNUMBER(B145),VLOOKUP($A145,List!$A$1:$B$29,2,FALSE)))</f>
        <v>Boating helps me stay active</v>
      </c>
      <c r="O145" s="13" t="str">
        <f>IF(IF(ISNUMBER(C145),VLOOKUP($A145,List!$A$1:$B$29,2,FALSE))=FALSE,"",IF(ISNUMBER(C145),VLOOKUP($A145,List!$A$1:$B$29,2,FALSE)))</f>
        <v/>
      </c>
      <c r="P145" s="13" t="str">
        <f>IF(IF(ISNUMBER(D145),VLOOKUP($A145,List!$A$1:$B$29,2,FALSE))=FALSE,"",IF(ISNUMBER(D145),VLOOKUP($A145,List!$A$1:$B$29,2,FALSE)))</f>
        <v/>
      </c>
      <c r="Q145" s="13" t="str">
        <f>IF(IF(ISNUMBER(E145),VLOOKUP($A145,List!$A$1:$B$29,2,FALSE))=FALSE,"",IF(ISNUMBER(E145),VLOOKUP($A145,List!$A$1:$B$29,2,FALSE)))</f>
        <v/>
      </c>
      <c r="R145" s="13" t="str">
        <f>IF(IF(ISNUMBER(F145),VLOOKUP($A145,List!$A$1:$B$29,2,FALSE))=FALSE,"",IF(ISNUMBER(F145),VLOOKUP($A145,List!$A$1:$B$29,2,FALSE)))</f>
        <v/>
      </c>
      <c r="S145" s="13" t="str">
        <f>IF(IF(ISNUMBER(G145),VLOOKUP($A145,List!$A$1:$B$29,2,FALSE))=FALSE,"",IF(ISNUMBER(G145),VLOOKUP($A145,List!$A$1:$B$29,2,FALSE)))</f>
        <v/>
      </c>
      <c r="T145" s="13" t="str">
        <f>IF(IF(ISNUMBER(H145),VLOOKUP($A145,List!$A$1:$B$29,2,FALSE))=FALSE,"",IF(ISNUMBER(H145),VLOOKUP($A145,List!$A$1:$B$29,2,FALSE)))</f>
        <v/>
      </c>
      <c r="U145" s="13" t="str">
        <f>IF(IF(ISNUMBER(I145),VLOOKUP($A145,List!$A$1:$B$29,2,FALSE))=FALSE,"",IF(ISNUMBER(I145),VLOOKUP($A145,List!$A$1:$B$29,2,FALSE)))</f>
        <v/>
      </c>
      <c r="V145" s="13" t="str">
        <f>IF(IF(ISNUMBER(J145),VLOOKUP($A145,List!$A$1:$B$29,2,FALSE))=FALSE,"",IF(ISNUMBER(J145),VLOOKUP($A145,List!$A$1:$B$29,2,FALSE)))</f>
        <v/>
      </c>
      <c r="W145" s="13" t="str">
        <f>IF(IF(ISNUMBER(K145),VLOOKUP($A145,List!$A$1:$B$29,2,FALSE))=FALSE,"",IF(ISNUMBER(K145),VLOOKUP($A145,List!$A$1:$B$29,2,FALSE)))</f>
        <v/>
      </c>
      <c r="X145" s="13" t="str">
        <f>IF(IF(ISNUMBER(L145),VLOOKUP($A145,List!$A$1:$B$29,2,FALSE))=FALSE,"",IF(ISNUMBER(L145),VLOOKUP($A145,List!$A$1:$B$29,2,FALSE)))</f>
        <v/>
      </c>
      <c r="Y145" s="13" t="str">
        <f>IF(IF(ISNUMBER(M145),VLOOKUP($A145,List!$A$1:$B$29,2,FALSE))=FALSE,"",IF(ISNUMBER(M145),VLOOKUP($A145,List!$A$1:$B$29,2,FALSE)))</f>
        <v/>
      </c>
    </row>
    <row r="146" spans="1:25" ht="15" thickBot="1" x14ac:dyDescent="0.35">
      <c r="A146" s="4">
        <v>23</v>
      </c>
      <c r="B146" s="6">
        <v>0.59</v>
      </c>
      <c r="C146" s="6" t="s">
        <v>79</v>
      </c>
      <c r="D146" s="6" t="s">
        <v>79</v>
      </c>
      <c r="E146" s="5" t="s">
        <v>79</v>
      </c>
      <c r="F146" s="6" t="s">
        <v>79</v>
      </c>
      <c r="G146" s="7" t="s">
        <v>79</v>
      </c>
      <c r="H146" s="7" t="s">
        <v>79</v>
      </c>
      <c r="I146" s="7" t="s">
        <v>79</v>
      </c>
      <c r="J146" s="7" t="s">
        <v>79</v>
      </c>
      <c r="K146" s="7" t="s">
        <v>79</v>
      </c>
      <c r="L146" s="7" t="s">
        <v>79</v>
      </c>
      <c r="M146" s="7" t="s">
        <v>79</v>
      </c>
      <c r="N146" s="13" t="str">
        <f>IF(IF(ISNUMBER(B146),VLOOKUP($A146,List!$A$1:$B$29,2,FALSE))=FALSE,"",IF(ISNUMBER(B146),VLOOKUP($A146,List!$A$1:$B$29,2,FALSE)))</f>
        <v>Boating allows me to excel in the sports that I am passionate about</v>
      </c>
      <c r="O146" s="13" t="str">
        <f>IF(IF(ISNUMBER(C146),VLOOKUP($A146,List!$A$1:$B$29,2,FALSE))=FALSE,"",IF(ISNUMBER(C146),VLOOKUP($A146,List!$A$1:$B$29,2,FALSE)))</f>
        <v/>
      </c>
      <c r="P146" s="13" t="str">
        <f>IF(IF(ISNUMBER(D146),VLOOKUP($A146,List!$A$1:$B$29,2,FALSE))=FALSE,"",IF(ISNUMBER(D146),VLOOKUP($A146,List!$A$1:$B$29,2,FALSE)))</f>
        <v/>
      </c>
      <c r="Q146" s="14" t="str">
        <f>IF(IF(ISNUMBER(E146),VLOOKUP($A146,List!$A$1:$B$29,2,FALSE))=FALSE,"",IF(ISNUMBER(E146),VLOOKUP($A146,List!$A$1:$B$29,2,FALSE)))</f>
        <v/>
      </c>
      <c r="R146" s="13" t="str">
        <f>IF(IF(ISNUMBER(F146),VLOOKUP($A146,List!$A$1:$B$29,2,FALSE))=FALSE,"",IF(ISNUMBER(F146),VLOOKUP($A146,List!$A$1:$B$29,2,FALSE)))</f>
        <v/>
      </c>
      <c r="S146" s="13" t="str">
        <f>IF(IF(ISNUMBER(G146),VLOOKUP($A146,List!$A$1:$B$29,2,FALSE))=FALSE,"",IF(ISNUMBER(G146),VLOOKUP($A146,List!$A$1:$B$29,2,FALSE)))</f>
        <v/>
      </c>
      <c r="T146" s="13" t="str">
        <f>IF(IF(ISNUMBER(H146),VLOOKUP($A146,List!$A$1:$B$29,2,FALSE))=FALSE,"",IF(ISNUMBER(H146),VLOOKUP($A146,List!$A$1:$B$29,2,FALSE)))</f>
        <v/>
      </c>
      <c r="U146" s="13" t="str">
        <f>IF(IF(ISNUMBER(I146),VLOOKUP($A146,List!$A$1:$B$29,2,FALSE))=FALSE,"",IF(ISNUMBER(I146),VLOOKUP($A146,List!$A$1:$B$29,2,FALSE)))</f>
        <v/>
      </c>
      <c r="V146" s="13" t="str">
        <f>IF(IF(ISNUMBER(J146),VLOOKUP($A146,List!$A$1:$B$29,2,FALSE))=FALSE,"",IF(ISNUMBER(J146),VLOOKUP($A146,List!$A$1:$B$29,2,FALSE)))</f>
        <v/>
      </c>
      <c r="W146" s="13" t="str">
        <f>IF(IF(ISNUMBER(K146),VLOOKUP($A146,List!$A$1:$B$29,2,FALSE))=FALSE,"",IF(ISNUMBER(K146),VLOOKUP($A146,List!$A$1:$B$29,2,FALSE)))</f>
        <v/>
      </c>
      <c r="X146" s="13" t="str">
        <f>IF(IF(ISNUMBER(L146),VLOOKUP($A146,List!$A$1:$B$29,2,FALSE))=FALSE,"",IF(ISNUMBER(L146),VLOOKUP($A146,List!$A$1:$B$29,2,FALSE)))</f>
        <v/>
      </c>
      <c r="Y146" s="13" t="str">
        <f>IF(IF(ISNUMBER(M146),VLOOKUP($A146,List!$A$1:$B$29,2,FALSE))=FALSE,"",IF(ISNUMBER(M146),VLOOKUP($A146,List!$A$1:$B$29,2,FALSE)))</f>
        <v/>
      </c>
    </row>
    <row r="147" spans="1:25" ht="15" thickBot="1" x14ac:dyDescent="0.35">
      <c r="A147" s="4">
        <v>5</v>
      </c>
      <c r="B147" s="6">
        <v>0.56999999999999995</v>
      </c>
      <c r="C147" s="6" t="s">
        <v>79</v>
      </c>
      <c r="D147" s="6" t="s">
        <v>79</v>
      </c>
      <c r="E147" s="5" t="s">
        <v>79</v>
      </c>
      <c r="F147" s="6" t="s">
        <v>79</v>
      </c>
      <c r="G147" s="7" t="s">
        <v>79</v>
      </c>
      <c r="H147" s="7" t="s">
        <v>79</v>
      </c>
      <c r="I147" s="7" t="s">
        <v>79</v>
      </c>
      <c r="J147" s="7" t="s">
        <v>79</v>
      </c>
      <c r="K147" s="7" t="s">
        <v>79</v>
      </c>
      <c r="L147" s="7" t="s">
        <v>79</v>
      </c>
      <c r="M147" s="7" t="s">
        <v>79</v>
      </c>
      <c r="N147" s="13" t="str">
        <f>IF(IF(ISNUMBER(B147),VLOOKUP($A147,List!$A$1:$B$29,2,FALSE))=FALSE,"",IF(ISNUMBER(B147),VLOOKUP($A147,List!$A$1:$B$29,2,FALSE)))</f>
        <v>I am willing to pay a premium for a brand with a reputation for high quality</v>
      </c>
      <c r="O147" s="13" t="str">
        <f>IF(IF(ISNUMBER(C147),VLOOKUP($A147,List!$A$1:$B$29,2,FALSE))=FALSE,"",IF(ISNUMBER(C147),VLOOKUP($A147,List!$A$1:$B$29,2,FALSE)))</f>
        <v/>
      </c>
      <c r="P147" s="13" t="str">
        <f>IF(IF(ISNUMBER(D147),VLOOKUP($A147,List!$A$1:$B$29,2,FALSE))=FALSE,"",IF(ISNUMBER(D147),VLOOKUP($A147,List!$A$1:$B$29,2,FALSE)))</f>
        <v/>
      </c>
      <c r="Q147" s="14" t="str">
        <f>IF(IF(ISNUMBER(E147),VLOOKUP($A147,List!$A$1:$B$29,2,FALSE))=FALSE,"",IF(ISNUMBER(E147),VLOOKUP($A147,List!$A$1:$B$29,2,FALSE)))</f>
        <v/>
      </c>
      <c r="R147" s="13" t="str">
        <f>IF(IF(ISNUMBER(F147),VLOOKUP($A147,List!$A$1:$B$29,2,FALSE))=FALSE,"",IF(ISNUMBER(F147),VLOOKUP($A147,List!$A$1:$B$29,2,FALSE)))</f>
        <v/>
      </c>
      <c r="S147" s="13" t="str">
        <f>IF(IF(ISNUMBER(G147),VLOOKUP($A147,List!$A$1:$B$29,2,FALSE))=FALSE,"",IF(ISNUMBER(G147),VLOOKUP($A147,List!$A$1:$B$29,2,FALSE)))</f>
        <v/>
      </c>
      <c r="T147" s="13" t="str">
        <f>IF(IF(ISNUMBER(H147),VLOOKUP($A147,List!$A$1:$B$29,2,FALSE))=FALSE,"",IF(ISNUMBER(H147),VLOOKUP($A147,List!$A$1:$B$29,2,FALSE)))</f>
        <v/>
      </c>
      <c r="U147" s="13" t="str">
        <f>IF(IF(ISNUMBER(I147),VLOOKUP($A147,List!$A$1:$B$29,2,FALSE))=FALSE,"",IF(ISNUMBER(I147),VLOOKUP($A147,List!$A$1:$B$29,2,FALSE)))</f>
        <v/>
      </c>
      <c r="V147" s="13" t="str">
        <f>IF(IF(ISNUMBER(J147),VLOOKUP($A147,List!$A$1:$B$29,2,FALSE))=FALSE,"",IF(ISNUMBER(J147),VLOOKUP($A147,List!$A$1:$B$29,2,FALSE)))</f>
        <v/>
      </c>
      <c r="W147" s="13" t="str">
        <f>IF(IF(ISNUMBER(K147),VLOOKUP($A147,List!$A$1:$B$29,2,FALSE))=FALSE,"",IF(ISNUMBER(K147),VLOOKUP($A147,List!$A$1:$B$29,2,FALSE)))</f>
        <v/>
      </c>
      <c r="X147" s="13" t="str">
        <f>IF(IF(ISNUMBER(L147),VLOOKUP($A147,List!$A$1:$B$29,2,FALSE))=FALSE,"",IF(ISNUMBER(L147),VLOOKUP($A147,List!$A$1:$B$29,2,FALSE)))</f>
        <v/>
      </c>
      <c r="Y147" s="13" t="str">
        <f>IF(IF(ISNUMBER(M147),VLOOKUP($A147,List!$A$1:$B$29,2,FALSE))=FALSE,"",IF(ISNUMBER(M147),VLOOKUP($A147,List!$A$1:$B$29,2,FALSE)))</f>
        <v/>
      </c>
    </row>
    <row r="148" spans="1:25" ht="15" thickBot="1" x14ac:dyDescent="0.35">
      <c r="A148" s="4">
        <v>18</v>
      </c>
      <c r="B148" s="6">
        <v>0.55000000000000004</v>
      </c>
      <c r="C148" s="6" t="s">
        <v>79</v>
      </c>
      <c r="D148" s="6" t="s">
        <v>79</v>
      </c>
      <c r="E148" s="6" t="s">
        <v>79</v>
      </c>
      <c r="F148" s="5" t="s">
        <v>79</v>
      </c>
      <c r="G148" s="7" t="s">
        <v>79</v>
      </c>
      <c r="H148" s="7" t="s">
        <v>79</v>
      </c>
      <c r="I148" s="7" t="s">
        <v>79</v>
      </c>
      <c r="J148" s="7" t="s">
        <v>79</v>
      </c>
      <c r="K148" s="7" t="s">
        <v>79</v>
      </c>
      <c r="L148" s="7" t="s">
        <v>79</v>
      </c>
      <c r="M148" s="7" t="s">
        <v>79</v>
      </c>
      <c r="N148" s="13" t="str">
        <f>IF(IF(ISNUMBER(B148),VLOOKUP($A148,List!$A$1:$B$29,2,FALSE))=FALSE,"",IF(ISNUMBER(B148),VLOOKUP($A148,List!$A$1:$B$29,2,FALSE)))</f>
        <v>Boating gives me a feeling of adventure</v>
      </c>
      <c r="O148" s="13" t="str">
        <f>IF(IF(ISNUMBER(C148),VLOOKUP($A148,List!$A$1:$B$29,2,FALSE))=FALSE,"",IF(ISNUMBER(C148),VLOOKUP($A148,List!$A$1:$B$29,2,FALSE)))</f>
        <v/>
      </c>
      <c r="P148" s="13" t="str">
        <f>IF(IF(ISNUMBER(D148),VLOOKUP($A148,List!$A$1:$B$29,2,FALSE))=FALSE,"",IF(ISNUMBER(D148),VLOOKUP($A148,List!$A$1:$B$29,2,FALSE)))</f>
        <v/>
      </c>
      <c r="Q148" s="13" t="str">
        <f>IF(IF(ISNUMBER(E148),VLOOKUP($A148,List!$A$1:$B$29,2,FALSE))=FALSE,"",IF(ISNUMBER(E148),VLOOKUP($A148,List!$A$1:$B$29,2,FALSE)))</f>
        <v/>
      </c>
      <c r="R148" s="13" t="str">
        <f>IF(IF(ISNUMBER(F148),VLOOKUP($A148,List!$A$1:$B$29,2,FALSE))=FALSE,"",IF(ISNUMBER(F148),VLOOKUP($A148,List!$A$1:$B$29,2,FALSE)))</f>
        <v/>
      </c>
      <c r="S148" s="13" t="str">
        <f>IF(IF(ISNUMBER(G148),VLOOKUP($A148,List!$A$1:$B$29,2,FALSE))=FALSE,"",IF(ISNUMBER(G148),VLOOKUP($A148,List!$A$1:$B$29,2,FALSE)))</f>
        <v/>
      </c>
      <c r="T148" s="13" t="str">
        <f>IF(IF(ISNUMBER(H148),VLOOKUP($A148,List!$A$1:$B$29,2,FALSE))=FALSE,"",IF(ISNUMBER(H148),VLOOKUP($A148,List!$A$1:$B$29,2,FALSE)))</f>
        <v/>
      </c>
      <c r="U148" s="13" t="str">
        <f>IF(IF(ISNUMBER(I148),VLOOKUP($A148,List!$A$1:$B$29,2,FALSE))=FALSE,"",IF(ISNUMBER(I148),VLOOKUP($A148,List!$A$1:$B$29,2,FALSE)))</f>
        <v/>
      </c>
      <c r="V148" s="13" t="str">
        <f>IF(IF(ISNUMBER(J148),VLOOKUP($A148,List!$A$1:$B$29,2,FALSE))=FALSE,"",IF(ISNUMBER(J148),VLOOKUP($A148,List!$A$1:$B$29,2,FALSE)))</f>
        <v/>
      </c>
      <c r="W148" s="13" t="str">
        <f>IF(IF(ISNUMBER(K148),VLOOKUP($A148,List!$A$1:$B$29,2,FALSE))=FALSE,"",IF(ISNUMBER(K148),VLOOKUP($A148,List!$A$1:$B$29,2,FALSE)))</f>
        <v/>
      </c>
      <c r="X148" s="13" t="str">
        <f>IF(IF(ISNUMBER(L148),VLOOKUP($A148,List!$A$1:$B$29,2,FALSE))=FALSE,"",IF(ISNUMBER(L148),VLOOKUP($A148,List!$A$1:$B$29,2,FALSE)))</f>
        <v/>
      </c>
      <c r="Y148" s="13" t="str">
        <f>IF(IF(ISNUMBER(M148),VLOOKUP($A148,List!$A$1:$B$29,2,FALSE))=FALSE,"",IF(ISNUMBER(M148),VLOOKUP($A148,List!$A$1:$B$29,2,FALSE)))</f>
        <v/>
      </c>
    </row>
    <row r="149" spans="1:25" ht="15" thickBot="1" x14ac:dyDescent="0.35">
      <c r="A149" s="4">
        <v>24</v>
      </c>
      <c r="B149" s="6" t="s">
        <v>79</v>
      </c>
      <c r="C149" s="6" t="s">
        <v>79</v>
      </c>
      <c r="D149" s="6" t="s">
        <v>79</v>
      </c>
      <c r="E149" s="6" t="s">
        <v>79</v>
      </c>
      <c r="F149" s="6" t="s">
        <v>79</v>
      </c>
      <c r="G149" s="7" t="s">
        <v>79</v>
      </c>
      <c r="H149" s="7" t="s">
        <v>79</v>
      </c>
      <c r="I149" s="7" t="s">
        <v>79</v>
      </c>
      <c r="J149" s="7" t="s">
        <v>79</v>
      </c>
      <c r="K149" s="7" t="s">
        <v>79</v>
      </c>
      <c r="L149" s="7" t="s">
        <v>79</v>
      </c>
      <c r="M149" s="8" t="s">
        <v>79</v>
      </c>
      <c r="N149" s="13" t="str">
        <f>IF(IF(ISNUMBER(B149),VLOOKUP($A149,List!$A$1:$B$29,2,FALSE))=FALSE,"",IF(ISNUMBER(B149),VLOOKUP($A149,List!$A$1:$B$29,2,FALSE)))</f>
        <v/>
      </c>
      <c r="O149" s="13" t="str">
        <f>IF(IF(ISNUMBER(C149),VLOOKUP($A149,List!$A$1:$B$29,2,FALSE))=FALSE,"",IF(ISNUMBER(C149),VLOOKUP($A149,List!$A$1:$B$29,2,FALSE)))</f>
        <v/>
      </c>
      <c r="P149" s="13" t="str">
        <f>IF(IF(ISNUMBER(D149),VLOOKUP($A149,List!$A$1:$B$29,2,FALSE))=FALSE,"",IF(ISNUMBER(D149),VLOOKUP($A149,List!$A$1:$B$29,2,FALSE)))</f>
        <v/>
      </c>
      <c r="Q149" s="13" t="str">
        <f>IF(IF(ISNUMBER(E149),VLOOKUP($A149,List!$A$1:$B$29,2,FALSE))=FALSE,"",IF(ISNUMBER(E149),VLOOKUP($A149,List!$A$1:$B$29,2,FALSE)))</f>
        <v/>
      </c>
      <c r="R149" s="13" t="str">
        <f>IF(IF(ISNUMBER(F149),VLOOKUP($A149,List!$A$1:$B$29,2,FALSE))=FALSE,"",IF(ISNUMBER(F149),VLOOKUP($A149,List!$A$1:$B$29,2,FALSE)))</f>
        <v/>
      </c>
      <c r="S149" s="13" t="str">
        <f>IF(IF(ISNUMBER(G149),VLOOKUP($A149,List!$A$1:$B$29,2,FALSE))=FALSE,"",IF(ISNUMBER(G149),VLOOKUP($A149,List!$A$1:$B$29,2,FALSE)))</f>
        <v/>
      </c>
      <c r="T149" s="13" t="str">
        <f>IF(IF(ISNUMBER(H149),VLOOKUP($A149,List!$A$1:$B$29,2,FALSE))=FALSE,"",IF(ISNUMBER(H149),VLOOKUP($A149,List!$A$1:$B$29,2,FALSE)))</f>
        <v/>
      </c>
      <c r="U149" s="13" t="str">
        <f>IF(IF(ISNUMBER(I149),VLOOKUP($A149,List!$A$1:$B$29,2,FALSE))=FALSE,"",IF(ISNUMBER(I149),VLOOKUP($A149,List!$A$1:$B$29,2,FALSE)))</f>
        <v/>
      </c>
      <c r="V149" s="13" t="str">
        <f>IF(IF(ISNUMBER(J149),VLOOKUP($A149,List!$A$1:$B$29,2,FALSE))=FALSE,"",IF(ISNUMBER(J149),VLOOKUP($A149,List!$A$1:$B$29,2,FALSE)))</f>
        <v/>
      </c>
      <c r="W149" s="13" t="str">
        <f>IF(IF(ISNUMBER(K149),VLOOKUP($A149,List!$A$1:$B$29,2,FALSE))=FALSE,"",IF(ISNUMBER(K149),VLOOKUP($A149,List!$A$1:$B$29,2,FALSE)))</f>
        <v/>
      </c>
      <c r="X149" s="13" t="str">
        <f>IF(IF(ISNUMBER(L149),VLOOKUP($A149,List!$A$1:$B$29,2,FALSE))=FALSE,"",IF(ISNUMBER(L149),VLOOKUP($A149,List!$A$1:$B$29,2,FALSE)))</f>
        <v/>
      </c>
      <c r="Y149" s="13" t="str">
        <f>IF(IF(ISNUMBER(M149),VLOOKUP($A149,List!$A$1:$B$29,2,FALSE))=FALSE,"",IF(ISNUMBER(M149),VLOOKUP($A149,List!$A$1:$B$29,2,FALSE)))</f>
        <v/>
      </c>
    </row>
    <row r="150" spans="1:25" ht="15" thickBot="1" x14ac:dyDescent="0.35">
      <c r="A150" s="4">
        <v>21</v>
      </c>
      <c r="B150" s="6" t="s">
        <v>79</v>
      </c>
      <c r="C150" s="6">
        <v>0.56000000000000005</v>
      </c>
      <c r="D150" s="6" t="s">
        <v>79</v>
      </c>
      <c r="E150" s="6" t="s">
        <v>79</v>
      </c>
      <c r="F150" s="6" t="s">
        <v>79</v>
      </c>
      <c r="G150" s="8" t="s">
        <v>79</v>
      </c>
      <c r="H150" s="7" t="s">
        <v>79</v>
      </c>
      <c r="I150" s="7" t="s">
        <v>79</v>
      </c>
      <c r="J150" s="7" t="s">
        <v>79</v>
      </c>
      <c r="K150" s="7" t="s">
        <v>79</v>
      </c>
      <c r="L150" s="7" t="s">
        <v>79</v>
      </c>
      <c r="M150" s="7" t="s">
        <v>79</v>
      </c>
      <c r="N150" s="13" t="str">
        <f>IF(IF(ISNUMBER(B150),VLOOKUP($A150,List!$A$1:$B$29,2,FALSE))=FALSE,"",IF(ISNUMBER(B150),VLOOKUP($A150,List!$A$1:$B$29,2,FALSE)))</f>
        <v/>
      </c>
      <c r="O150" s="13" t="str">
        <f>IF(IF(ISNUMBER(C150),VLOOKUP($A150,List!$A$1:$B$29,2,FALSE))=FALSE,"",IF(ISNUMBER(C150),VLOOKUP($A150,List!$A$1:$B$29,2,FALSE)))</f>
        <v>Boating helps me escape from everyday life and relax</v>
      </c>
      <c r="P150" s="13" t="str">
        <f>IF(IF(ISNUMBER(D150),VLOOKUP($A150,List!$A$1:$B$29,2,FALSE))=FALSE,"",IF(ISNUMBER(D150),VLOOKUP($A150,List!$A$1:$B$29,2,FALSE)))</f>
        <v/>
      </c>
      <c r="Q150" s="13" t="str">
        <f>IF(IF(ISNUMBER(E150),VLOOKUP($A150,List!$A$1:$B$29,2,FALSE))=FALSE,"",IF(ISNUMBER(E150),VLOOKUP($A150,List!$A$1:$B$29,2,FALSE)))</f>
        <v/>
      </c>
      <c r="R150" s="13" t="str">
        <f>IF(IF(ISNUMBER(F150),VLOOKUP($A150,List!$A$1:$B$29,2,FALSE))=FALSE,"",IF(ISNUMBER(F150),VLOOKUP($A150,List!$A$1:$B$29,2,FALSE)))</f>
        <v/>
      </c>
      <c r="S150" s="13" t="str">
        <f>IF(IF(ISNUMBER(G150),VLOOKUP($A150,List!$A$1:$B$29,2,FALSE))=FALSE,"",IF(ISNUMBER(G150),VLOOKUP($A150,List!$A$1:$B$29,2,FALSE)))</f>
        <v/>
      </c>
      <c r="T150" s="13" t="str">
        <f>IF(IF(ISNUMBER(H150),VLOOKUP($A150,List!$A$1:$B$29,2,FALSE))=FALSE,"",IF(ISNUMBER(H150),VLOOKUP($A150,List!$A$1:$B$29,2,FALSE)))</f>
        <v/>
      </c>
      <c r="U150" s="13" t="str">
        <f>IF(IF(ISNUMBER(I150),VLOOKUP($A150,List!$A$1:$B$29,2,FALSE))=FALSE,"",IF(ISNUMBER(I150),VLOOKUP($A150,List!$A$1:$B$29,2,FALSE)))</f>
        <v/>
      </c>
      <c r="V150" s="13" t="str">
        <f>IF(IF(ISNUMBER(J150),VLOOKUP($A150,List!$A$1:$B$29,2,FALSE))=FALSE,"",IF(ISNUMBER(J150),VLOOKUP($A150,List!$A$1:$B$29,2,FALSE)))</f>
        <v/>
      </c>
      <c r="W150" s="13" t="str">
        <f>IF(IF(ISNUMBER(K150),VLOOKUP($A150,List!$A$1:$B$29,2,FALSE))=FALSE,"",IF(ISNUMBER(K150),VLOOKUP($A150,List!$A$1:$B$29,2,FALSE)))</f>
        <v/>
      </c>
      <c r="X150" s="13" t="str">
        <f>IF(IF(ISNUMBER(L150),VLOOKUP($A150,List!$A$1:$B$29,2,FALSE))=FALSE,"",IF(ISNUMBER(L150),VLOOKUP($A150,List!$A$1:$B$29,2,FALSE)))</f>
        <v/>
      </c>
      <c r="Y150" s="13" t="str">
        <f>IF(IF(ISNUMBER(M150),VLOOKUP($A150,List!$A$1:$B$29,2,FALSE))=FALSE,"",IF(ISNUMBER(M150),VLOOKUP($A150,List!$A$1:$B$29,2,FALSE)))</f>
        <v/>
      </c>
    </row>
    <row r="151" spans="1:25" ht="15" thickBot="1" x14ac:dyDescent="0.35">
      <c r="A151" s="4">
        <v>19</v>
      </c>
      <c r="B151" s="6" t="s">
        <v>79</v>
      </c>
      <c r="C151" s="6">
        <v>0.56000000000000005</v>
      </c>
      <c r="D151" s="5" t="s">
        <v>79</v>
      </c>
      <c r="E151" s="6" t="s">
        <v>79</v>
      </c>
      <c r="F151" s="6" t="s">
        <v>79</v>
      </c>
      <c r="G151" s="7" t="s">
        <v>79</v>
      </c>
      <c r="H151" s="7" t="s">
        <v>79</v>
      </c>
      <c r="I151" s="7" t="s">
        <v>79</v>
      </c>
      <c r="J151" s="7" t="s">
        <v>79</v>
      </c>
      <c r="K151" s="7" t="s">
        <v>79</v>
      </c>
      <c r="L151" s="7" t="s">
        <v>79</v>
      </c>
      <c r="M151" s="7" t="s">
        <v>79</v>
      </c>
      <c r="N151" s="13" t="str">
        <f>IF(IF(ISNUMBER(B151),VLOOKUP($A151,List!$A$1:$B$29,2,FALSE))=FALSE,"",IF(ISNUMBER(B151),VLOOKUP($A151,List!$A$1:$B$29,2,FALSE)))</f>
        <v/>
      </c>
      <c r="O151" s="13" t="str">
        <f>IF(IF(ISNUMBER(C151),VLOOKUP($A151,List!$A$1:$B$29,2,FALSE))=FALSE,"",IF(ISNUMBER(C151),VLOOKUP($A151,List!$A$1:$B$29,2,FALSE)))</f>
        <v>Boating allows me to experience nature</v>
      </c>
      <c r="P151" s="13" t="str">
        <f>IF(IF(ISNUMBER(D151),VLOOKUP($A151,List!$A$1:$B$29,2,FALSE))=FALSE,"",IF(ISNUMBER(D151),VLOOKUP($A151,List!$A$1:$B$29,2,FALSE)))</f>
        <v/>
      </c>
      <c r="Q151" s="13" t="str">
        <f>IF(IF(ISNUMBER(E151),VLOOKUP($A151,List!$A$1:$B$29,2,FALSE))=FALSE,"",IF(ISNUMBER(E151),VLOOKUP($A151,List!$A$1:$B$29,2,FALSE)))</f>
        <v/>
      </c>
      <c r="R151" s="13" t="str">
        <f>IF(IF(ISNUMBER(F151),VLOOKUP($A151,List!$A$1:$B$29,2,FALSE))=FALSE,"",IF(ISNUMBER(F151),VLOOKUP($A151,List!$A$1:$B$29,2,FALSE)))</f>
        <v/>
      </c>
      <c r="S151" s="13" t="str">
        <f>IF(IF(ISNUMBER(G151),VLOOKUP($A151,List!$A$1:$B$29,2,FALSE))=FALSE,"",IF(ISNUMBER(G151),VLOOKUP($A151,List!$A$1:$B$29,2,FALSE)))</f>
        <v/>
      </c>
      <c r="T151" s="13" t="str">
        <f>IF(IF(ISNUMBER(H151),VLOOKUP($A151,List!$A$1:$B$29,2,FALSE))=FALSE,"",IF(ISNUMBER(H151),VLOOKUP($A151,List!$A$1:$B$29,2,FALSE)))</f>
        <v/>
      </c>
      <c r="U151" s="13" t="str">
        <f>IF(IF(ISNUMBER(I151),VLOOKUP($A151,List!$A$1:$B$29,2,FALSE))=FALSE,"",IF(ISNUMBER(I151),VLOOKUP($A151,List!$A$1:$B$29,2,FALSE)))</f>
        <v/>
      </c>
      <c r="V151" s="13" t="str">
        <f>IF(IF(ISNUMBER(J151),VLOOKUP($A151,List!$A$1:$B$29,2,FALSE))=FALSE,"",IF(ISNUMBER(J151),VLOOKUP($A151,List!$A$1:$B$29,2,FALSE)))</f>
        <v/>
      </c>
      <c r="W151" s="13" t="str">
        <f>IF(IF(ISNUMBER(K151),VLOOKUP($A151,List!$A$1:$B$29,2,FALSE))=FALSE,"",IF(ISNUMBER(K151),VLOOKUP($A151,List!$A$1:$B$29,2,FALSE)))</f>
        <v/>
      </c>
      <c r="X151" s="13" t="str">
        <f>IF(IF(ISNUMBER(L151),VLOOKUP($A151,List!$A$1:$B$29,2,FALSE))=FALSE,"",IF(ISNUMBER(L151),VLOOKUP($A151,List!$A$1:$B$29,2,FALSE)))</f>
        <v/>
      </c>
      <c r="Y151" s="13" t="str">
        <f>IF(IF(ISNUMBER(M151),VLOOKUP($A151,List!$A$1:$B$29,2,FALSE))=FALSE,"",IF(ISNUMBER(M151),VLOOKUP($A151,List!$A$1:$B$29,2,FALSE)))</f>
        <v/>
      </c>
    </row>
    <row r="152" spans="1:25" ht="15" thickBot="1" x14ac:dyDescent="0.35">
      <c r="A152" s="4">
        <v>29</v>
      </c>
      <c r="B152" s="6" t="s">
        <v>79</v>
      </c>
      <c r="C152" s="6" t="s">
        <v>79</v>
      </c>
      <c r="D152" s="5" t="s">
        <v>79</v>
      </c>
      <c r="E152" s="6" t="s">
        <v>79</v>
      </c>
      <c r="F152" s="6" t="s">
        <v>79</v>
      </c>
      <c r="G152" s="7" t="s">
        <v>79</v>
      </c>
      <c r="H152" s="7" t="s">
        <v>79</v>
      </c>
      <c r="I152" s="7" t="s">
        <v>79</v>
      </c>
      <c r="J152" s="7">
        <v>0.61</v>
      </c>
      <c r="K152" s="7" t="s">
        <v>79</v>
      </c>
      <c r="L152" s="7" t="s">
        <v>79</v>
      </c>
      <c r="M152" s="7" t="s">
        <v>79</v>
      </c>
      <c r="N152" s="13" t="str">
        <f>IF(IF(ISNUMBER(B152),VLOOKUP($A152,List!$A$1:$B$29,2,FALSE))=FALSE,"",IF(ISNUMBER(B152),VLOOKUP($A152,List!$A$1:$B$29,2,FALSE)))</f>
        <v/>
      </c>
      <c r="O152" s="13" t="str">
        <f>IF(IF(ISNUMBER(C152),VLOOKUP($A152,List!$A$1:$B$29,2,FALSE))=FALSE,"",IF(ISNUMBER(C152),VLOOKUP($A152,List!$A$1:$B$29,2,FALSE)))</f>
        <v/>
      </c>
      <c r="P152" s="13" t="str">
        <f>IF(IF(ISNUMBER(D152),VLOOKUP($A152,List!$A$1:$B$29,2,FALSE))=FALSE,"",IF(ISNUMBER(D152),VLOOKUP($A152,List!$A$1:$B$29,2,FALSE)))</f>
        <v/>
      </c>
      <c r="Q152" s="13" t="str">
        <f>IF(IF(ISNUMBER(E152),VLOOKUP($A152,List!$A$1:$B$29,2,FALSE))=FALSE,"",IF(ISNUMBER(E152),VLOOKUP($A152,List!$A$1:$B$29,2,FALSE)))</f>
        <v/>
      </c>
      <c r="R152" s="13" t="str">
        <f>IF(IF(ISNUMBER(F152),VLOOKUP($A152,List!$A$1:$B$29,2,FALSE))=FALSE,"",IF(ISNUMBER(F152),VLOOKUP($A152,List!$A$1:$B$29,2,FALSE)))</f>
        <v/>
      </c>
      <c r="S152" s="13" t="str">
        <f>IF(IF(ISNUMBER(G152),VLOOKUP($A152,List!$A$1:$B$29,2,FALSE))=FALSE,"",IF(ISNUMBER(G152),VLOOKUP($A152,List!$A$1:$B$29,2,FALSE)))</f>
        <v/>
      </c>
      <c r="T152" s="13" t="str">
        <f>IF(IF(ISNUMBER(H152),VLOOKUP($A152,List!$A$1:$B$29,2,FALSE))=FALSE,"",IF(ISNUMBER(H152),VLOOKUP($A152,List!$A$1:$B$29,2,FALSE)))</f>
        <v/>
      </c>
      <c r="U152" s="13" t="str">
        <f>IF(IF(ISNUMBER(I152),VLOOKUP($A152,List!$A$1:$B$29,2,FALSE))=FALSE,"",IF(ISNUMBER(I152),VLOOKUP($A152,List!$A$1:$B$29,2,FALSE)))</f>
        <v/>
      </c>
      <c r="V152" s="13" t="str">
        <f>IF(IF(ISNUMBER(J152),VLOOKUP($A152,List!$A$1:$B$29,2,FALSE))=FALSE,"",IF(ISNUMBER(J152),VLOOKUP($A152,List!$A$1:$B$29,2,FALSE)))</f>
        <v>Boating is one of many things I do in my spare time</v>
      </c>
      <c r="W152" s="13" t="str">
        <f>IF(IF(ISNUMBER(K152),VLOOKUP($A152,List!$A$1:$B$29,2,FALSE))=FALSE,"",IF(ISNUMBER(K152),VLOOKUP($A152,List!$A$1:$B$29,2,FALSE)))</f>
        <v/>
      </c>
      <c r="X152" s="13" t="str">
        <f>IF(IF(ISNUMBER(L152),VLOOKUP($A152,List!$A$1:$B$29,2,FALSE))=FALSE,"",IF(ISNUMBER(L152),VLOOKUP($A152,List!$A$1:$B$29,2,FALSE)))</f>
        <v/>
      </c>
      <c r="Y152" s="13" t="str">
        <f>IF(IF(ISNUMBER(M152),VLOOKUP($A152,List!$A$1:$B$29,2,FALSE))=FALSE,"",IF(ISNUMBER(M152),VLOOKUP($A152,List!$A$1:$B$29,2,FALSE)))</f>
        <v/>
      </c>
    </row>
    <row r="153" spans="1:25" ht="15" thickBot="1" x14ac:dyDescent="0.35">
      <c r="A153" s="4">
        <v>4</v>
      </c>
      <c r="B153" s="6" t="s">
        <v>79</v>
      </c>
      <c r="C153" s="6" t="s">
        <v>79</v>
      </c>
      <c r="D153" s="6" t="s">
        <v>79</v>
      </c>
      <c r="E153" s="6" t="s">
        <v>79</v>
      </c>
      <c r="F153" s="6" t="s">
        <v>79</v>
      </c>
      <c r="G153" s="7" t="s">
        <v>79</v>
      </c>
      <c r="H153" s="7" t="s">
        <v>79</v>
      </c>
      <c r="I153" s="7" t="s">
        <v>79</v>
      </c>
      <c r="J153" s="7" t="s">
        <v>79</v>
      </c>
      <c r="K153" s="7" t="s">
        <v>79</v>
      </c>
      <c r="L153" s="8" t="s">
        <v>79</v>
      </c>
      <c r="M153" s="7" t="s">
        <v>79</v>
      </c>
      <c r="N153" s="13" t="str">
        <f>IF(IF(ISNUMBER(B153),VLOOKUP($A153,List!$A$1:$B$29,2,FALSE))=FALSE,"",IF(ISNUMBER(B153),VLOOKUP($A153,List!$A$1:$B$29,2,FALSE)))</f>
        <v/>
      </c>
      <c r="O153" s="13" t="str">
        <f>IF(IF(ISNUMBER(C153),VLOOKUP($A153,List!$A$1:$B$29,2,FALSE))=FALSE,"",IF(ISNUMBER(C153),VLOOKUP($A153,List!$A$1:$B$29,2,FALSE)))</f>
        <v/>
      </c>
      <c r="P153" s="13" t="str">
        <f>IF(IF(ISNUMBER(D153),VLOOKUP($A153,List!$A$1:$B$29,2,FALSE))=FALSE,"",IF(ISNUMBER(D153),VLOOKUP($A153,List!$A$1:$B$29,2,FALSE)))</f>
        <v/>
      </c>
      <c r="Q153" s="13" t="str">
        <f>IF(IF(ISNUMBER(E153),VLOOKUP($A153,List!$A$1:$B$29,2,FALSE))=FALSE,"",IF(ISNUMBER(E153),VLOOKUP($A153,List!$A$1:$B$29,2,FALSE)))</f>
        <v/>
      </c>
      <c r="R153" s="13" t="str">
        <f>IF(IF(ISNUMBER(F153),VLOOKUP($A153,List!$A$1:$B$29,2,FALSE))=FALSE,"",IF(ISNUMBER(F153),VLOOKUP($A153,List!$A$1:$B$29,2,FALSE)))</f>
        <v/>
      </c>
      <c r="S153" s="13" t="str">
        <f>IF(IF(ISNUMBER(G153),VLOOKUP($A153,List!$A$1:$B$29,2,FALSE))=FALSE,"",IF(ISNUMBER(G153),VLOOKUP($A153,List!$A$1:$B$29,2,FALSE)))</f>
        <v/>
      </c>
      <c r="T153" s="13" t="str">
        <f>IF(IF(ISNUMBER(H153),VLOOKUP($A153,List!$A$1:$B$29,2,FALSE))=FALSE,"",IF(ISNUMBER(H153),VLOOKUP($A153,List!$A$1:$B$29,2,FALSE)))</f>
        <v/>
      </c>
      <c r="U153" s="13" t="str">
        <f>IF(IF(ISNUMBER(I153),VLOOKUP($A153,List!$A$1:$B$29,2,FALSE))=FALSE,"",IF(ISNUMBER(I153),VLOOKUP($A153,List!$A$1:$B$29,2,FALSE)))</f>
        <v/>
      </c>
      <c r="V153" s="13" t="str">
        <f>IF(IF(ISNUMBER(J153),VLOOKUP($A153,List!$A$1:$B$29,2,FALSE))=FALSE,"",IF(ISNUMBER(J153),VLOOKUP($A153,List!$A$1:$B$29,2,FALSE)))</f>
        <v/>
      </c>
      <c r="W153" s="13" t="str">
        <f>IF(IF(ISNUMBER(K153),VLOOKUP($A153,List!$A$1:$B$29,2,FALSE))=FALSE,"",IF(ISNUMBER(K153),VLOOKUP($A153,List!$A$1:$B$29,2,FALSE)))</f>
        <v/>
      </c>
      <c r="X153" s="13" t="str">
        <f>IF(IF(ISNUMBER(L153),VLOOKUP($A153,List!$A$1:$B$29,2,FALSE))=FALSE,"",IF(ISNUMBER(L153),VLOOKUP($A153,List!$A$1:$B$29,2,FALSE)))</f>
        <v/>
      </c>
      <c r="Y153" s="13" t="str">
        <f>IF(IF(ISNUMBER(M153),VLOOKUP($A153,List!$A$1:$B$29,2,FALSE))=FALSE,"",IF(ISNUMBER(M153),VLOOKUP($A153,List!$A$1:$B$29,2,FALSE)))</f>
        <v/>
      </c>
    </row>
    <row r="154" spans="1:25" ht="15" thickBot="1" x14ac:dyDescent="0.35">
      <c r="A154" s="4">
        <v>1</v>
      </c>
      <c r="B154" s="6" t="s">
        <v>79</v>
      </c>
      <c r="C154" s="6" t="s">
        <v>79</v>
      </c>
      <c r="D154" s="6" t="s">
        <v>79</v>
      </c>
      <c r="E154" s="6" t="s">
        <v>79</v>
      </c>
      <c r="F154" s="6" t="s">
        <v>79</v>
      </c>
      <c r="G154" s="7" t="s">
        <v>79</v>
      </c>
      <c r="H154" s="7">
        <v>0.56999999999999995</v>
      </c>
      <c r="I154" s="7" t="s">
        <v>79</v>
      </c>
      <c r="J154" s="7" t="s">
        <v>79</v>
      </c>
      <c r="K154" s="8" t="s">
        <v>79</v>
      </c>
      <c r="L154" s="7" t="s">
        <v>79</v>
      </c>
      <c r="M154" s="7" t="s">
        <v>79</v>
      </c>
      <c r="N154" s="13" t="str">
        <f>IF(IF(ISNUMBER(B154),VLOOKUP($A154,List!$A$1:$B$29,2,FALSE))=FALSE,"",IF(ISNUMBER(B154),VLOOKUP($A154,List!$A$1:$B$29,2,FALSE)))</f>
        <v/>
      </c>
      <c r="O154" s="13" t="str">
        <f>IF(IF(ISNUMBER(C154),VLOOKUP($A154,List!$A$1:$B$29,2,FALSE))=FALSE,"",IF(ISNUMBER(C154),VLOOKUP($A154,List!$A$1:$B$29,2,FALSE)))</f>
        <v/>
      </c>
      <c r="P154" s="13" t="str">
        <f>IF(IF(ISNUMBER(D154),VLOOKUP($A154,List!$A$1:$B$29,2,FALSE))=FALSE,"",IF(ISNUMBER(D154),VLOOKUP($A154,List!$A$1:$B$29,2,FALSE)))</f>
        <v/>
      </c>
      <c r="Q154" s="13" t="str">
        <f>IF(IF(ISNUMBER(E154),VLOOKUP($A154,List!$A$1:$B$29,2,FALSE))=FALSE,"",IF(ISNUMBER(E154),VLOOKUP($A154,List!$A$1:$B$29,2,FALSE)))</f>
        <v/>
      </c>
      <c r="R154" s="13" t="str">
        <f>IF(IF(ISNUMBER(F154),VLOOKUP($A154,List!$A$1:$B$29,2,FALSE))=FALSE,"",IF(ISNUMBER(F154),VLOOKUP($A154,List!$A$1:$B$29,2,FALSE)))</f>
        <v/>
      </c>
      <c r="S154" s="13" t="str">
        <f>IF(IF(ISNUMBER(G154),VLOOKUP($A154,List!$A$1:$B$29,2,FALSE))=FALSE,"",IF(ISNUMBER(G154),VLOOKUP($A154,List!$A$1:$B$29,2,FALSE)))</f>
        <v/>
      </c>
      <c r="T154" s="13" t="str">
        <f>IF(IF(ISNUMBER(H154),VLOOKUP($A154,List!$A$1:$B$29,2,FALSE))=FALSE,"",IF(ISNUMBER(H154),VLOOKUP($A154,List!$A$1:$B$29,2,FALSE)))</f>
        <v>When buying a boat, I do a lot of shopping around and visit multiple dealers</v>
      </c>
      <c r="U154" s="13" t="str">
        <f>IF(IF(ISNUMBER(I154),VLOOKUP($A154,List!$A$1:$B$29,2,FALSE))=FALSE,"",IF(ISNUMBER(I154),VLOOKUP($A154,List!$A$1:$B$29,2,FALSE)))</f>
        <v/>
      </c>
      <c r="V154" s="13" t="str">
        <f>IF(IF(ISNUMBER(J154),VLOOKUP($A154,List!$A$1:$B$29,2,FALSE))=FALSE,"",IF(ISNUMBER(J154),VLOOKUP($A154,List!$A$1:$B$29,2,FALSE)))</f>
        <v/>
      </c>
      <c r="W154" s="13" t="str">
        <f>IF(IF(ISNUMBER(K154),VLOOKUP($A154,List!$A$1:$B$29,2,FALSE))=FALSE,"",IF(ISNUMBER(K154),VLOOKUP($A154,List!$A$1:$B$29,2,FALSE)))</f>
        <v/>
      </c>
      <c r="X154" s="13" t="str">
        <f>IF(IF(ISNUMBER(L154),VLOOKUP($A154,List!$A$1:$B$29,2,FALSE))=FALSE,"",IF(ISNUMBER(L154),VLOOKUP($A154,List!$A$1:$B$29,2,FALSE)))</f>
        <v/>
      </c>
      <c r="Y154" s="13" t="str">
        <f>IF(IF(ISNUMBER(M154),VLOOKUP($A154,List!$A$1:$B$29,2,FALSE))=FALSE,"",IF(ISNUMBER(M154),VLOOKUP($A154,List!$A$1:$B$29,2,FALSE)))</f>
        <v/>
      </c>
    </row>
    <row r="155" spans="1:25" ht="15" thickBot="1" x14ac:dyDescent="0.35">
      <c r="A155" s="4">
        <v>11</v>
      </c>
      <c r="B155" s="6" t="s">
        <v>79</v>
      </c>
      <c r="C155" s="6" t="s">
        <v>79</v>
      </c>
      <c r="D155" s="6" t="s">
        <v>79</v>
      </c>
      <c r="E155" s="6">
        <v>-0.51</v>
      </c>
      <c r="F155" s="6" t="s">
        <v>79</v>
      </c>
      <c r="G155" s="7" t="s">
        <v>79</v>
      </c>
      <c r="H155" s="8" t="s">
        <v>79</v>
      </c>
      <c r="I155" s="7" t="s">
        <v>79</v>
      </c>
      <c r="J155" s="7" t="s">
        <v>79</v>
      </c>
      <c r="K155" s="7" t="s">
        <v>79</v>
      </c>
      <c r="L155" s="7" t="s">
        <v>79</v>
      </c>
      <c r="M155" s="7" t="s">
        <v>79</v>
      </c>
      <c r="N155" s="13" t="str">
        <f>IF(IF(ISNUMBER(B155),VLOOKUP($A155,List!$A$1:$B$29,2,FALSE))=FALSE,"",IF(ISNUMBER(B155),VLOOKUP($A155,List!$A$1:$B$29,2,FALSE)))</f>
        <v/>
      </c>
      <c r="O155" s="13" t="str">
        <f>IF(IF(ISNUMBER(C155),VLOOKUP($A155,List!$A$1:$B$29,2,FALSE))=FALSE,"",IF(ISNUMBER(C155),VLOOKUP($A155,List!$A$1:$B$29,2,FALSE)))</f>
        <v/>
      </c>
      <c r="P155" s="13" t="str">
        <f>IF(IF(ISNUMBER(D155),VLOOKUP($A155,List!$A$1:$B$29,2,FALSE))=FALSE,"",IF(ISNUMBER(D155),VLOOKUP($A155,List!$A$1:$B$29,2,FALSE)))</f>
        <v/>
      </c>
      <c r="Q155" s="13" t="str">
        <f>IF(IF(ISNUMBER(E155),VLOOKUP($A155,List!$A$1:$B$29,2,FALSE))=FALSE,"",IF(ISNUMBER(E155),VLOOKUP($A155,List!$A$1:$B$29,2,FALSE)))</f>
        <v>I tend to perform minor boat repairs and maintenance on my own</v>
      </c>
      <c r="R155" s="13" t="str">
        <f>IF(IF(ISNUMBER(F155),VLOOKUP($A155,List!$A$1:$B$29,2,FALSE))=FALSE,"",IF(ISNUMBER(F155),VLOOKUP($A155,List!$A$1:$B$29,2,FALSE)))</f>
        <v/>
      </c>
      <c r="S155" s="13" t="str">
        <f>IF(IF(ISNUMBER(G155),VLOOKUP($A155,List!$A$1:$B$29,2,FALSE))=FALSE,"",IF(ISNUMBER(G155),VLOOKUP($A155,List!$A$1:$B$29,2,FALSE)))</f>
        <v/>
      </c>
      <c r="T155" s="13" t="str">
        <f>IF(IF(ISNUMBER(H155),VLOOKUP($A155,List!$A$1:$B$29,2,FALSE))=FALSE,"",IF(ISNUMBER(H155),VLOOKUP($A155,List!$A$1:$B$29,2,FALSE)))</f>
        <v/>
      </c>
      <c r="U155" s="13" t="str">
        <f>IF(IF(ISNUMBER(I155),VLOOKUP($A155,List!$A$1:$B$29,2,FALSE))=FALSE,"",IF(ISNUMBER(I155),VLOOKUP($A155,List!$A$1:$B$29,2,FALSE)))</f>
        <v/>
      </c>
      <c r="V155" s="13" t="str">
        <f>IF(IF(ISNUMBER(J155),VLOOKUP($A155,List!$A$1:$B$29,2,FALSE))=FALSE,"",IF(ISNUMBER(J155),VLOOKUP($A155,List!$A$1:$B$29,2,FALSE)))</f>
        <v/>
      </c>
      <c r="W155" s="13" t="str">
        <f>IF(IF(ISNUMBER(K155),VLOOKUP($A155,List!$A$1:$B$29,2,FALSE))=FALSE,"",IF(ISNUMBER(K155),VLOOKUP($A155,List!$A$1:$B$29,2,FALSE)))</f>
        <v/>
      </c>
      <c r="X155" s="13" t="str">
        <f>IF(IF(ISNUMBER(L155),VLOOKUP($A155,List!$A$1:$B$29,2,FALSE))=FALSE,"",IF(ISNUMBER(L155),VLOOKUP($A155,List!$A$1:$B$29,2,FALSE)))</f>
        <v/>
      </c>
      <c r="Y155" s="13" t="str">
        <f>IF(IF(ISNUMBER(M155),VLOOKUP($A155,List!$A$1:$B$29,2,FALSE))=FALSE,"",IF(ISNUMBER(M155),VLOOKUP($A155,List!$A$1:$B$29,2,FALSE)))</f>
        <v/>
      </c>
    </row>
    <row r="156" spans="1:25" ht="15" thickBot="1" x14ac:dyDescent="0.35">
      <c r="A156" s="4">
        <v>10</v>
      </c>
      <c r="B156" s="6" t="s">
        <v>79</v>
      </c>
      <c r="C156" s="6" t="s">
        <v>79</v>
      </c>
      <c r="D156" s="5" t="s">
        <v>79</v>
      </c>
      <c r="E156" s="6">
        <v>0.62</v>
      </c>
      <c r="F156" s="6" t="s">
        <v>79</v>
      </c>
      <c r="G156" s="7" t="s">
        <v>79</v>
      </c>
      <c r="H156" s="7" t="s">
        <v>79</v>
      </c>
      <c r="I156" s="7" t="s">
        <v>79</v>
      </c>
      <c r="J156" s="7" t="s">
        <v>79</v>
      </c>
      <c r="K156" s="7" t="s">
        <v>79</v>
      </c>
      <c r="L156" s="7" t="s">
        <v>79</v>
      </c>
      <c r="M156" s="7" t="s">
        <v>79</v>
      </c>
      <c r="N156" s="13" t="str">
        <f>IF(IF(ISNUMBER(B156),VLOOKUP($A156,List!$A$1:$B$29,2,FALSE))=FALSE,"",IF(ISNUMBER(B156),VLOOKUP($A156,List!$A$1:$B$29,2,FALSE)))</f>
        <v/>
      </c>
      <c r="O156" s="13" t="str">
        <f>IF(IF(ISNUMBER(C156),VLOOKUP($A156,List!$A$1:$B$29,2,FALSE))=FALSE,"",IF(ISNUMBER(C156),VLOOKUP($A156,List!$A$1:$B$29,2,FALSE)))</f>
        <v/>
      </c>
      <c r="P156" s="13" t="str">
        <f>IF(IF(ISNUMBER(D156),VLOOKUP($A156,List!$A$1:$B$29,2,FALSE))=FALSE,"",IF(ISNUMBER(D156),VLOOKUP($A156,List!$A$1:$B$29,2,FALSE)))</f>
        <v/>
      </c>
      <c r="Q156" s="13" t="str">
        <f>IF(IF(ISNUMBER(E156),VLOOKUP($A156,List!$A$1:$B$29,2,FALSE))=FALSE,"",IF(ISNUMBER(E156),VLOOKUP($A156,List!$A$1:$B$29,2,FALSE)))</f>
        <v>When buying a boat, I rely more on expert opinion than my own</v>
      </c>
      <c r="R156" s="13" t="str">
        <f>IF(IF(ISNUMBER(F156),VLOOKUP($A156,List!$A$1:$B$29,2,FALSE))=FALSE,"",IF(ISNUMBER(F156),VLOOKUP($A156,List!$A$1:$B$29,2,FALSE)))</f>
        <v/>
      </c>
      <c r="S156" s="13" t="str">
        <f>IF(IF(ISNUMBER(G156),VLOOKUP($A156,List!$A$1:$B$29,2,FALSE))=FALSE,"",IF(ISNUMBER(G156),VLOOKUP($A156,List!$A$1:$B$29,2,FALSE)))</f>
        <v/>
      </c>
      <c r="T156" s="13" t="str">
        <f>IF(IF(ISNUMBER(H156),VLOOKUP($A156,List!$A$1:$B$29,2,FALSE))=FALSE,"",IF(ISNUMBER(H156),VLOOKUP($A156,List!$A$1:$B$29,2,FALSE)))</f>
        <v/>
      </c>
      <c r="U156" s="13" t="str">
        <f>IF(IF(ISNUMBER(I156),VLOOKUP($A156,List!$A$1:$B$29,2,FALSE))=FALSE,"",IF(ISNUMBER(I156),VLOOKUP($A156,List!$A$1:$B$29,2,FALSE)))</f>
        <v/>
      </c>
      <c r="V156" s="13" t="str">
        <f>IF(IF(ISNUMBER(J156),VLOOKUP($A156,List!$A$1:$B$29,2,FALSE))=FALSE,"",IF(ISNUMBER(J156),VLOOKUP($A156,List!$A$1:$B$29,2,FALSE)))</f>
        <v/>
      </c>
      <c r="W156" s="13" t="str">
        <f>IF(IF(ISNUMBER(K156),VLOOKUP($A156,List!$A$1:$B$29,2,FALSE))=FALSE,"",IF(ISNUMBER(K156),VLOOKUP($A156,List!$A$1:$B$29,2,FALSE)))</f>
        <v/>
      </c>
      <c r="X156" s="13" t="str">
        <f>IF(IF(ISNUMBER(L156),VLOOKUP($A156,List!$A$1:$B$29,2,FALSE))=FALSE,"",IF(ISNUMBER(L156),VLOOKUP($A156,List!$A$1:$B$29,2,FALSE)))</f>
        <v/>
      </c>
      <c r="Y156" s="13" t="str">
        <f>IF(IF(ISNUMBER(M156),VLOOKUP($A156,List!$A$1:$B$29,2,FALSE))=FALSE,"",IF(ISNUMBER(M156),VLOOKUP($A156,List!$A$1:$B$29,2,FALSE)))</f>
        <v/>
      </c>
    </row>
    <row r="157" spans="1:25" ht="15" thickBot="1" x14ac:dyDescent="0.35">
      <c r="A157" s="4">
        <v>8</v>
      </c>
      <c r="B157" s="6" t="s">
        <v>79</v>
      </c>
      <c r="C157" s="6" t="s">
        <v>79</v>
      </c>
      <c r="D157" s="6">
        <v>0.56000000000000005</v>
      </c>
      <c r="E157" s="6" t="s">
        <v>79</v>
      </c>
      <c r="F157" s="6" t="s">
        <v>79</v>
      </c>
      <c r="G157" s="7" t="s">
        <v>79</v>
      </c>
      <c r="H157" s="7">
        <v>-0.5</v>
      </c>
      <c r="I157" s="7" t="s">
        <v>79</v>
      </c>
      <c r="J157" s="8" t="s">
        <v>79</v>
      </c>
      <c r="K157" s="7" t="s">
        <v>79</v>
      </c>
      <c r="L157" s="7" t="s">
        <v>79</v>
      </c>
      <c r="M157" s="7" t="s">
        <v>79</v>
      </c>
      <c r="N157" s="13" t="str">
        <f>IF(IF(ISNUMBER(B157),VLOOKUP($A157,List!$A$1:$B$29,2,FALSE))=FALSE,"",IF(ISNUMBER(B157),VLOOKUP($A157,List!$A$1:$B$29,2,FALSE)))</f>
        <v/>
      </c>
      <c r="O157" s="13" t="str">
        <f>IF(IF(ISNUMBER(C157),VLOOKUP($A157,List!$A$1:$B$29,2,FALSE))=FALSE,"",IF(ISNUMBER(C157),VLOOKUP($A157,List!$A$1:$B$29,2,FALSE)))</f>
        <v/>
      </c>
      <c r="P157" s="13" t="str">
        <f>IF(IF(ISNUMBER(D157),VLOOKUP($A157,List!$A$1:$B$29,2,FALSE))=FALSE,"",IF(ISNUMBER(D157),VLOOKUP($A157,List!$A$1:$B$29,2,FALSE)))</f>
        <v>When buying a boat, functionality is more important than style</v>
      </c>
      <c r="Q157" s="13" t="str">
        <f>IF(IF(ISNUMBER(E157),VLOOKUP($A157,List!$A$1:$B$29,2,FALSE))=FALSE,"",IF(ISNUMBER(E157),VLOOKUP($A157,List!$A$1:$B$29,2,FALSE)))</f>
        <v/>
      </c>
      <c r="R157" s="13" t="str">
        <f>IF(IF(ISNUMBER(F157),VLOOKUP($A157,List!$A$1:$B$29,2,FALSE))=FALSE,"",IF(ISNUMBER(F157),VLOOKUP($A157,List!$A$1:$B$29,2,FALSE)))</f>
        <v/>
      </c>
      <c r="S157" s="13" t="str">
        <f>IF(IF(ISNUMBER(G157),VLOOKUP($A157,List!$A$1:$B$29,2,FALSE))=FALSE,"",IF(ISNUMBER(G157),VLOOKUP($A157,List!$A$1:$B$29,2,FALSE)))</f>
        <v/>
      </c>
      <c r="T157" s="13" t="str">
        <f>IF(IF(ISNUMBER(H157),VLOOKUP($A157,List!$A$1:$B$29,2,FALSE))=FALSE,"",IF(ISNUMBER(H157),VLOOKUP($A157,List!$A$1:$B$29,2,FALSE)))</f>
        <v>When buying a boat, functionality is more important than style</v>
      </c>
      <c r="U157" s="13" t="str">
        <f>IF(IF(ISNUMBER(I157),VLOOKUP($A157,List!$A$1:$B$29,2,FALSE))=FALSE,"",IF(ISNUMBER(I157),VLOOKUP($A157,List!$A$1:$B$29,2,FALSE)))</f>
        <v/>
      </c>
      <c r="V157" s="13" t="str">
        <f>IF(IF(ISNUMBER(J157),VLOOKUP($A157,List!$A$1:$B$29,2,FALSE))=FALSE,"",IF(ISNUMBER(J157),VLOOKUP($A157,List!$A$1:$B$29,2,FALSE)))</f>
        <v/>
      </c>
      <c r="W157" s="13" t="str">
        <f>IF(IF(ISNUMBER(K157),VLOOKUP($A157,List!$A$1:$B$29,2,FALSE))=FALSE,"",IF(ISNUMBER(K157),VLOOKUP($A157,List!$A$1:$B$29,2,FALSE)))</f>
        <v/>
      </c>
      <c r="X157" s="13" t="str">
        <f>IF(IF(ISNUMBER(L157),VLOOKUP($A157,List!$A$1:$B$29,2,FALSE))=FALSE,"",IF(ISNUMBER(L157),VLOOKUP($A157,List!$A$1:$B$29,2,FALSE)))</f>
        <v/>
      </c>
      <c r="Y157" s="13" t="str">
        <f>IF(IF(ISNUMBER(M157),VLOOKUP($A157,List!$A$1:$B$29,2,FALSE))=FALSE,"",IF(ISNUMBER(M157),VLOOKUP($A157,List!$A$1:$B$29,2,FALSE)))</f>
        <v/>
      </c>
    </row>
    <row r="158" spans="1:25" ht="15" thickBot="1" x14ac:dyDescent="0.35">
      <c r="A158" s="4">
        <v>2</v>
      </c>
      <c r="B158" s="6" t="s">
        <v>79</v>
      </c>
      <c r="C158" s="6" t="s">
        <v>79</v>
      </c>
      <c r="D158" s="6">
        <v>0.63</v>
      </c>
      <c r="E158" s="6" t="s">
        <v>79</v>
      </c>
      <c r="F158" s="5" t="s">
        <v>79</v>
      </c>
      <c r="G158" s="7" t="s">
        <v>79</v>
      </c>
      <c r="H158" s="7" t="s">
        <v>79</v>
      </c>
      <c r="I158" s="7" t="s">
        <v>79</v>
      </c>
      <c r="J158" s="7" t="s">
        <v>79</v>
      </c>
      <c r="K158" s="7" t="s">
        <v>79</v>
      </c>
      <c r="L158" s="7" t="s">
        <v>79</v>
      </c>
      <c r="M158" s="7" t="s">
        <v>79</v>
      </c>
      <c r="N158" s="13" t="str">
        <f>IF(IF(ISNUMBER(B158),VLOOKUP($A158,List!$A$1:$B$29,2,FALSE))=FALSE,"",IF(ISNUMBER(B158),VLOOKUP($A158,List!$A$1:$B$29,2,FALSE)))</f>
        <v/>
      </c>
      <c r="O158" s="13" t="str">
        <f>IF(IF(ISNUMBER(C158),VLOOKUP($A158,List!$A$1:$B$29,2,FALSE))=FALSE,"",IF(ISNUMBER(C158),VLOOKUP($A158,List!$A$1:$B$29,2,FALSE)))</f>
        <v/>
      </c>
      <c r="P158" s="13" t="str">
        <f>IF(IF(ISNUMBER(D158),VLOOKUP($A158,List!$A$1:$B$29,2,FALSE))=FALSE,"",IF(ISNUMBER(D158),VLOOKUP($A158,List!$A$1:$B$29,2,FALSE)))</f>
        <v>When buying a bot, getting the lowest P is more important than brand</v>
      </c>
      <c r="Q158" s="13" t="str">
        <f>IF(IF(ISNUMBER(E158),VLOOKUP($A158,List!$A$1:$B$29,2,FALSE))=FALSE,"",IF(ISNUMBER(E158),VLOOKUP($A158,List!$A$1:$B$29,2,FALSE)))</f>
        <v/>
      </c>
      <c r="R158" s="13" t="str">
        <f>IF(IF(ISNUMBER(F158),VLOOKUP($A158,List!$A$1:$B$29,2,FALSE))=FALSE,"",IF(ISNUMBER(F158),VLOOKUP($A158,List!$A$1:$B$29,2,FALSE)))</f>
        <v/>
      </c>
      <c r="S158" s="13" t="str">
        <f>IF(IF(ISNUMBER(G158),VLOOKUP($A158,List!$A$1:$B$29,2,FALSE))=FALSE,"",IF(ISNUMBER(G158),VLOOKUP($A158,List!$A$1:$B$29,2,FALSE)))</f>
        <v/>
      </c>
      <c r="T158" s="13" t="str">
        <f>IF(IF(ISNUMBER(H158),VLOOKUP($A158,List!$A$1:$B$29,2,FALSE))=FALSE,"",IF(ISNUMBER(H158),VLOOKUP($A158,List!$A$1:$B$29,2,FALSE)))</f>
        <v/>
      </c>
      <c r="U158" s="13" t="str">
        <f>IF(IF(ISNUMBER(I158),VLOOKUP($A158,List!$A$1:$B$29,2,FALSE))=FALSE,"",IF(ISNUMBER(I158),VLOOKUP($A158,List!$A$1:$B$29,2,FALSE)))</f>
        <v/>
      </c>
      <c r="V158" s="13" t="str">
        <f>IF(IF(ISNUMBER(J158),VLOOKUP($A158,List!$A$1:$B$29,2,FALSE))=FALSE,"",IF(ISNUMBER(J158),VLOOKUP($A158,List!$A$1:$B$29,2,FALSE)))</f>
        <v/>
      </c>
      <c r="W158" s="13" t="str">
        <f>IF(IF(ISNUMBER(K158),VLOOKUP($A158,List!$A$1:$B$29,2,FALSE))=FALSE,"",IF(ISNUMBER(K158),VLOOKUP($A158,List!$A$1:$B$29,2,FALSE)))</f>
        <v/>
      </c>
      <c r="X158" s="13" t="str">
        <f>IF(IF(ISNUMBER(L158),VLOOKUP($A158,List!$A$1:$B$29,2,FALSE))=FALSE,"",IF(ISNUMBER(L158),VLOOKUP($A158,List!$A$1:$B$29,2,FALSE)))</f>
        <v/>
      </c>
      <c r="Y158" s="13" t="str">
        <f>IF(IF(ISNUMBER(M158),VLOOKUP($A158,List!$A$1:$B$29,2,FALSE))=FALSE,"",IF(ISNUMBER(M158),VLOOKUP($A158,List!$A$1:$B$29,2,FALSE)))</f>
        <v/>
      </c>
    </row>
    <row r="159" spans="1:25" ht="15" thickBot="1" x14ac:dyDescent="0.35">
      <c r="A159" s="4">
        <v>12</v>
      </c>
      <c r="B159" s="6" t="s">
        <v>79</v>
      </c>
      <c r="C159" s="6" t="s">
        <v>79</v>
      </c>
      <c r="D159" s="6">
        <v>0.67</v>
      </c>
      <c r="E159" s="6" t="s">
        <v>79</v>
      </c>
      <c r="F159" s="6" t="s">
        <v>79</v>
      </c>
      <c r="G159" s="7" t="s">
        <v>79</v>
      </c>
      <c r="H159" s="7" t="s">
        <v>79</v>
      </c>
      <c r="I159" s="8" t="s">
        <v>79</v>
      </c>
      <c r="J159" s="7" t="s">
        <v>79</v>
      </c>
      <c r="K159" s="7" t="s">
        <v>79</v>
      </c>
      <c r="L159" s="7" t="s">
        <v>79</v>
      </c>
      <c r="M159" s="7" t="s">
        <v>79</v>
      </c>
      <c r="N159" s="13" t="str">
        <f>IF(IF(ISNUMBER(B159),VLOOKUP($A159,List!$A$1:$B$29,2,FALSE))=FALSE,"",IF(ISNUMBER(B159),VLOOKUP($A159,List!$A$1:$B$29,2,FALSE)))</f>
        <v/>
      </c>
      <c r="O159" s="13" t="str">
        <f>IF(IF(ISNUMBER(C159),VLOOKUP($A159,List!$A$1:$B$29,2,FALSE))=FALSE,"",IF(ISNUMBER(C159),VLOOKUP($A159,List!$A$1:$B$29,2,FALSE)))</f>
        <v/>
      </c>
      <c r="P159" s="13" t="str">
        <f>IF(IF(ISNUMBER(D159),VLOOKUP($A159,List!$A$1:$B$29,2,FALSE))=FALSE,"",IF(ISNUMBER(D159),VLOOKUP($A159,List!$A$1:$B$29,2,FALSE)))</f>
        <v>When it comes to boating, I tend to prefer a basic boat with little to no frills</v>
      </c>
      <c r="Q159" s="13" t="str">
        <f>IF(IF(ISNUMBER(E159),VLOOKUP($A159,List!$A$1:$B$29,2,FALSE))=FALSE,"",IF(ISNUMBER(E159),VLOOKUP($A159,List!$A$1:$B$29,2,FALSE)))</f>
        <v/>
      </c>
      <c r="R159" s="13" t="str">
        <f>IF(IF(ISNUMBER(F159),VLOOKUP($A159,List!$A$1:$B$29,2,FALSE))=FALSE,"",IF(ISNUMBER(F159),VLOOKUP($A159,List!$A$1:$B$29,2,FALSE)))</f>
        <v/>
      </c>
      <c r="S159" s="13" t="str">
        <f>IF(IF(ISNUMBER(G159),VLOOKUP($A159,List!$A$1:$B$29,2,FALSE))=FALSE,"",IF(ISNUMBER(G159),VLOOKUP($A159,List!$A$1:$B$29,2,FALSE)))</f>
        <v/>
      </c>
      <c r="T159" s="13" t="str">
        <f>IF(IF(ISNUMBER(H159),VLOOKUP($A159,List!$A$1:$B$29,2,FALSE))=FALSE,"",IF(ISNUMBER(H159),VLOOKUP($A159,List!$A$1:$B$29,2,FALSE)))</f>
        <v/>
      </c>
      <c r="U159" s="13" t="str">
        <f>IF(IF(ISNUMBER(I159),VLOOKUP($A159,List!$A$1:$B$29,2,FALSE))=FALSE,"",IF(ISNUMBER(I159),VLOOKUP($A159,List!$A$1:$B$29,2,FALSE)))</f>
        <v/>
      </c>
      <c r="V159" s="13" t="str">
        <f>IF(IF(ISNUMBER(J159),VLOOKUP($A159,List!$A$1:$B$29,2,FALSE))=FALSE,"",IF(ISNUMBER(J159),VLOOKUP($A159,List!$A$1:$B$29,2,FALSE)))</f>
        <v/>
      </c>
      <c r="W159" s="13" t="str">
        <f>IF(IF(ISNUMBER(K159),VLOOKUP($A159,List!$A$1:$B$29,2,FALSE))=FALSE,"",IF(ISNUMBER(K159),VLOOKUP($A159,List!$A$1:$B$29,2,FALSE)))</f>
        <v/>
      </c>
      <c r="X159" s="13" t="str">
        <f>IF(IF(ISNUMBER(L159),VLOOKUP($A159,List!$A$1:$B$29,2,FALSE))=FALSE,"",IF(ISNUMBER(L159),VLOOKUP($A159,List!$A$1:$B$29,2,FALSE)))</f>
        <v/>
      </c>
      <c r="Y159" s="13" t="str">
        <f>IF(IF(ISNUMBER(M159),VLOOKUP($A159,List!$A$1:$B$29,2,FALSE))=FALSE,"",IF(ISNUMBER(M159),VLOOKUP($A159,List!$A$1:$B$29,2,FALSE)))</f>
        <v/>
      </c>
    </row>
    <row r="161" spans="1:25" ht="23.4" x14ac:dyDescent="0.45">
      <c r="A161" s="16" t="s">
        <v>125</v>
      </c>
      <c r="F161" s="25"/>
      <c r="N161" s="25" t="s">
        <v>275</v>
      </c>
    </row>
    <row r="162" spans="1:25" ht="15" thickBot="1" x14ac:dyDescent="0.35">
      <c r="A162" s="3" t="s">
        <v>63</v>
      </c>
      <c r="B162" s="3" t="s">
        <v>49</v>
      </c>
      <c r="C162" s="3" t="s">
        <v>50</v>
      </c>
      <c r="D162" s="3" t="s">
        <v>51</v>
      </c>
      <c r="E162" s="3" t="s">
        <v>52</v>
      </c>
      <c r="F162" s="3" t="s">
        <v>53</v>
      </c>
      <c r="G162" s="3" t="s">
        <v>54</v>
      </c>
      <c r="H162" s="3" t="s">
        <v>55</v>
      </c>
      <c r="I162" s="3" t="s">
        <v>56</v>
      </c>
      <c r="J162" s="3" t="s">
        <v>57</v>
      </c>
      <c r="K162" s="3" t="s">
        <v>58</v>
      </c>
      <c r="L162" s="3" t="s">
        <v>59</v>
      </c>
      <c r="M162" s="3" t="s">
        <v>60</v>
      </c>
      <c r="N162" s="3" t="s">
        <v>80</v>
      </c>
      <c r="O162" s="3" t="s">
        <v>81</v>
      </c>
      <c r="P162" s="3" t="s">
        <v>82</v>
      </c>
      <c r="Q162" s="3" t="s">
        <v>83</v>
      </c>
      <c r="R162" s="3" t="s">
        <v>84</v>
      </c>
      <c r="S162" s="3" t="s">
        <v>85</v>
      </c>
      <c r="T162" s="3" t="s">
        <v>86</v>
      </c>
      <c r="U162" s="3" t="s">
        <v>87</v>
      </c>
      <c r="V162" s="3" t="s">
        <v>88</v>
      </c>
      <c r="W162" s="3" t="s">
        <v>90</v>
      </c>
      <c r="X162" s="3" t="s">
        <v>61</v>
      </c>
      <c r="Y162" s="3" t="s">
        <v>62</v>
      </c>
    </row>
    <row r="163" spans="1:25" ht="15" thickBot="1" x14ac:dyDescent="0.35">
      <c r="A163" s="4">
        <v>27</v>
      </c>
      <c r="B163" s="28">
        <v>0.82</v>
      </c>
      <c r="C163" s="28" t="s">
        <v>79</v>
      </c>
      <c r="D163" s="28" t="s">
        <v>79</v>
      </c>
      <c r="E163" s="28" t="s">
        <v>79</v>
      </c>
      <c r="F163" s="28" t="s">
        <v>79</v>
      </c>
      <c r="G163" s="13" t="s">
        <v>79</v>
      </c>
      <c r="H163" s="13" t="s">
        <v>79</v>
      </c>
      <c r="I163" s="13" t="s">
        <v>79</v>
      </c>
      <c r="J163" s="13" t="s">
        <v>79</v>
      </c>
      <c r="K163" s="13" t="s">
        <v>79</v>
      </c>
      <c r="L163" s="13" t="s">
        <v>79</v>
      </c>
      <c r="M163" s="13" t="s">
        <v>79</v>
      </c>
      <c r="N163" s="13" t="str">
        <f>IF(IF(ISNUMBER(B163),VLOOKUP($A163,List!$A$1:$B$29,2,FALSE))=FALSE,"",IF(ISNUMBER(B163),VLOOKUP($A163,List!$A$1:$B$29,2,FALSE)))</f>
        <v>Boating is the number one thing I do with my spare time</v>
      </c>
      <c r="O163" s="13" t="str">
        <f>IF(IF(ISNUMBER(C163),VLOOKUP($A163,List!$A$1:$B$29,2,FALSE))=FALSE,"",IF(ISNUMBER(C163),VLOOKUP($A163,List!$A$1:$B$29,2,FALSE)))</f>
        <v/>
      </c>
      <c r="P163" s="13" t="str">
        <f>IF(IF(ISNUMBER(D163),VLOOKUP($A163,List!$A$1:$B$29,2,FALSE))=FALSE,"",IF(ISNUMBER(D163),VLOOKUP($A163,List!$A$1:$B$29,2,FALSE)))</f>
        <v/>
      </c>
      <c r="Q163" s="13" t="str">
        <f>IF(IF(ISNUMBER(E163),VLOOKUP($A163,List!$A$1:$B$29,2,FALSE))=FALSE,"",IF(ISNUMBER(E163),VLOOKUP($A163,List!$A$1:$B$29,2,FALSE)))</f>
        <v/>
      </c>
      <c r="R163" s="13" t="str">
        <f>IF(IF(ISNUMBER(F163),VLOOKUP($A163,List!$A$1:$B$29,2,FALSE))=FALSE,"",IF(ISNUMBER(F163),VLOOKUP($A163,List!$A$1:$B$29,2,FALSE)))</f>
        <v/>
      </c>
      <c r="S163" s="13" t="str">
        <f>IF(IF(ISNUMBER(G163),VLOOKUP($A163,List!$A$1:$B$29,2,FALSE))=FALSE,"",IF(ISNUMBER(G163),VLOOKUP($A163,List!$A$1:$B$29,2,FALSE)))</f>
        <v/>
      </c>
      <c r="T163" s="13" t="str">
        <f>IF(IF(ISNUMBER(H163),VLOOKUP($A163,List!$A$1:$B$29,2,FALSE))=FALSE,"",IF(ISNUMBER(H163),VLOOKUP($A163,List!$A$1:$B$29,2,FALSE)))</f>
        <v/>
      </c>
      <c r="U163" s="13" t="str">
        <f>IF(IF(ISNUMBER(I163),VLOOKUP($A163,List!$A$1:$B$29,2,FALSE))=FALSE,"",IF(ISNUMBER(I163),VLOOKUP($A163,List!$A$1:$B$29,2,FALSE)))</f>
        <v/>
      </c>
      <c r="V163" s="13" t="str">
        <f>IF(IF(ISNUMBER(J163),VLOOKUP($A163,List!$A$1:$B$29,2,FALSE))=FALSE,"",IF(ISNUMBER(J163),VLOOKUP($A163,List!$A$1:$B$29,2,FALSE)))</f>
        <v/>
      </c>
      <c r="W163" s="13" t="str">
        <f>IF(IF(ISNUMBER(K163),VLOOKUP($A163,List!$A$1:$B$29,2,FALSE))=FALSE,"",IF(ISNUMBER(K163),VLOOKUP($A163,List!$A$1:$B$29,2,FALSE)))</f>
        <v/>
      </c>
      <c r="X163" s="13" t="str">
        <f>IF(IF(ISNUMBER(L163),VLOOKUP($A163,List!$A$1:$B$29,2,FALSE))=FALSE,"",IF(ISNUMBER(L163),VLOOKUP($A163,List!$A$1:$B$29,2,FALSE)))</f>
        <v/>
      </c>
      <c r="Y163" s="13" t="str">
        <f>IF(IF(ISNUMBER(M163),VLOOKUP($A163,List!$A$1:$B$29,2,FALSE))=FALSE,"",IF(ISNUMBER(M163),VLOOKUP($A163,List!$A$1:$B$29,2,FALSE)))</f>
        <v/>
      </c>
    </row>
    <row r="164" spans="1:25" ht="15" thickBot="1" x14ac:dyDescent="0.35">
      <c r="A164" s="4">
        <v>28</v>
      </c>
      <c r="B164" s="28">
        <v>0.78</v>
      </c>
      <c r="C164" s="28" t="s">
        <v>79</v>
      </c>
      <c r="D164" s="28" t="s">
        <v>79</v>
      </c>
      <c r="E164" s="28" t="s">
        <v>79</v>
      </c>
      <c r="F164" s="28" t="s">
        <v>79</v>
      </c>
      <c r="G164" s="13" t="s">
        <v>79</v>
      </c>
      <c r="H164" s="13" t="s">
        <v>79</v>
      </c>
      <c r="I164" s="13" t="s">
        <v>79</v>
      </c>
      <c r="J164" s="13" t="s">
        <v>79</v>
      </c>
      <c r="K164" s="13" t="s">
        <v>79</v>
      </c>
      <c r="L164" s="13" t="s">
        <v>79</v>
      </c>
      <c r="M164" s="13" t="s">
        <v>79</v>
      </c>
      <c r="N164" s="13" t="str">
        <f>IF(IF(ISNUMBER(B164),VLOOKUP($A164,List!$A$1:$B$29,2,FALSE))=FALSE,"",IF(ISNUMBER(B164),VLOOKUP($A164,List!$A$1:$B$29,2,FALSE)))</f>
        <v>Boating is my true passion in life</v>
      </c>
      <c r="O164" s="13" t="str">
        <f>IF(IF(ISNUMBER(C164),VLOOKUP($A164,List!$A$1:$B$29,2,FALSE))=FALSE,"",IF(ISNUMBER(C164),VLOOKUP($A164,List!$A$1:$B$29,2,FALSE)))</f>
        <v/>
      </c>
      <c r="P164" s="13" t="str">
        <f>IF(IF(ISNUMBER(D164),VLOOKUP($A164,List!$A$1:$B$29,2,FALSE))=FALSE,"",IF(ISNUMBER(D164),VLOOKUP($A164,List!$A$1:$B$29,2,FALSE)))</f>
        <v/>
      </c>
      <c r="Q164" s="13" t="str">
        <f>IF(IF(ISNUMBER(E164),VLOOKUP($A164,List!$A$1:$B$29,2,FALSE))=FALSE,"",IF(ISNUMBER(E164),VLOOKUP($A164,List!$A$1:$B$29,2,FALSE)))</f>
        <v/>
      </c>
      <c r="R164" s="13" t="str">
        <f>IF(IF(ISNUMBER(F164),VLOOKUP($A164,List!$A$1:$B$29,2,FALSE))=FALSE,"",IF(ISNUMBER(F164),VLOOKUP($A164,List!$A$1:$B$29,2,FALSE)))</f>
        <v/>
      </c>
      <c r="S164" s="13" t="str">
        <f>IF(IF(ISNUMBER(G164),VLOOKUP($A164,List!$A$1:$B$29,2,FALSE))=FALSE,"",IF(ISNUMBER(G164),VLOOKUP($A164,List!$A$1:$B$29,2,FALSE)))</f>
        <v/>
      </c>
      <c r="T164" s="13" t="str">
        <f>IF(IF(ISNUMBER(H164),VLOOKUP($A164,List!$A$1:$B$29,2,FALSE))=FALSE,"",IF(ISNUMBER(H164),VLOOKUP($A164,List!$A$1:$B$29,2,FALSE)))</f>
        <v/>
      </c>
      <c r="U164" s="13" t="str">
        <f>IF(IF(ISNUMBER(I164),VLOOKUP($A164,List!$A$1:$B$29,2,FALSE))=FALSE,"",IF(ISNUMBER(I164),VLOOKUP($A164,List!$A$1:$B$29,2,FALSE)))</f>
        <v/>
      </c>
      <c r="V164" s="13" t="str">
        <f>IF(IF(ISNUMBER(J164),VLOOKUP($A164,List!$A$1:$B$29,2,FALSE))=FALSE,"",IF(ISNUMBER(J164),VLOOKUP($A164,List!$A$1:$B$29,2,FALSE)))</f>
        <v/>
      </c>
      <c r="W164" s="13" t="str">
        <f>IF(IF(ISNUMBER(K164),VLOOKUP($A164,List!$A$1:$B$29,2,FALSE))=FALSE,"",IF(ISNUMBER(K164),VLOOKUP($A164,List!$A$1:$B$29,2,FALSE)))</f>
        <v/>
      </c>
      <c r="X164" s="13" t="str">
        <f>IF(IF(ISNUMBER(L164),VLOOKUP($A164,List!$A$1:$B$29,2,FALSE))=FALSE,"",IF(ISNUMBER(L164),VLOOKUP($A164,List!$A$1:$B$29,2,FALSE)))</f>
        <v/>
      </c>
      <c r="Y164" s="13" t="str">
        <f>IF(IF(ISNUMBER(M164),VLOOKUP($A164,List!$A$1:$B$29,2,FALSE))=FALSE,"",IF(ISNUMBER(M164),VLOOKUP($A164,List!$A$1:$B$29,2,FALSE)))</f>
        <v/>
      </c>
    </row>
    <row r="165" spans="1:25" ht="15" thickBot="1" x14ac:dyDescent="0.35">
      <c r="A165" s="4">
        <v>23</v>
      </c>
      <c r="B165" s="28">
        <v>0.68</v>
      </c>
      <c r="C165" s="28" t="s">
        <v>79</v>
      </c>
      <c r="D165" s="28" t="s">
        <v>79</v>
      </c>
      <c r="E165" s="28" t="s">
        <v>79</v>
      </c>
      <c r="F165" s="28" t="s">
        <v>79</v>
      </c>
      <c r="G165" s="13" t="s">
        <v>79</v>
      </c>
      <c r="H165" s="13" t="s">
        <v>79</v>
      </c>
      <c r="I165" s="13" t="s">
        <v>79</v>
      </c>
      <c r="J165" s="13" t="s">
        <v>79</v>
      </c>
      <c r="K165" s="13" t="s">
        <v>79</v>
      </c>
      <c r="L165" s="13" t="s">
        <v>79</v>
      </c>
      <c r="M165" s="13" t="s">
        <v>79</v>
      </c>
      <c r="N165" s="13" t="str">
        <f>IF(IF(ISNUMBER(B165),VLOOKUP($A165,List!$A$1:$B$29,2,FALSE))=FALSE,"",IF(ISNUMBER(B165),VLOOKUP($A165,List!$A$1:$B$29,2,FALSE)))</f>
        <v>Boating allows me to excel in the sports that I am passionate about</v>
      </c>
      <c r="O165" s="13" t="str">
        <f>IF(IF(ISNUMBER(C165),VLOOKUP($A165,List!$A$1:$B$29,2,FALSE))=FALSE,"",IF(ISNUMBER(C165),VLOOKUP($A165,List!$A$1:$B$29,2,FALSE)))</f>
        <v/>
      </c>
      <c r="P165" s="13" t="str">
        <f>IF(IF(ISNUMBER(D165),VLOOKUP($A165,List!$A$1:$B$29,2,FALSE))=FALSE,"",IF(ISNUMBER(D165),VLOOKUP($A165,List!$A$1:$B$29,2,FALSE)))</f>
        <v/>
      </c>
      <c r="Q165" s="13" t="str">
        <f>IF(IF(ISNUMBER(E165),VLOOKUP($A165,List!$A$1:$B$29,2,FALSE))=FALSE,"",IF(ISNUMBER(E165),VLOOKUP($A165,List!$A$1:$B$29,2,FALSE)))</f>
        <v/>
      </c>
      <c r="R165" s="13" t="str">
        <f>IF(IF(ISNUMBER(F165),VLOOKUP($A165,List!$A$1:$B$29,2,FALSE))=FALSE,"",IF(ISNUMBER(F165),VLOOKUP($A165,List!$A$1:$B$29,2,FALSE)))</f>
        <v/>
      </c>
      <c r="S165" s="13" t="str">
        <f>IF(IF(ISNUMBER(G165),VLOOKUP($A165,List!$A$1:$B$29,2,FALSE))=FALSE,"",IF(ISNUMBER(G165),VLOOKUP($A165,List!$A$1:$B$29,2,FALSE)))</f>
        <v/>
      </c>
      <c r="T165" s="13" t="str">
        <f>IF(IF(ISNUMBER(H165),VLOOKUP($A165,List!$A$1:$B$29,2,FALSE))=FALSE,"",IF(ISNUMBER(H165),VLOOKUP($A165,List!$A$1:$B$29,2,FALSE)))</f>
        <v/>
      </c>
      <c r="U165" s="13" t="str">
        <f>IF(IF(ISNUMBER(I165),VLOOKUP($A165,List!$A$1:$B$29,2,FALSE))=FALSE,"",IF(ISNUMBER(I165),VLOOKUP($A165,List!$A$1:$B$29,2,FALSE)))</f>
        <v/>
      </c>
      <c r="V165" s="13" t="str">
        <f>IF(IF(ISNUMBER(J165),VLOOKUP($A165,List!$A$1:$B$29,2,FALSE))=FALSE,"",IF(ISNUMBER(J165),VLOOKUP($A165,List!$A$1:$B$29,2,FALSE)))</f>
        <v/>
      </c>
      <c r="W165" s="13" t="str">
        <f>IF(IF(ISNUMBER(K165),VLOOKUP($A165,List!$A$1:$B$29,2,FALSE))=FALSE,"",IF(ISNUMBER(K165),VLOOKUP($A165,List!$A$1:$B$29,2,FALSE)))</f>
        <v/>
      </c>
      <c r="X165" s="13" t="str">
        <f>IF(IF(ISNUMBER(L165),VLOOKUP($A165,List!$A$1:$B$29,2,FALSE))=FALSE,"",IF(ISNUMBER(L165),VLOOKUP($A165,List!$A$1:$B$29,2,FALSE)))</f>
        <v/>
      </c>
      <c r="Y165" s="13" t="str">
        <f>IF(IF(ISNUMBER(M165),VLOOKUP($A165,List!$A$1:$B$29,2,FALSE))=FALSE,"",IF(ISNUMBER(M165),VLOOKUP($A165,List!$A$1:$B$29,2,FALSE)))</f>
        <v/>
      </c>
    </row>
    <row r="166" spans="1:25" ht="15" thickBot="1" x14ac:dyDescent="0.35">
      <c r="A166" s="4">
        <v>16</v>
      </c>
      <c r="B166" s="28">
        <v>0.67</v>
      </c>
      <c r="C166" s="28" t="s">
        <v>79</v>
      </c>
      <c r="D166" s="28" t="s">
        <v>79</v>
      </c>
      <c r="E166" s="28" t="s">
        <v>79</v>
      </c>
      <c r="F166" s="28" t="s">
        <v>79</v>
      </c>
      <c r="G166" s="13" t="s">
        <v>79</v>
      </c>
      <c r="H166" s="13" t="s">
        <v>79</v>
      </c>
      <c r="I166" s="13" t="s">
        <v>79</v>
      </c>
      <c r="J166" s="13" t="s">
        <v>79</v>
      </c>
      <c r="K166" s="13" t="s">
        <v>79</v>
      </c>
      <c r="L166" s="13" t="s">
        <v>79</v>
      </c>
      <c r="M166" s="13" t="s">
        <v>79</v>
      </c>
      <c r="N166" s="13" t="str">
        <f>IF(IF(ISNUMBER(B166),VLOOKUP($A166,List!$A$1:$B$29,2,FALSE))=FALSE,"",IF(ISNUMBER(B166),VLOOKUP($A166,List!$A$1:$B$29,2,FALSE)))</f>
        <v>People tend to come to me for advice about boating</v>
      </c>
      <c r="O166" s="13" t="str">
        <f>IF(IF(ISNUMBER(C166),VLOOKUP($A166,List!$A$1:$B$29,2,FALSE))=FALSE,"",IF(ISNUMBER(C166),VLOOKUP($A166,List!$A$1:$B$29,2,FALSE)))</f>
        <v/>
      </c>
      <c r="P166" s="13" t="str">
        <f>IF(IF(ISNUMBER(D166),VLOOKUP($A166,List!$A$1:$B$29,2,FALSE))=FALSE,"",IF(ISNUMBER(D166),VLOOKUP($A166,List!$A$1:$B$29,2,FALSE)))</f>
        <v/>
      </c>
      <c r="Q166" s="13" t="str">
        <f>IF(IF(ISNUMBER(E166),VLOOKUP($A166,List!$A$1:$B$29,2,FALSE))=FALSE,"",IF(ISNUMBER(E166),VLOOKUP($A166,List!$A$1:$B$29,2,FALSE)))</f>
        <v/>
      </c>
      <c r="R166" s="13" t="str">
        <f>IF(IF(ISNUMBER(F166),VLOOKUP($A166,List!$A$1:$B$29,2,FALSE))=FALSE,"",IF(ISNUMBER(F166),VLOOKUP($A166,List!$A$1:$B$29,2,FALSE)))</f>
        <v/>
      </c>
      <c r="S166" s="13" t="str">
        <f>IF(IF(ISNUMBER(G166),VLOOKUP($A166,List!$A$1:$B$29,2,FALSE))=FALSE,"",IF(ISNUMBER(G166),VLOOKUP($A166,List!$A$1:$B$29,2,FALSE)))</f>
        <v/>
      </c>
      <c r="T166" s="13" t="str">
        <f>IF(IF(ISNUMBER(H166),VLOOKUP($A166,List!$A$1:$B$29,2,FALSE))=FALSE,"",IF(ISNUMBER(H166),VLOOKUP($A166,List!$A$1:$B$29,2,FALSE)))</f>
        <v/>
      </c>
      <c r="U166" s="13" t="str">
        <f>IF(IF(ISNUMBER(I166),VLOOKUP($A166,List!$A$1:$B$29,2,FALSE))=FALSE,"",IF(ISNUMBER(I166),VLOOKUP($A166,List!$A$1:$B$29,2,FALSE)))</f>
        <v/>
      </c>
      <c r="V166" s="13" t="str">
        <f>IF(IF(ISNUMBER(J166),VLOOKUP($A166,List!$A$1:$B$29,2,FALSE))=FALSE,"",IF(ISNUMBER(J166),VLOOKUP($A166,List!$A$1:$B$29,2,FALSE)))</f>
        <v/>
      </c>
      <c r="W166" s="13" t="str">
        <f>IF(IF(ISNUMBER(K166),VLOOKUP($A166,List!$A$1:$B$29,2,FALSE))=FALSE,"",IF(ISNUMBER(K166),VLOOKUP($A166,List!$A$1:$B$29,2,FALSE)))</f>
        <v/>
      </c>
      <c r="X166" s="13" t="str">
        <f>IF(IF(ISNUMBER(L166),VLOOKUP($A166,List!$A$1:$B$29,2,FALSE))=FALSE,"",IF(ISNUMBER(L166),VLOOKUP($A166,List!$A$1:$B$29,2,FALSE)))</f>
        <v/>
      </c>
      <c r="Y166" s="13" t="str">
        <f>IF(IF(ISNUMBER(M166),VLOOKUP($A166,List!$A$1:$B$29,2,FALSE))=FALSE,"",IF(ISNUMBER(M166),VLOOKUP($A166,List!$A$1:$B$29,2,FALSE)))</f>
        <v/>
      </c>
    </row>
    <row r="167" spans="1:25" ht="15" thickBot="1" x14ac:dyDescent="0.35">
      <c r="A167" s="4">
        <v>20</v>
      </c>
      <c r="B167" s="28">
        <v>0.66</v>
      </c>
      <c r="C167" s="28" t="s">
        <v>79</v>
      </c>
      <c r="D167" s="28" t="s">
        <v>79</v>
      </c>
      <c r="E167" s="28" t="s">
        <v>79</v>
      </c>
      <c r="F167" s="28" t="s">
        <v>79</v>
      </c>
      <c r="G167" s="13" t="s">
        <v>79</v>
      </c>
      <c r="H167" s="13" t="s">
        <v>79</v>
      </c>
      <c r="I167" s="13" t="s">
        <v>79</v>
      </c>
      <c r="J167" s="13" t="s">
        <v>79</v>
      </c>
      <c r="K167" s="13" t="s">
        <v>79</v>
      </c>
      <c r="L167" s="13" t="s">
        <v>79</v>
      </c>
      <c r="M167" s="13" t="s">
        <v>79</v>
      </c>
      <c r="N167" s="13" t="str">
        <f>IF(IF(ISNUMBER(B167),VLOOKUP($A167,List!$A$1:$B$29,2,FALSE))=FALSE,"",IF(ISNUMBER(B167),VLOOKUP($A167,List!$A$1:$B$29,2,FALSE)))</f>
        <v>When not on my boat, I often find myself doing boating related activities</v>
      </c>
      <c r="O167" s="13" t="str">
        <f>IF(IF(ISNUMBER(C167),VLOOKUP($A167,List!$A$1:$B$29,2,FALSE))=FALSE,"",IF(ISNUMBER(C167),VLOOKUP($A167,List!$A$1:$B$29,2,FALSE)))</f>
        <v/>
      </c>
      <c r="P167" s="13" t="str">
        <f>IF(IF(ISNUMBER(D167),VLOOKUP($A167,List!$A$1:$B$29,2,FALSE))=FALSE,"",IF(ISNUMBER(D167),VLOOKUP($A167,List!$A$1:$B$29,2,FALSE)))</f>
        <v/>
      </c>
      <c r="Q167" s="13" t="str">
        <f>IF(IF(ISNUMBER(E167),VLOOKUP($A167,List!$A$1:$B$29,2,FALSE))=FALSE,"",IF(ISNUMBER(E167),VLOOKUP($A167,List!$A$1:$B$29,2,FALSE)))</f>
        <v/>
      </c>
      <c r="R167" s="13" t="str">
        <f>IF(IF(ISNUMBER(F167),VLOOKUP($A167,List!$A$1:$B$29,2,FALSE))=FALSE,"",IF(ISNUMBER(F167),VLOOKUP($A167,List!$A$1:$B$29,2,FALSE)))</f>
        <v/>
      </c>
      <c r="S167" s="13" t="str">
        <f>IF(IF(ISNUMBER(G167),VLOOKUP($A167,List!$A$1:$B$29,2,FALSE))=FALSE,"",IF(ISNUMBER(G167),VLOOKUP($A167,List!$A$1:$B$29,2,FALSE)))</f>
        <v/>
      </c>
      <c r="T167" s="13" t="str">
        <f>IF(IF(ISNUMBER(H167),VLOOKUP($A167,List!$A$1:$B$29,2,FALSE))=FALSE,"",IF(ISNUMBER(H167),VLOOKUP($A167,List!$A$1:$B$29,2,FALSE)))</f>
        <v/>
      </c>
      <c r="U167" s="13" t="str">
        <f>IF(IF(ISNUMBER(I167),VLOOKUP($A167,List!$A$1:$B$29,2,FALSE))=FALSE,"",IF(ISNUMBER(I167),VLOOKUP($A167,List!$A$1:$B$29,2,FALSE)))</f>
        <v/>
      </c>
      <c r="V167" s="13" t="str">
        <f>IF(IF(ISNUMBER(J167),VLOOKUP($A167,List!$A$1:$B$29,2,FALSE))=FALSE,"",IF(ISNUMBER(J167),VLOOKUP($A167,List!$A$1:$B$29,2,FALSE)))</f>
        <v/>
      </c>
      <c r="W167" s="13" t="str">
        <f>IF(IF(ISNUMBER(K167),VLOOKUP($A167,List!$A$1:$B$29,2,FALSE))=FALSE,"",IF(ISNUMBER(K167),VLOOKUP($A167,List!$A$1:$B$29,2,FALSE)))</f>
        <v/>
      </c>
      <c r="X167" s="13" t="str">
        <f>IF(IF(ISNUMBER(L167),VLOOKUP($A167,List!$A$1:$B$29,2,FALSE))=FALSE,"",IF(ISNUMBER(L167),VLOOKUP($A167,List!$A$1:$B$29,2,FALSE)))</f>
        <v/>
      </c>
      <c r="Y167" s="13" t="str">
        <f>IF(IF(ISNUMBER(M167),VLOOKUP($A167,List!$A$1:$B$29,2,FALSE))=FALSE,"",IF(ISNUMBER(M167),VLOOKUP($A167,List!$A$1:$B$29,2,FALSE)))</f>
        <v/>
      </c>
    </row>
    <row r="168" spans="1:25" ht="15" thickBot="1" x14ac:dyDescent="0.35">
      <c r="A168" s="4">
        <v>17</v>
      </c>
      <c r="B168" s="28">
        <v>0.56000000000000005</v>
      </c>
      <c r="C168" s="28" t="s">
        <v>79</v>
      </c>
      <c r="D168" s="28" t="s">
        <v>79</v>
      </c>
      <c r="E168" s="28" t="s">
        <v>79</v>
      </c>
      <c r="F168" s="28" t="s">
        <v>79</v>
      </c>
      <c r="G168" s="13" t="s">
        <v>79</v>
      </c>
      <c r="H168" s="13" t="s">
        <v>79</v>
      </c>
      <c r="I168" s="13" t="s">
        <v>79</v>
      </c>
      <c r="J168" s="13" t="s">
        <v>79</v>
      </c>
      <c r="K168" s="13" t="s">
        <v>79</v>
      </c>
      <c r="L168" s="13" t="s">
        <v>79</v>
      </c>
      <c r="M168" s="13" t="s">
        <v>79</v>
      </c>
      <c r="N168" s="13" t="str">
        <f>IF(IF(ISNUMBER(B168),VLOOKUP($A168,List!$A$1:$B$29,2,FALSE))=FALSE,"",IF(ISNUMBER(B168),VLOOKUP($A168,List!$A$1:$B$29,2,FALSE)))</f>
        <v>I consider myself more knowledgeable about boating than the rest of my boating peers</v>
      </c>
      <c r="O168" s="13" t="str">
        <f>IF(IF(ISNUMBER(C168),VLOOKUP($A168,List!$A$1:$B$29,2,FALSE))=FALSE,"",IF(ISNUMBER(C168),VLOOKUP($A168,List!$A$1:$B$29,2,FALSE)))</f>
        <v/>
      </c>
      <c r="P168" s="13" t="str">
        <f>IF(IF(ISNUMBER(D168),VLOOKUP($A168,List!$A$1:$B$29,2,FALSE))=FALSE,"",IF(ISNUMBER(D168),VLOOKUP($A168,List!$A$1:$B$29,2,FALSE)))</f>
        <v/>
      </c>
      <c r="Q168" s="13" t="str">
        <f>IF(IF(ISNUMBER(E168),VLOOKUP($A168,List!$A$1:$B$29,2,FALSE))=FALSE,"",IF(ISNUMBER(E168),VLOOKUP($A168,List!$A$1:$B$29,2,FALSE)))</f>
        <v/>
      </c>
      <c r="R168" s="13" t="str">
        <f>IF(IF(ISNUMBER(F168),VLOOKUP($A168,List!$A$1:$B$29,2,FALSE))=FALSE,"",IF(ISNUMBER(F168),VLOOKUP($A168,List!$A$1:$B$29,2,FALSE)))</f>
        <v/>
      </c>
      <c r="S168" s="13" t="str">
        <f>IF(IF(ISNUMBER(G168),VLOOKUP($A168,List!$A$1:$B$29,2,FALSE))=FALSE,"",IF(ISNUMBER(G168),VLOOKUP($A168,List!$A$1:$B$29,2,FALSE)))</f>
        <v/>
      </c>
      <c r="T168" s="13" t="str">
        <f>IF(IF(ISNUMBER(H168),VLOOKUP($A168,List!$A$1:$B$29,2,FALSE))=FALSE,"",IF(ISNUMBER(H168),VLOOKUP($A168,List!$A$1:$B$29,2,FALSE)))</f>
        <v/>
      </c>
      <c r="U168" s="13" t="str">
        <f>IF(IF(ISNUMBER(I168),VLOOKUP($A168,List!$A$1:$B$29,2,FALSE))=FALSE,"",IF(ISNUMBER(I168),VLOOKUP($A168,List!$A$1:$B$29,2,FALSE)))</f>
        <v/>
      </c>
      <c r="V168" s="13" t="str">
        <f>IF(IF(ISNUMBER(J168),VLOOKUP($A168,List!$A$1:$B$29,2,FALSE))=FALSE,"",IF(ISNUMBER(J168),VLOOKUP($A168,List!$A$1:$B$29,2,FALSE)))</f>
        <v/>
      </c>
      <c r="W168" s="13" t="str">
        <f>IF(IF(ISNUMBER(K168),VLOOKUP($A168,List!$A$1:$B$29,2,FALSE))=FALSE,"",IF(ISNUMBER(K168),VLOOKUP($A168,List!$A$1:$B$29,2,FALSE)))</f>
        <v/>
      </c>
      <c r="X168" s="13" t="str">
        <f>IF(IF(ISNUMBER(L168),VLOOKUP($A168,List!$A$1:$B$29,2,FALSE))=FALSE,"",IF(ISNUMBER(L168),VLOOKUP($A168,List!$A$1:$B$29,2,FALSE)))</f>
        <v/>
      </c>
      <c r="Y168" s="13" t="str">
        <f>IF(IF(ISNUMBER(M168),VLOOKUP($A168,List!$A$1:$B$29,2,FALSE))=FALSE,"",IF(ISNUMBER(M168),VLOOKUP($A168,List!$A$1:$B$29,2,FALSE)))</f>
        <v/>
      </c>
    </row>
    <row r="169" spans="1:25" ht="15" thickBot="1" x14ac:dyDescent="0.35">
      <c r="A169" s="4">
        <v>26</v>
      </c>
      <c r="B169" s="28" t="s">
        <v>79</v>
      </c>
      <c r="C169" s="28" t="s">
        <v>79</v>
      </c>
      <c r="D169" s="28" t="s">
        <v>79</v>
      </c>
      <c r="E169" s="28" t="s">
        <v>79</v>
      </c>
      <c r="F169" s="28" t="s">
        <v>79</v>
      </c>
      <c r="G169" s="13" t="s">
        <v>79</v>
      </c>
      <c r="H169" s="13" t="s">
        <v>79</v>
      </c>
      <c r="I169" s="13" t="s">
        <v>79</v>
      </c>
      <c r="J169" s="13" t="s">
        <v>79</v>
      </c>
      <c r="K169" s="13" t="s">
        <v>79</v>
      </c>
      <c r="L169" s="13" t="s">
        <v>79</v>
      </c>
      <c r="M169" s="13" t="s">
        <v>79</v>
      </c>
      <c r="N169" s="13" t="str">
        <f>IF(IF(ISNUMBER(B169),VLOOKUP($A169,List!$A$1:$B$29,2,FALSE))=FALSE,"",IF(ISNUMBER(B169),VLOOKUP($A169,List!$A$1:$B$29,2,FALSE)))</f>
        <v/>
      </c>
      <c r="O169" s="13" t="str">
        <f>IF(IF(ISNUMBER(C169),VLOOKUP($A169,List!$A$1:$B$29,2,FALSE))=FALSE,"",IF(ISNUMBER(C169),VLOOKUP($A169,List!$A$1:$B$29,2,FALSE)))</f>
        <v/>
      </c>
      <c r="P169" s="13" t="str">
        <f>IF(IF(ISNUMBER(D169),VLOOKUP($A169,List!$A$1:$B$29,2,FALSE))=FALSE,"",IF(ISNUMBER(D169),VLOOKUP($A169,List!$A$1:$B$29,2,FALSE)))</f>
        <v/>
      </c>
      <c r="Q169" s="13" t="str">
        <f>IF(IF(ISNUMBER(E169),VLOOKUP($A169,List!$A$1:$B$29,2,FALSE))=FALSE,"",IF(ISNUMBER(E169),VLOOKUP($A169,List!$A$1:$B$29,2,FALSE)))</f>
        <v/>
      </c>
      <c r="R169" s="13" t="str">
        <f>IF(IF(ISNUMBER(F169),VLOOKUP($A169,List!$A$1:$B$29,2,FALSE))=FALSE,"",IF(ISNUMBER(F169),VLOOKUP($A169,List!$A$1:$B$29,2,FALSE)))</f>
        <v/>
      </c>
      <c r="S169" s="13" t="str">
        <f>IF(IF(ISNUMBER(G169),VLOOKUP($A169,List!$A$1:$B$29,2,FALSE))=FALSE,"",IF(ISNUMBER(G169),VLOOKUP($A169,List!$A$1:$B$29,2,FALSE)))</f>
        <v/>
      </c>
      <c r="T169" s="13" t="str">
        <f>IF(IF(ISNUMBER(H169),VLOOKUP($A169,List!$A$1:$B$29,2,FALSE))=FALSE,"",IF(ISNUMBER(H169),VLOOKUP($A169,List!$A$1:$B$29,2,FALSE)))</f>
        <v/>
      </c>
      <c r="U169" s="13" t="str">
        <f>IF(IF(ISNUMBER(I169),VLOOKUP($A169,List!$A$1:$B$29,2,FALSE))=FALSE,"",IF(ISNUMBER(I169),VLOOKUP($A169,List!$A$1:$B$29,2,FALSE)))</f>
        <v/>
      </c>
      <c r="V169" s="13" t="str">
        <f>IF(IF(ISNUMBER(J169),VLOOKUP($A169,List!$A$1:$B$29,2,FALSE))=FALSE,"",IF(ISNUMBER(J169),VLOOKUP($A169,List!$A$1:$B$29,2,FALSE)))</f>
        <v/>
      </c>
      <c r="W169" s="13" t="str">
        <f>IF(IF(ISNUMBER(K169),VLOOKUP($A169,List!$A$1:$B$29,2,FALSE))=FALSE,"",IF(ISNUMBER(K169),VLOOKUP($A169,List!$A$1:$B$29,2,FALSE)))</f>
        <v/>
      </c>
      <c r="X169" s="13" t="str">
        <f>IF(IF(ISNUMBER(L169),VLOOKUP($A169,List!$A$1:$B$29,2,FALSE))=FALSE,"",IF(ISNUMBER(L169),VLOOKUP($A169,List!$A$1:$B$29,2,FALSE)))</f>
        <v/>
      </c>
      <c r="Y169" s="13" t="str">
        <f>IF(IF(ISNUMBER(M169),VLOOKUP($A169,List!$A$1:$B$29,2,FALSE))=FALSE,"",IF(ISNUMBER(M169),VLOOKUP($A169,List!$A$1:$B$29,2,FALSE)))</f>
        <v/>
      </c>
    </row>
    <row r="170" spans="1:25" ht="15" thickBot="1" x14ac:dyDescent="0.35">
      <c r="A170" s="4">
        <v>22</v>
      </c>
      <c r="B170" s="28" t="s">
        <v>79</v>
      </c>
      <c r="C170" s="28" t="s">
        <v>79</v>
      </c>
      <c r="D170" s="28" t="s">
        <v>79</v>
      </c>
      <c r="E170" s="28" t="s">
        <v>79</v>
      </c>
      <c r="F170" s="28" t="s">
        <v>79</v>
      </c>
      <c r="G170" s="13" t="s">
        <v>79</v>
      </c>
      <c r="H170" s="13" t="s">
        <v>79</v>
      </c>
      <c r="I170" s="13" t="s">
        <v>79</v>
      </c>
      <c r="J170" s="13" t="s">
        <v>79</v>
      </c>
      <c r="K170" s="13" t="s">
        <v>79</v>
      </c>
      <c r="L170" s="13" t="s">
        <v>79</v>
      </c>
      <c r="M170" s="13" t="s">
        <v>79</v>
      </c>
      <c r="N170" s="13" t="str">
        <f>IF(IF(ISNUMBER(B170),VLOOKUP($A170,List!$A$1:$B$29,2,FALSE))=FALSE,"",IF(ISNUMBER(B170),VLOOKUP($A170,List!$A$1:$B$29,2,FALSE)))</f>
        <v/>
      </c>
      <c r="O170" s="13" t="str">
        <f>IF(IF(ISNUMBER(C170),VLOOKUP($A170,List!$A$1:$B$29,2,FALSE))=FALSE,"",IF(ISNUMBER(C170),VLOOKUP($A170,List!$A$1:$B$29,2,FALSE)))</f>
        <v/>
      </c>
      <c r="P170" s="13" t="str">
        <f>IF(IF(ISNUMBER(D170),VLOOKUP($A170,List!$A$1:$B$29,2,FALSE))=FALSE,"",IF(ISNUMBER(D170),VLOOKUP($A170,List!$A$1:$B$29,2,FALSE)))</f>
        <v/>
      </c>
      <c r="Q170" s="13" t="str">
        <f>IF(IF(ISNUMBER(E170),VLOOKUP($A170,List!$A$1:$B$29,2,FALSE))=FALSE,"",IF(ISNUMBER(E170),VLOOKUP($A170,List!$A$1:$B$29,2,FALSE)))</f>
        <v/>
      </c>
      <c r="R170" s="13" t="str">
        <f>IF(IF(ISNUMBER(F170),VLOOKUP($A170,List!$A$1:$B$29,2,FALSE))=FALSE,"",IF(ISNUMBER(F170),VLOOKUP($A170,List!$A$1:$B$29,2,FALSE)))</f>
        <v/>
      </c>
      <c r="S170" s="13" t="str">
        <f>IF(IF(ISNUMBER(G170),VLOOKUP($A170,List!$A$1:$B$29,2,FALSE))=FALSE,"",IF(ISNUMBER(G170),VLOOKUP($A170,List!$A$1:$B$29,2,FALSE)))</f>
        <v/>
      </c>
      <c r="T170" s="13" t="str">
        <f>IF(IF(ISNUMBER(H170),VLOOKUP($A170,List!$A$1:$B$29,2,FALSE))=FALSE,"",IF(ISNUMBER(H170),VLOOKUP($A170,List!$A$1:$B$29,2,FALSE)))</f>
        <v/>
      </c>
      <c r="U170" s="13" t="str">
        <f>IF(IF(ISNUMBER(I170),VLOOKUP($A170,List!$A$1:$B$29,2,FALSE))=FALSE,"",IF(ISNUMBER(I170),VLOOKUP($A170,List!$A$1:$B$29,2,FALSE)))</f>
        <v/>
      </c>
      <c r="V170" s="13" t="str">
        <f>IF(IF(ISNUMBER(J170),VLOOKUP($A170,List!$A$1:$B$29,2,FALSE))=FALSE,"",IF(ISNUMBER(J170),VLOOKUP($A170,List!$A$1:$B$29,2,FALSE)))</f>
        <v/>
      </c>
      <c r="W170" s="13" t="str">
        <f>IF(IF(ISNUMBER(K170),VLOOKUP($A170,List!$A$1:$B$29,2,FALSE))=FALSE,"",IF(ISNUMBER(K170),VLOOKUP($A170,List!$A$1:$B$29,2,FALSE)))</f>
        <v/>
      </c>
      <c r="X170" s="13" t="str">
        <f>IF(IF(ISNUMBER(L170),VLOOKUP($A170,List!$A$1:$B$29,2,FALSE))=FALSE,"",IF(ISNUMBER(L170),VLOOKUP($A170,List!$A$1:$B$29,2,FALSE)))</f>
        <v/>
      </c>
      <c r="Y170" s="13" t="str">
        <f>IF(IF(ISNUMBER(M170),VLOOKUP($A170,List!$A$1:$B$29,2,FALSE))=FALSE,"",IF(ISNUMBER(M170),VLOOKUP($A170,List!$A$1:$B$29,2,FALSE)))</f>
        <v/>
      </c>
    </row>
    <row r="171" spans="1:25" ht="15" thickBot="1" x14ac:dyDescent="0.35">
      <c r="A171" s="4">
        <v>12</v>
      </c>
      <c r="B171" s="28" t="s">
        <v>79</v>
      </c>
      <c r="C171" s="28" t="s">
        <v>79</v>
      </c>
      <c r="D171" s="28" t="s">
        <v>79</v>
      </c>
      <c r="E171" s="28" t="s">
        <v>79</v>
      </c>
      <c r="F171" s="28">
        <v>0.77</v>
      </c>
      <c r="G171" s="13" t="s">
        <v>79</v>
      </c>
      <c r="H171" s="13" t="s">
        <v>79</v>
      </c>
      <c r="I171" s="13" t="s">
        <v>79</v>
      </c>
      <c r="J171" s="13" t="s">
        <v>79</v>
      </c>
      <c r="K171" s="13" t="s">
        <v>79</v>
      </c>
      <c r="L171" s="13" t="s">
        <v>79</v>
      </c>
      <c r="M171" s="13" t="s">
        <v>79</v>
      </c>
      <c r="N171" s="13" t="str">
        <f>IF(IF(ISNUMBER(B171),VLOOKUP($A171,List!$A$1:$B$29,2,FALSE))=FALSE,"",IF(ISNUMBER(B171),VLOOKUP($A171,List!$A$1:$B$29,2,FALSE)))</f>
        <v/>
      </c>
      <c r="O171" s="13" t="str">
        <f>IF(IF(ISNUMBER(C171),VLOOKUP($A171,List!$A$1:$B$29,2,FALSE))=FALSE,"",IF(ISNUMBER(C171),VLOOKUP($A171,List!$A$1:$B$29,2,FALSE)))</f>
        <v/>
      </c>
      <c r="P171" s="13" t="str">
        <f>IF(IF(ISNUMBER(D171),VLOOKUP($A171,List!$A$1:$B$29,2,FALSE))=FALSE,"",IF(ISNUMBER(D171),VLOOKUP($A171,List!$A$1:$B$29,2,FALSE)))</f>
        <v/>
      </c>
      <c r="Q171" s="13" t="str">
        <f>IF(IF(ISNUMBER(E171),VLOOKUP($A171,List!$A$1:$B$29,2,FALSE))=FALSE,"",IF(ISNUMBER(E171),VLOOKUP($A171,List!$A$1:$B$29,2,FALSE)))</f>
        <v/>
      </c>
      <c r="R171" s="13" t="str">
        <f>IF(IF(ISNUMBER(F171),VLOOKUP($A171,List!$A$1:$B$29,2,FALSE))=FALSE,"",IF(ISNUMBER(F171),VLOOKUP($A171,List!$A$1:$B$29,2,FALSE)))</f>
        <v>When it comes to boating, I tend to prefer a basic boat with little to no frills</v>
      </c>
      <c r="S171" s="13" t="str">
        <f>IF(IF(ISNUMBER(G171),VLOOKUP($A171,List!$A$1:$B$29,2,FALSE))=FALSE,"",IF(ISNUMBER(G171),VLOOKUP($A171,List!$A$1:$B$29,2,FALSE)))</f>
        <v/>
      </c>
      <c r="T171" s="13" t="str">
        <f>IF(IF(ISNUMBER(H171),VLOOKUP($A171,List!$A$1:$B$29,2,FALSE))=FALSE,"",IF(ISNUMBER(H171),VLOOKUP($A171,List!$A$1:$B$29,2,FALSE)))</f>
        <v/>
      </c>
      <c r="U171" s="13" t="str">
        <f>IF(IF(ISNUMBER(I171),VLOOKUP($A171,List!$A$1:$B$29,2,FALSE))=FALSE,"",IF(ISNUMBER(I171),VLOOKUP($A171,List!$A$1:$B$29,2,FALSE)))</f>
        <v/>
      </c>
      <c r="V171" s="13" t="str">
        <f>IF(IF(ISNUMBER(J171),VLOOKUP($A171,List!$A$1:$B$29,2,FALSE))=FALSE,"",IF(ISNUMBER(J171),VLOOKUP($A171,List!$A$1:$B$29,2,FALSE)))</f>
        <v/>
      </c>
      <c r="W171" s="13" t="str">
        <f>IF(IF(ISNUMBER(K171),VLOOKUP($A171,List!$A$1:$B$29,2,FALSE))=FALSE,"",IF(ISNUMBER(K171),VLOOKUP($A171,List!$A$1:$B$29,2,FALSE)))</f>
        <v/>
      </c>
      <c r="X171" s="13" t="str">
        <f>IF(IF(ISNUMBER(L171),VLOOKUP($A171,List!$A$1:$B$29,2,FALSE))=FALSE,"",IF(ISNUMBER(L171),VLOOKUP($A171,List!$A$1:$B$29,2,FALSE)))</f>
        <v/>
      </c>
      <c r="Y171" s="13" t="str">
        <f>IF(IF(ISNUMBER(M171),VLOOKUP($A171,List!$A$1:$B$29,2,FALSE))=FALSE,"",IF(ISNUMBER(M171),VLOOKUP($A171,List!$A$1:$B$29,2,FALSE)))</f>
        <v/>
      </c>
    </row>
    <row r="172" spans="1:25" ht="15" thickBot="1" x14ac:dyDescent="0.35">
      <c r="A172" s="4">
        <v>11</v>
      </c>
      <c r="B172" s="28" t="s">
        <v>79</v>
      </c>
      <c r="C172" s="28" t="s">
        <v>79</v>
      </c>
      <c r="D172" s="28" t="s">
        <v>79</v>
      </c>
      <c r="E172" s="28" t="s">
        <v>79</v>
      </c>
      <c r="F172" s="28" t="s">
        <v>79</v>
      </c>
      <c r="G172" s="13">
        <v>0.9</v>
      </c>
      <c r="H172" s="13" t="s">
        <v>79</v>
      </c>
      <c r="I172" s="13" t="s">
        <v>79</v>
      </c>
      <c r="J172" s="13" t="s">
        <v>79</v>
      </c>
      <c r="K172" s="13" t="s">
        <v>79</v>
      </c>
      <c r="L172" s="13" t="s">
        <v>79</v>
      </c>
      <c r="M172" s="13" t="s">
        <v>79</v>
      </c>
      <c r="N172" s="13" t="str">
        <f>IF(IF(ISNUMBER(B172),VLOOKUP($A172,List!$A$1:$B$29,2,FALSE))=FALSE,"",IF(ISNUMBER(B172),VLOOKUP($A172,List!$A$1:$B$29,2,FALSE)))</f>
        <v/>
      </c>
      <c r="O172" s="13" t="str">
        <f>IF(IF(ISNUMBER(C172),VLOOKUP($A172,List!$A$1:$B$29,2,FALSE))=FALSE,"",IF(ISNUMBER(C172),VLOOKUP($A172,List!$A$1:$B$29,2,FALSE)))</f>
        <v/>
      </c>
      <c r="P172" s="13" t="str">
        <f>IF(IF(ISNUMBER(D172),VLOOKUP($A172,List!$A$1:$B$29,2,FALSE))=FALSE,"",IF(ISNUMBER(D172),VLOOKUP($A172,List!$A$1:$B$29,2,FALSE)))</f>
        <v/>
      </c>
      <c r="Q172" s="13" t="str">
        <f>IF(IF(ISNUMBER(E172),VLOOKUP($A172,List!$A$1:$B$29,2,FALSE))=FALSE,"",IF(ISNUMBER(E172),VLOOKUP($A172,List!$A$1:$B$29,2,FALSE)))</f>
        <v/>
      </c>
      <c r="R172" s="13" t="str">
        <f>IF(IF(ISNUMBER(F172),VLOOKUP($A172,List!$A$1:$B$29,2,FALSE))=FALSE,"",IF(ISNUMBER(F172),VLOOKUP($A172,List!$A$1:$B$29,2,FALSE)))</f>
        <v/>
      </c>
      <c r="S172" s="13" t="str">
        <f>IF(IF(ISNUMBER(G172),VLOOKUP($A172,List!$A$1:$B$29,2,FALSE))=FALSE,"",IF(ISNUMBER(G172),VLOOKUP($A172,List!$A$1:$B$29,2,FALSE)))</f>
        <v>I tend to perform minor boat repairs and maintenance on my own</v>
      </c>
      <c r="T172" s="13" t="str">
        <f>IF(IF(ISNUMBER(H172),VLOOKUP($A172,List!$A$1:$B$29,2,FALSE))=FALSE,"",IF(ISNUMBER(H172),VLOOKUP($A172,List!$A$1:$B$29,2,FALSE)))</f>
        <v/>
      </c>
      <c r="U172" s="13" t="str">
        <f>IF(IF(ISNUMBER(I172),VLOOKUP($A172,List!$A$1:$B$29,2,FALSE))=FALSE,"",IF(ISNUMBER(I172),VLOOKUP($A172,List!$A$1:$B$29,2,FALSE)))</f>
        <v/>
      </c>
      <c r="V172" s="13" t="str">
        <f>IF(IF(ISNUMBER(J172),VLOOKUP($A172,List!$A$1:$B$29,2,FALSE))=FALSE,"",IF(ISNUMBER(J172),VLOOKUP($A172,List!$A$1:$B$29,2,FALSE)))</f>
        <v/>
      </c>
      <c r="W172" s="13" t="str">
        <f>IF(IF(ISNUMBER(K172),VLOOKUP($A172,List!$A$1:$B$29,2,FALSE))=FALSE,"",IF(ISNUMBER(K172),VLOOKUP($A172,List!$A$1:$B$29,2,FALSE)))</f>
        <v/>
      </c>
      <c r="X172" s="13" t="str">
        <f>IF(IF(ISNUMBER(L172),VLOOKUP($A172,List!$A$1:$B$29,2,FALSE))=FALSE,"",IF(ISNUMBER(L172),VLOOKUP($A172,List!$A$1:$B$29,2,FALSE)))</f>
        <v/>
      </c>
      <c r="Y172" s="13" t="str">
        <f>IF(IF(ISNUMBER(M172),VLOOKUP($A172,List!$A$1:$B$29,2,FALSE))=FALSE,"",IF(ISNUMBER(M172),VLOOKUP($A172,List!$A$1:$B$29,2,FALSE)))</f>
        <v/>
      </c>
    </row>
    <row r="173" spans="1:25" ht="15" thickBot="1" x14ac:dyDescent="0.35">
      <c r="A173" s="4">
        <v>5</v>
      </c>
      <c r="B173" s="28" t="s">
        <v>79</v>
      </c>
      <c r="C173" s="28" t="s">
        <v>79</v>
      </c>
      <c r="D173" s="28" t="s">
        <v>79</v>
      </c>
      <c r="E173" s="28" t="s">
        <v>79</v>
      </c>
      <c r="F173" s="28" t="s">
        <v>79</v>
      </c>
      <c r="G173" s="13" t="s">
        <v>79</v>
      </c>
      <c r="H173" s="13" t="s">
        <v>79</v>
      </c>
      <c r="I173" s="13" t="s">
        <v>79</v>
      </c>
      <c r="J173" s="13" t="s">
        <v>79</v>
      </c>
      <c r="K173" s="13" t="s">
        <v>79</v>
      </c>
      <c r="L173" s="13" t="s">
        <v>79</v>
      </c>
      <c r="M173" s="13" t="s">
        <v>79</v>
      </c>
      <c r="N173" s="13" t="str">
        <f>IF(IF(ISNUMBER(B173),VLOOKUP($A173,List!$A$1:$B$29,2,FALSE))=FALSE,"",IF(ISNUMBER(B173),VLOOKUP($A173,List!$A$1:$B$29,2,FALSE)))</f>
        <v/>
      </c>
      <c r="O173" s="13" t="str">
        <f>IF(IF(ISNUMBER(C173),VLOOKUP($A173,List!$A$1:$B$29,2,FALSE))=FALSE,"",IF(ISNUMBER(C173),VLOOKUP($A173,List!$A$1:$B$29,2,FALSE)))</f>
        <v/>
      </c>
      <c r="P173" s="13" t="str">
        <f>IF(IF(ISNUMBER(D173),VLOOKUP($A173,List!$A$1:$B$29,2,FALSE))=FALSE,"",IF(ISNUMBER(D173),VLOOKUP($A173,List!$A$1:$B$29,2,FALSE)))</f>
        <v/>
      </c>
      <c r="Q173" s="13" t="str">
        <f>IF(IF(ISNUMBER(E173),VLOOKUP($A173,List!$A$1:$B$29,2,FALSE))=FALSE,"",IF(ISNUMBER(E173),VLOOKUP($A173,List!$A$1:$B$29,2,FALSE)))</f>
        <v/>
      </c>
      <c r="R173" s="13" t="str">
        <f>IF(IF(ISNUMBER(F173),VLOOKUP($A173,List!$A$1:$B$29,2,FALSE))=FALSE,"",IF(ISNUMBER(F173),VLOOKUP($A173,List!$A$1:$B$29,2,FALSE)))</f>
        <v/>
      </c>
      <c r="S173" s="13" t="str">
        <f>IF(IF(ISNUMBER(G173),VLOOKUP($A173,List!$A$1:$B$29,2,FALSE))=FALSE,"",IF(ISNUMBER(G173),VLOOKUP($A173,List!$A$1:$B$29,2,FALSE)))</f>
        <v/>
      </c>
      <c r="T173" s="13" t="str">
        <f>IF(IF(ISNUMBER(H173),VLOOKUP($A173,List!$A$1:$B$29,2,FALSE))=FALSE,"",IF(ISNUMBER(H173),VLOOKUP($A173,List!$A$1:$B$29,2,FALSE)))</f>
        <v/>
      </c>
      <c r="U173" s="13" t="str">
        <f>IF(IF(ISNUMBER(I173),VLOOKUP($A173,List!$A$1:$B$29,2,FALSE))=FALSE,"",IF(ISNUMBER(I173),VLOOKUP($A173,List!$A$1:$B$29,2,FALSE)))</f>
        <v/>
      </c>
      <c r="V173" s="13" t="str">
        <f>IF(IF(ISNUMBER(J173),VLOOKUP($A173,List!$A$1:$B$29,2,FALSE))=FALSE,"",IF(ISNUMBER(J173),VLOOKUP($A173,List!$A$1:$B$29,2,FALSE)))</f>
        <v/>
      </c>
      <c r="W173" s="13" t="str">
        <f>IF(IF(ISNUMBER(K173),VLOOKUP($A173,List!$A$1:$B$29,2,FALSE))=FALSE,"",IF(ISNUMBER(K173),VLOOKUP($A173,List!$A$1:$B$29,2,FALSE)))</f>
        <v/>
      </c>
      <c r="X173" s="13" t="str">
        <f>IF(IF(ISNUMBER(L173),VLOOKUP($A173,List!$A$1:$B$29,2,FALSE))=FALSE,"",IF(ISNUMBER(L173),VLOOKUP($A173,List!$A$1:$B$29,2,FALSE)))</f>
        <v/>
      </c>
      <c r="Y173" s="13" t="str">
        <f>IF(IF(ISNUMBER(M173),VLOOKUP($A173,List!$A$1:$B$29,2,FALSE))=FALSE,"",IF(ISNUMBER(M173),VLOOKUP($A173,List!$A$1:$B$29,2,FALSE)))</f>
        <v/>
      </c>
    </row>
    <row r="174" spans="1:25" ht="15" thickBot="1" x14ac:dyDescent="0.35">
      <c r="A174" s="4">
        <v>1</v>
      </c>
      <c r="B174" s="28" t="s">
        <v>79</v>
      </c>
      <c r="C174" s="28" t="s">
        <v>79</v>
      </c>
      <c r="D174" s="28" t="s">
        <v>79</v>
      </c>
      <c r="E174" s="28" t="s">
        <v>79</v>
      </c>
      <c r="F174" s="28" t="s">
        <v>79</v>
      </c>
      <c r="G174" s="13" t="s">
        <v>79</v>
      </c>
      <c r="H174" s="13" t="s">
        <v>79</v>
      </c>
      <c r="I174" s="13">
        <v>1.01</v>
      </c>
      <c r="J174" s="13" t="s">
        <v>79</v>
      </c>
      <c r="K174" s="13" t="s">
        <v>79</v>
      </c>
      <c r="L174" s="13" t="s">
        <v>79</v>
      </c>
      <c r="M174" s="13" t="s">
        <v>79</v>
      </c>
      <c r="N174" s="13" t="str">
        <f>IF(IF(ISNUMBER(B174),VLOOKUP($A174,List!$A$1:$B$29,2,FALSE))=FALSE,"",IF(ISNUMBER(B174),VLOOKUP($A174,List!$A$1:$B$29,2,FALSE)))</f>
        <v/>
      </c>
      <c r="O174" s="13" t="str">
        <f>IF(IF(ISNUMBER(C174),VLOOKUP($A174,List!$A$1:$B$29,2,FALSE))=FALSE,"",IF(ISNUMBER(C174),VLOOKUP($A174,List!$A$1:$B$29,2,FALSE)))</f>
        <v/>
      </c>
      <c r="P174" s="13" t="str">
        <f>IF(IF(ISNUMBER(D174),VLOOKUP($A174,List!$A$1:$B$29,2,FALSE))=FALSE,"",IF(ISNUMBER(D174),VLOOKUP($A174,List!$A$1:$B$29,2,FALSE)))</f>
        <v/>
      </c>
      <c r="Q174" s="13" t="str">
        <f>IF(IF(ISNUMBER(E174),VLOOKUP($A174,List!$A$1:$B$29,2,FALSE))=FALSE,"",IF(ISNUMBER(E174),VLOOKUP($A174,List!$A$1:$B$29,2,FALSE)))</f>
        <v/>
      </c>
      <c r="R174" s="13" t="str">
        <f>IF(IF(ISNUMBER(F174),VLOOKUP($A174,List!$A$1:$B$29,2,FALSE))=FALSE,"",IF(ISNUMBER(F174),VLOOKUP($A174,List!$A$1:$B$29,2,FALSE)))</f>
        <v/>
      </c>
      <c r="S174" s="13" t="str">
        <f>IF(IF(ISNUMBER(G174),VLOOKUP($A174,List!$A$1:$B$29,2,FALSE))=FALSE,"",IF(ISNUMBER(G174),VLOOKUP($A174,List!$A$1:$B$29,2,FALSE)))</f>
        <v/>
      </c>
      <c r="T174" s="13" t="str">
        <f>IF(IF(ISNUMBER(H174),VLOOKUP($A174,List!$A$1:$B$29,2,FALSE))=FALSE,"",IF(ISNUMBER(H174),VLOOKUP($A174,List!$A$1:$B$29,2,FALSE)))</f>
        <v/>
      </c>
      <c r="U174" s="13" t="str">
        <f>IF(IF(ISNUMBER(I174),VLOOKUP($A174,List!$A$1:$B$29,2,FALSE))=FALSE,"",IF(ISNUMBER(I174),VLOOKUP($A174,List!$A$1:$B$29,2,FALSE)))</f>
        <v>When buying a boat, I do a lot of shopping around and visit multiple dealers</v>
      </c>
      <c r="V174" s="13" t="str">
        <f>IF(IF(ISNUMBER(J174),VLOOKUP($A174,List!$A$1:$B$29,2,FALSE))=FALSE,"",IF(ISNUMBER(J174),VLOOKUP($A174,List!$A$1:$B$29,2,FALSE)))</f>
        <v/>
      </c>
      <c r="W174" s="13" t="str">
        <f>IF(IF(ISNUMBER(K174),VLOOKUP($A174,List!$A$1:$B$29,2,FALSE))=FALSE,"",IF(ISNUMBER(K174),VLOOKUP($A174,List!$A$1:$B$29,2,FALSE)))</f>
        <v/>
      </c>
      <c r="X174" s="13" t="str">
        <f>IF(IF(ISNUMBER(L174),VLOOKUP($A174,List!$A$1:$B$29,2,FALSE))=FALSE,"",IF(ISNUMBER(L174),VLOOKUP($A174,List!$A$1:$B$29,2,FALSE)))</f>
        <v/>
      </c>
      <c r="Y174" s="13" t="str">
        <f>IF(IF(ISNUMBER(M174),VLOOKUP($A174,List!$A$1:$B$29,2,FALSE))=FALSE,"",IF(ISNUMBER(M174),VLOOKUP($A174,List!$A$1:$B$29,2,FALSE)))</f>
        <v/>
      </c>
    </row>
    <row r="175" spans="1:25" ht="15" thickBot="1" x14ac:dyDescent="0.35">
      <c r="A175" s="4">
        <v>15</v>
      </c>
      <c r="B175" s="28" t="s">
        <v>79</v>
      </c>
      <c r="C175" s="28">
        <v>0.69</v>
      </c>
      <c r="D175" s="28" t="s">
        <v>79</v>
      </c>
      <c r="E175" s="28" t="s">
        <v>79</v>
      </c>
      <c r="F175" s="28" t="s">
        <v>79</v>
      </c>
      <c r="G175" s="13" t="s">
        <v>79</v>
      </c>
      <c r="H175" s="13" t="s">
        <v>79</v>
      </c>
      <c r="I175" s="13" t="s">
        <v>79</v>
      </c>
      <c r="J175" s="13" t="s">
        <v>79</v>
      </c>
      <c r="K175" s="13" t="s">
        <v>79</v>
      </c>
      <c r="L175" s="13" t="s">
        <v>79</v>
      </c>
      <c r="M175" s="13" t="s">
        <v>79</v>
      </c>
      <c r="N175" s="13" t="str">
        <f>IF(IF(ISNUMBER(B175),VLOOKUP($A175,List!$A$1:$B$29,2,FALSE))=FALSE,"",IF(ISNUMBER(B175),VLOOKUP($A175,List!$A$1:$B$29,2,FALSE)))</f>
        <v/>
      </c>
      <c r="O175" s="13" t="str">
        <f>IF(IF(ISNUMBER(C175),VLOOKUP($A175,List!$A$1:$B$29,2,FALSE))=FALSE,"",IF(ISNUMBER(C175),VLOOKUP($A175,List!$A$1:$B$29,2,FALSE)))</f>
        <v>I am serious about the technology on my boat</v>
      </c>
      <c r="P175" s="13" t="str">
        <f>IF(IF(ISNUMBER(D175),VLOOKUP($A175,List!$A$1:$B$29,2,FALSE))=FALSE,"",IF(ISNUMBER(D175),VLOOKUP($A175,List!$A$1:$B$29,2,FALSE)))</f>
        <v/>
      </c>
      <c r="Q175" s="13" t="str">
        <f>IF(IF(ISNUMBER(E175),VLOOKUP($A175,List!$A$1:$B$29,2,FALSE))=FALSE,"",IF(ISNUMBER(E175),VLOOKUP($A175,List!$A$1:$B$29,2,FALSE)))</f>
        <v/>
      </c>
      <c r="R175" s="13" t="str">
        <f>IF(IF(ISNUMBER(F175),VLOOKUP($A175,List!$A$1:$B$29,2,FALSE))=FALSE,"",IF(ISNUMBER(F175),VLOOKUP($A175,List!$A$1:$B$29,2,FALSE)))</f>
        <v/>
      </c>
      <c r="S175" s="13" t="str">
        <f>IF(IF(ISNUMBER(G175),VLOOKUP($A175,List!$A$1:$B$29,2,FALSE))=FALSE,"",IF(ISNUMBER(G175),VLOOKUP($A175,List!$A$1:$B$29,2,FALSE)))</f>
        <v/>
      </c>
      <c r="T175" s="13" t="str">
        <f>IF(IF(ISNUMBER(H175),VLOOKUP($A175,List!$A$1:$B$29,2,FALSE))=FALSE,"",IF(ISNUMBER(H175),VLOOKUP($A175,List!$A$1:$B$29,2,FALSE)))</f>
        <v/>
      </c>
      <c r="U175" s="13" t="str">
        <f>IF(IF(ISNUMBER(I175),VLOOKUP($A175,List!$A$1:$B$29,2,FALSE))=FALSE,"",IF(ISNUMBER(I175),VLOOKUP($A175,List!$A$1:$B$29,2,FALSE)))</f>
        <v/>
      </c>
      <c r="V175" s="13" t="str">
        <f>IF(IF(ISNUMBER(J175),VLOOKUP($A175,List!$A$1:$B$29,2,FALSE))=FALSE,"",IF(ISNUMBER(J175),VLOOKUP($A175,List!$A$1:$B$29,2,FALSE)))</f>
        <v/>
      </c>
      <c r="W175" s="13" t="str">
        <f>IF(IF(ISNUMBER(K175),VLOOKUP($A175,List!$A$1:$B$29,2,FALSE))=FALSE,"",IF(ISNUMBER(K175),VLOOKUP($A175,List!$A$1:$B$29,2,FALSE)))</f>
        <v/>
      </c>
      <c r="X175" s="13" t="str">
        <f>IF(IF(ISNUMBER(L175),VLOOKUP($A175,List!$A$1:$B$29,2,FALSE))=FALSE,"",IF(ISNUMBER(L175),VLOOKUP($A175,List!$A$1:$B$29,2,FALSE)))</f>
        <v/>
      </c>
      <c r="Y175" s="13" t="str">
        <f>IF(IF(ISNUMBER(M175),VLOOKUP($A175,List!$A$1:$B$29,2,FALSE))=FALSE,"",IF(ISNUMBER(M175),VLOOKUP($A175,List!$A$1:$B$29,2,FALSE)))</f>
        <v/>
      </c>
    </row>
    <row r="176" spans="1:25" ht="15" thickBot="1" x14ac:dyDescent="0.35">
      <c r="A176" s="4">
        <v>3</v>
      </c>
      <c r="B176" s="28" t="s">
        <v>79</v>
      </c>
      <c r="C176" s="28" t="s">
        <v>79</v>
      </c>
      <c r="D176" s="28" t="s">
        <v>79</v>
      </c>
      <c r="E176" s="28">
        <v>0.6</v>
      </c>
      <c r="F176" s="28" t="s">
        <v>79</v>
      </c>
      <c r="G176" s="13" t="s">
        <v>79</v>
      </c>
      <c r="H176" s="13" t="s">
        <v>79</v>
      </c>
      <c r="I176" s="13" t="s">
        <v>79</v>
      </c>
      <c r="J176" s="13" t="s">
        <v>79</v>
      </c>
      <c r="K176" s="13" t="s">
        <v>79</v>
      </c>
      <c r="L176" s="13" t="s">
        <v>79</v>
      </c>
      <c r="M176" s="13" t="s">
        <v>79</v>
      </c>
      <c r="N176" s="13" t="str">
        <f>IF(IF(ISNUMBER(B176),VLOOKUP($A176,List!$A$1:$B$29,2,FALSE))=FALSE,"",IF(ISNUMBER(B176),VLOOKUP($A176,List!$A$1:$B$29,2,FALSE)))</f>
        <v/>
      </c>
      <c r="O176" s="13" t="str">
        <f>IF(IF(ISNUMBER(C176),VLOOKUP($A176,List!$A$1:$B$29,2,FALSE))=FALSE,"",IF(ISNUMBER(C176),VLOOKUP($A176,List!$A$1:$B$29,2,FALSE)))</f>
        <v/>
      </c>
      <c r="P176" s="13" t="str">
        <f>IF(IF(ISNUMBER(D176),VLOOKUP($A176,List!$A$1:$B$29,2,FALSE))=FALSE,"",IF(ISNUMBER(D176),VLOOKUP($A176,List!$A$1:$B$29,2,FALSE)))</f>
        <v/>
      </c>
      <c r="Q176" s="13" t="str">
        <f>IF(IF(ISNUMBER(E176),VLOOKUP($A176,List!$A$1:$B$29,2,FALSE))=FALSE,"",IF(ISNUMBER(E176),VLOOKUP($A176,List!$A$1:$B$29,2,FALSE)))</f>
        <v>The brand of the boat I buy says a lot about who I am</v>
      </c>
      <c r="R176" s="13" t="str">
        <f>IF(IF(ISNUMBER(F176),VLOOKUP($A176,List!$A$1:$B$29,2,FALSE))=FALSE,"",IF(ISNUMBER(F176),VLOOKUP($A176,List!$A$1:$B$29,2,FALSE)))</f>
        <v/>
      </c>
      <c r="S176" s="13" t="str">
        <f>IF(IF(ISNUMBER(G176),VLOOKUP($A176,List!$A$1:$B$29,2,FALSE))=FALSE,"",IF(ISNUMBER(G176),VLOOKUP($A176,List!$A$1:$B$29,2,FALSE)))</f>
        <v/>
      </c>
      <c r="T176" s="13" t="str">
        <f>IF(IF(ISNUMBER(H176),VLOOKUP($A176,List!$A$1:$B$29,2,FALSE))=FALSE,"",IF(ISNUMBER(H176),VLOOKUP($A176,List!$A$1:$B$29,2,FALSE)))</f>
        <v/>
      </c>
      <c r="U176" s="13" t="str">
        <f>IF(IF(ISNUMBER(I176),VLOOKUP($A176,List!$A$1:$B$29,2,FALSE))=FALSE,"",IF(ISNUMBER(I176),VLOOKUP($A176,List!$A$1:$B$29,2,FALSE)))</f>
        <v/>
      </c>
      <c r="V176" s="13" t="str">
        <f>IF(IF(ISNUMBER(J176),VLOOKUP($A176,List!$A$1:$B$29,2,FALSE))=FALSE,"",IF(ISNUMBER(J176),VLOOKUP($A176,List!$A$1:$B$29,2,FALSE)))</f>
        <v/>
      </c>
      <c r="W176" s="13" t="str">
        <f>IF(IF(ISNUMBER(K176),VLOOKUP($A176,List!$A$1:$B$29,2,FALSE))=FALSE,"",IF(ISNUMBER(K176),VLOOKUP($A176,List!$A$1:$B$29,2,FALSE)))</f>
        <v/>
      </c>
      <c r="X176" s="13" t="str">
        <f>IF(IF(ISNUMBER(L176),VLOOKUP($A176,List!$A$1:$B$29,2,FALSE))=FALSE,"",IF(ISNUMBER(L176),VLOOKUP($A176,List!$A$1:$B$29,2,FALSE)))</f>
        <v/>
      </c>
      <c r="Y176" s="13" t="str">
        <f>IF(IF(ISNUMBER(M176),VLOOKUP($A176,List!$A$1:$B$29,2,FALSE))=FALSE,"",IF(ISNUMBER(M176),VLOOKUP($A176,List!$A$1:$B$29,2,FALSE)))</f>
        <v/>
      </c>
    </row>
    <row r="177" spans="1:25" ht="15" thickBot="1" x14ac:dyDescent="0.35">
      <c r="A177" s="4">
        <v>13</v>
      </c>
      <c r="B177" s="28" t="s">
        <v>79</v>
      </c>
      <c r="C177" s="28">
        <v>0.8</v>
      </c>
      <c r="D177" s="28" t="s">
        <v>79</v>
      </c>
      <c r="E177" s="28" t="s">
        <v>79</v>
      </c>
      <c r="F177" s="28" t="s">
        <v>79</v>
      </c>
      <c r="G177" s="13" t="s">
        <v>79</v>
      </c>
      <c r="H177" s="13" t="s">
        <v>79</v>
      </c>
      <c r="I177" s="13" t="s">
        <v>79</v>
      </c>
      <c r="J177" s="13" t="s">
        <v>79</v>
      </c>
      <c r="K177" s="13" t="s">
        <v>79</v>
      </c>
      <c r="L177" s="13" t="s">
        <v>79</v>
      </c>
      <c r="M177" s="13" t="s">
        <v>79</v>
      </c>
      <c r="N177" s="13" t="str">
        <f>IF(IF(ISNUMBER(B177),VLOOKUP($A177,List!$A$1:$B$29,2,FALSE))=FALSE,"",IF(ISNUMBER(B177),VLOOKUP($A177,List!$A$1:$B$29,2,FALSE)))</f>
        <v/>
      </c>
      <c r="O177" s="13" t="str">
        <f>IF(IF(ISNUMBER(C177),VLOOKUP($A177,List!$A$1:$B$29,2,FALSE))=FALSE,"",IF(ISNUMBER(C177),VLOOKUP($A177,List!$A$1:$B$29,2,FALSE)))</f>
        <v>When buying a boat, I tend to buy the latest and greatest</v>
      </c>
      <c r="P177" s="13" t="str">
        <f>IF(IF(ISNUMBER(D177),VLOOKUP($A177,List!$A$1:$B$29,2,FALSE))=FALSE,"",IF(ISNUMBER(D177),VLOOKUP($A177,List!$A$1:$B$29,2,FALSE)))</f>
        <v/>
      </c>
      <c r="Q177" s="13" t="str">
        <f>IF(IF(ISNUMBER(E177),VLOOKUP($A177,List!$A$1:$B$29,2,FALSE))=FALSE,"",IF(ISNUMBER(E177),VLOOKUP($A177,List!$A$1:$B$29,2,FALSE)))</f>
        <v/>
      </c>
      <c r="R177" s="13" t="str">
        <f>IF(IF(ISNUMBER(F177),VLOOKUP($A177,List!$A$1:$B$29,2,FALSE))=FALSE,"",IF(ISNUMBER(F177),VLOOKUP($A177,List!$A$1:$B$29,2,FALSE)))</f>
        <v/>
      </c>
      <c r="S177" s="13" t="str">
        <f>IF(IF(ISNUMBER(G177),VLOOKUP($A177,List!$A$1:$B$29,2,FALSE))=FALSE,"",IF(ISNUMBER(G177),VLOOKUP($A177,List!$A$1:$B$29,2,FALSE)))</f>
        <v/>
      </c>
      <c r="T177" s="13" t="str">
        <f>IF(IF(ISNUMBER(H177),VLOOKUP($A177,List!$A$1:$B$29,2,FALSE))=FALSE,"",IF(ISNUMBER(H177),VLOOKUP($A177,List!$A$1:$B$29,2,FALSE)))</f>
        <v/>
      </c>
      <c r="U177" s="13" t="str">
        <f>IF(IF(ISNUMBER(I177),VLOOKUP($A177,List!$A$1:$B$29,2,FALSE))=FALSE,"",IF(ISNUMBER(I177),VLOOKUP($A177,List!$A$1:$B$29,2,FALSE)))</f>
        <v/>
      </c>
      <c r="V177" s="13" t="str">
        <f>IF(IF(ISNUMBER(J177),VLOOKUP($A177,List!$A$1:$B$29,2,FALSE))=FALSE,"",IF(ISNUMBER(J177),VLOOKUP($A177,List!$A$1:$B$29,2,FALSE)))</f>
        <v/>
      </c>
      <c r="W177" s="13" t="str">
        <f>IF(IF(ISNUMBER(K177),VLOOKUP($A177,List!$A$1:$B$29,2,FALSE))=FALSE,"",IF(ISNUMBER(K177),VLOOKUP($A177,List!$A$1:$B$29,2,FALSE)))</f>
        <v/>
      </c>
      <c r="X177" s="13" t="str">
        <f>IF(IF(ISNUMBER(L177),VLOOKUP($A177,List!$A$1:$B$29,2,FALSE))=FALSE,"",IF(ISNUMBER(L177),VLOOKUP($A177,List!$A$1:$B$29,2,FALSE)))</f>
        <v/>
      </c>
      <c r="Y177" s="13" t="str">
        <f>IF(IF(ISNUMBER(M177),VLOOKUP($A177,List!$A$1:$B$29,2,FALSE))=FALSE,"",IF(ISNUMBER(M177),VLOOKUP($A177,List!$A$1:$B$29,2,FALSE)))</f>
        <v/>
      </c>
    </row>
    <row r="178" spans="1:25" ht="15" thickBot="1" x14ac:dyDescent="0.35">
      <c r="A178" s="4">
        <v>14</v>
      </c>
      <c r="B178" s="28" t="s">
        <v>79</v>
      </c>
      <c r="C178" s="28">
        <v>0.82</v>
      </c>
      <c r="D178" s="28" t="s">
        <v>79</v>
      </c>
      <c r="E178" s="28" t="s">
        <v>79</v>
      </c>
      <c r="F178" s="28" t="s">
        <v>79</v>
      </c>
      <c r="G178" s="13" t="s">
        <v>79</v>
      </c>
      <c r="H178" s="13" t="s">
        <v>79</v>
      </c>
      <c r="I178" s="13" t="s">
        <v>79</v>
      </c>
      <c r="J178" s="13" t="s">
        <v>79</v>
      </c>
      <c r="K178" s="13" t="s">
        <v>79</v>
      </c>
      <c r="L178" s="13" t="s">
        <v>79</v>
      </c>
      <c r="M178" s="13" t="s">
        <v>79</v>
      </c>
      <c r="N178" s="13" t="str">
        <f>IF(IF(ISNUMBER(B178),VLOOKUP($A178,List!$A$1:$B$29,2,FALSE))=FALSE,"",IF(ISNUMBER(B178),VLOOKUP($A178,List!$A$1:$B$29,2,FALSE)))</f>
        <v/>
      </c>
      <c r="O178" s="13" t="str">
        <f>IF(IF(ISNUMBER(C178),VLOOKUP($A178,List!$A$1:$B$29,2,FALSE))=FALSE,"",IF(ISNUMBER(C178),VLOOKUP($A178,List!$A$1:$B$29,2,FALSE)))</f>
        <v>When buying accessories for my boat, I tend to buy the latest and greatest</v>
      </c>
      <c r="P178" s="13" t="str">
        <f>IF(IF(ISNUMBER(D178),VLOOKUP($A178,List!$A$1:$B$29,2,FALSE))=FALSE,"",IF(ISNUMBER(D178),VLOOKUP($A178,List!$A$1:$B$29,2,FALSE)))</f>
        <v/>
      </c>
      <c r="Q178" s="14" t="str">
        <f>IF(IF(ISNUMBER(E178),VLOOKUP($A178,List!$A$1:$B$29,2,FALSE))=FALSE,"",IF(ISNUMBER(E178),VLOOKUP($A178,List!$A$1:$B$29,2,FALSE)))</f>
        <v/>
      </c>
      <c r="R178" s="13" t="str">
        <f>IF(IF(ISNUMBER(F178),VLOOKUP($A178,List!$A$1:$B$29,2,FALSE))=FALSE,"",IF(ISNUMBER(F178),VLOOKUP($A178,List!$A$1:$B$29,2,FALSE)))</f>
        <v/>
      </c>
      <c r="S178" s="13" t="str">
        <f>IF(IF(ISNUMBER(G178),VLOOKUP($A178,List!$A$1:$B$29,2,FALSE))=FALSE,"",IF(ISNUMBER(G178),VLOOKUP($A178,List!$A$1:$B$29,2,FALSE)))</f>
        <v/>
      </c>
      <c r="T178" s="13" t="str">
        <f>IF(IF(ISNUMBER(H178),VLOOKUP($A178,List!$A$1:$B$29,2,FALSE))=FALSE,"",IF(ISNUMBER(H178),VLOOKUP($A178,List!$A$1:$B$29,2,FALSE)))</f>
        <v/>
      </c>
      <c r="U178" s="13" t="str">
        <f>IF(IF(ISNUMBER(I178),VLOOKUP($A178,List!$A$1:$B$29,2,FALSE))=FALSE,"",IF(ISNUMBER(I178),VLOOKUP($A178,List!$A$1:$B$29,2,FALSE)))</f>
        <v/>
      </c>
      <c r="V178" s="13" t="str">
        <f>IF(IF(ISNUMBER(J178),VLOOKUP($A178,List!$A$1:$B$29,2,FALSE))=FALSE,"",IF(ISNUMBER(J178),VLOOKUP($A178,List!$A$1:$B$29,2,FALSE)))</f>
        <v/>
      </c>
      <c r="W178" s="13" t="str">
        <f>IF(IF(ISNUMBER(K178),VLOOKUP($A178,List!$A$1:$B$29,2,FALSE))=FALSE,"",IF(ISNUMBER(K178),VLOOKUP($A178,List!$A$1:$B$29,2,FALSE)))</f>
        <v/>
      </c>
      <c r="X178" s="13" t="str">
        <f>IF(IF(ISNUMBER(L178),VLOOKUP($A178,List!$A$1:$B$29,2,FALSE))=FALSE,"",IF(ISNUMBER(L178),VLOOKUP($A178,List!$A$1:$B$29,2,FALSE)))</f>
        <v/>
      </c>
      <c r="Y178" s="13" t="str">
        <f>IF(IF(ISNUMBER(M178),VLOOKUP($A178,List!$A$1:$B$29,2,FALSE))=FALSE,"",IF(ISNUMBER(M178),VLOOKUP($A178,List!$A$1:$B$29,2,FALSE)))</f>
        <v/>
      </c>
    </row>
    <row r="179" spans="1:25" ht="15" thickBot="1" x14ac:dyDescent="0.35">
      <c r="A179" s="4">
        <v>21</v>
      </c>
      <c r="B179" s="28" t="s">
        <v>79</v>
      </c>
      <c r="C179" s="28" t="s">
        <v>79</v>
      </c>
      <c r="D179" s="28">
        <v>0.53</v>
      </c>
      <c r="E179" s="28" t="s">
        <v>79</v>
      </c>
      <c r="F179" s="28" t="s">
        <v>79</v>
      </c>
      <c r="G179" s="13" t="s">
        <v>79</v>
      </c>
      <c r="H179" s="13" t="s">
        <v>79</v>
      </c>
      <c r="I179" s="13" t="s">
        <v>79</v>
      </c>
      <c r="J179" s="13" t="s">
        <v>79</v>
      </c>
      <c r="K179" s="13" t="s">
        <v>79</v>
      </c>
      <c r="L179" s="13" t="s">
        <v>79</v>
      </c>
      <c r="M179" s="13" t="s">
        <v>79</v>
      </c>
      <c r="N179" s="13" t="str">
        <f>IF(IF(ISNUMBER(B179),VLOOKUP($A179,List!$A$1:$B$29,2,FALSE))=FALSE,"",IF(ISNUMBER(B179),VLOOKUP($A179,List!$A$1:$B$29,2,FALSE)))</f>
        <v/>
      </c>
      <c r="O179" s="13" t="str">
        <f>IF(IF(ISNUMBER(C179),VLOOKUP($A179,List!$A$1:$B$29,2,FALSE))=FALSE,"",IF(ISNUMBER(C179),VLOOKUP($A179,List!$A$1:$B$29,2,FALSE)))</f>
        <v/>
      </c>
      <c r="P179" s="13" t="str">
        <f>IF(IF(ISNUMBER(D179),VLOOKUP($A179,List!$A$1:$B$29,2,FALSE))=FALSE,"",IF(ISNUMBER(D179),VLOOKUP($A179,List!$A$1:$B$29,2,FALSE)))</f>
        <v>Boating helps me escape from everyday life and relax</v>
      </c>
      <c r="Q179" s="14" t="str">
        <f>IF(IF(ISNUMBER(E179),VLOOKUP($A179,List!$A$1:$B$29,2,FALSE))=FALSE,"",IF(ISNUMBER(E179),VLOOKUP($A179,List!$A$1:$B$29,2,FALSE)))</f>
        <v/>
      </c>
      <c r="R179" s="13" t="str">
        <f>IF(IF(ISNUMBER(F179),VLOOKUP($A179,List!$A$1:$B$29,2,FALSE))=FALSE,"",IF(ISNUMBER(F179),VLOOKUP($A179,List!$A$1:$B$29,2,FALSE)))</f>
        <v/>
      </c>
      <c r="S179" s="13" t="str">
        <f>IF(IF(ISNUMBER(G179),VLOOKUP($A179,List!$A$1:$B$29,2,FALSE))=FALSE,"",IF(ISNUMBER(G179),VLOOKUP($A179,List!$A$1:$B$29,2,FALSE)))</f>
        <v/>
      </c>
      <c r="T179" s="13" t="str">
        <f>IF(IF(ISNUMBER(H179),VLOOKUP($A179,List!$A$1:$B$29,2,FALSE))=FALSE,"",IF(ISNUMBER(H179),VLOOKUP($A179,List!$A$1:$B$29,2,FALSE)))</f>
        <v/>
      </c>
      <c r="U179" s="13" t="str">
        <f>IF(IF(ISNUMBER(I179),VLOOKUP($A179,List!$A$1:$B$29,2,FALSE))=FALSE,"",IF(ISNUMBER(I179),VLOOKUP($A179,List!$A$1:$B$29,2,FALSE)))</f>
        <v/>
      </c>
      <c r="V179" s="13" t="str">
        <f>IF(IF(ISNUMBER(J179),VLOOKUP($A179,List!$A$1:$B$29,2,FALSE))=FALSE,"",IF(ISNUMBER(J179),VLOOKUP($A179,List!$A$1:$B$29,2,FALSE)))</f>
        <v/>
      </c>
      <c r="W179" s="13" t="str">
        <f>IF(IF(ISNUMBER(K179),VLOOKUP($A179,List!$A$1:$B$29,2,FALSE))=FALSE,"",IF(ISNUMBER(K179),VLOOKUP($A179,List!$A$1:$B$29,2,FALSE)))</f>
        <v/>
      </c>
      <c r="X179" s="13" t="str">
        <f>IF(IF(ISNUMBER(L179),VLOOKUP($A179,List!$A$1:$B$29,2,FALSE))=FALSE,"",IF(ISNUMBER(L179),VLOOKUP($A179,List!$A$1:$B$29,2,FALSE)))</f>
        <v/>
      </c>
      <c r="Y179" s="13" t="str">
        <f>IF(IF(ISNUMBER(M179),VLOOKUP($A179,List!$A$1:$B$29,2,FALSE))=FALSE,"",IF(ISNUMBER(M179),VLOOKUP($A179,List!$A$1:$B$29,2,FALSE)))</f>
        <v/>
      </c>
    </row>
    <row r="180" spans="1:25" ht="15" thickBot="1" x14ac:dyDescent="0.35">
      <c r="A180" s="4">
        <v>24</v>
      </c>
      <c r="B180" s="28" t="s">
        <v>79</v>
      </c>
      <c r="C180" s="28" t="s">
        <v>79</v>
      </c>
      <c r="D180" s="28" t="s">
        <v>79</v>
      </c>
      <c r="E180" s="28" t="s">
        <v>79</v>
      </c>
      <c r="F180" s="28" t="s">
        <v>79</v>
      </c>
      <c r="G180" s="13" t="s">
        <v>79</v>
      </c>
      <c r="H180" s="13" t="s">
        <v>79</v>
      </c>
      <c r="I180" s="13" t="s">
        <v>79</v>
      </c>
      <c r="J180" s="13" t="s">
        <v>79</v>
      </c>
      <c r="K180" s="13" t="s">
        <v>79</v>
      </c>
      <c r="L180" s="13" t="s">
        <v>79</v>
      </c>
      <c r="M180" s="13">
        <v>0.81</v>
      </c>
      <c r="N180" s="13" t="str">
        <f>IF(IF(ISNUMBER(B180),VLOOKUP($A180,List!$A$1:$B$29,2,FALSE))=FALSE,"",IF(ISNUMBER(B180),VLOOKUP($A180,List!$A$1:$B$29,2,FALSE)))</f>
        <v/>
      </c>
      <c r="O180" s="13" t="str">
        <f>IF(IF(ISNUMBER(C180),VLOOKUP($A180,List!$A$1:$B$29,2,FALSE))=FALSE,"",IF(ISNUMBER(C180),VLOOKUP($A180,List!$A$1:$B$29,2,FALSE)))</f>
        <v/>
      </c>
      <c r="P180" s="13" t="str">
        <f>IF(IF(ISNUMBER(D180),VLOOKUP($A180,List!$A$1:$B$29,2,FALSE))=FALSE,"",IF(ISNUMBER(D180),VLOOKUP($A180,List!$A$1:$B$29,2,FALSE)))</f>
        <v/>
      </c>
      <c r="Q180" s="13" t="str">
        <f>IF(IF(ISNUMBER(E180),VLOOKUP($A180,List!$A$1:$B$29,2,FALSE))=FALSE,"",IF(ISNUMBER(E180),VLOOKUP($A180,List!$A$1:$B$29,2,FALSE)))</f>
        <v/>
      </c>
      <c r="R180" s="13" t="str">
        <f>IF(IF(ISNUMBER(F180),VLOOKUP($A180,List!$A$1:$B$29,2,FALSE))=FALSE,"",IF(ISNUMBER(F180),VLOOKUP($A180,List!$A$1:$B$29,2,FALSE)))</f>
        <v/>
      </c>
      <c r="S180" s="13" t="str">
        <f>IF(IF(ISNUMBER(G180),VLOOKUP($A180,List!$A$1:$B$29,2,FALSE))=FALSE,"",IF(ISNUMBER(G180),VLOOKUP($A180,List!$A$1:$B$29,2,FALSE)))</f>
        <v/>
      </c>
      <c r="T180" s="13" t="str">
        <f>IF(IF(ISNUMBER(H180),VLOOKUP($A180,List!$A$1:$B$29,2,FALSE))=FALSE,"",IF(ISNUMBER(H180),VLOOKUP($A180,List!$A$1:$B$29,2,FALSE)))</f>
        <v/>
      </c>
      <c r="U180" s="13" t="str">
        <f>IF(IF(ISNUMBER(I180),VLOOKUP($A180,List!$A$1:$B$29,2,FALSE))=FALSE,"",IF(ISNUMBER(I180),VLOOKUP($A180,List!$A$1:$B$29,2,FALSE)))</f>
        <v/>
      </c>
      <c r="V180" s="13" t="str">
        <f>IF(IF(ISNUMBER(J180),VLOOKUP($A180,List!$A$1:$B$29,2,FALSE))=FALSE,"",IF(ISNUMBER(J180),VLOOKUP($A180,List!$A$1:$B$29,2,FALSE)))</f>
        <v/>
      </c>
      <c r="W180" s="13" t="str">
        <f>IF(IF(ISNUMBER(K180),VLOOKUP($A180,List!$A$1:$B$29,2,FALSE))=FALSE,"",IF(ISNUMBER(K180),VLOOKUP($A180,List!$A$1:$B$29,2,FALSE)))</f>
        <v/>
      </c>
      <c r="X180" s="13" t="str">
        <f>IF(IF(ISNUMBER(L180),VLOOKUP($A180,List!$A$1:$B$29,2,FALSE))=FALSE,"",IF(ISNUMBER(L180),VLOOKUP($A180,List!$A$1:$B$29,2,FALSE)))</f>
        <v/>
      </c>
      <c r="Y180" s="13" t="str">
        <f>IF(IF(ISNUMBER(M180),VLOOKUP($A180,List!$A$1:$B$29,2,FALSE))=FALSE,"",IF(ISNUMBER(M180),VLOOKUP($A180,List!$A$1:$B$29,2,FALSE)))</f>
        <v>Boating gives me an outlet to socialize with family/friends</v>
      </c>
    </row>
    <row r="181" spans="1:25" ht="15" thickBot="1" x14ac:dyDescent="0.35">
      <c r="A181" s="4">
        <v>8</v>
      </c>
      <c r="B181" s="28" t="s">
        <v>79</v>
      </c>
      <c r="C181" s="28" t="s">
        <v>79</v>
      </c>
      <c r="D181" s="28" t="s">
        <v>79</v>
      </c>
      <c r="E181" s="28" t="s">
        <v>79</v>
      </c>
      <c r="F181" s="28" t="s">
        <v>79</v>
      </c>
      <c r="G181" s="13" t="s">
        <v>79</v>
      </c>
      <c r="H181" s="13" t="s">
        <v>79</v>
      </c>
      <c r="I181" s="13" t="s">
        <v>79</v>
      </c>
      <c r="J181" s="13" t="s">
        <v>79</v>
      </c>
      <c r="K181" s="13">
        <v>0.99</v>
      </c>
      <c r="L181" s="13" t="s">
        <v>79</v>
      </c>
      <c r="M181" s="13" t="s">
        <v>79</v>
      </c>
      <c r="N181" s="13" t="str">
        <f>IF(IF(ISNUMBER(B181),VLOOKUP($A181,List!$A$1:$B$29,2,FALSE))=FALSE,"",IF(ISNUMBER(B181),VLOOKUP($A181,List!$A$1:$B$29,2,FALSE)))</f>
        <v/>
      </c>
      <c r="O181" s="13" t="str">
        <f>IF(IF(ISNUMBER(C181),VLOOKUP($A181,List!$A$1:$B$29,2,FALSE))=FALSE,"",IF(ISNUMBER(C181),VLOOKUP($A181,List!$A$1:$B$29,2,FALSE)))</f>
        <v/>
      </c>
      <c r="P181" s="13" t="str">
        <f>IF(IF(ISNUMBER(D181),VLOOKUP($A181,List!$A$1:$B$29,2,FALSE))=FALSE,"",IF(ISNUMBER(D181),VLOOKUP($A181,List!$A$1:$B$29,2,FALSE)))</f>
        <v/>
      </c>
      <c r="Q181" s="13" t="str">
        <f>IF(IF(ISNUMBER(E181),VLOOKUP($A181,List!$A$1:$B$29,2,FALSE))=FALSE,"",IF(ISNUMBER(E181),VLOOKUP($A181,List!$A$1:$B$29,2,FALSE)))</f>
        <v/>
      </c>
      <c r="R181" s="13" t="str">
        <f>IF(IF(ISNUMBER(F181),VLOOKUP($A181,List!$A$1:$B$29,2,FALSE))=FALSE,"",IF(ISNUMBER(F181),VLOOKUP($A181,List!$A$1:$B$29,2,FALSE)))</f>
        <v/>
      </c>
      <c r="S181" s="13" t="str">
        <f>IF(IF(ISNUMBER(G181),VLOOKUP($A181,List!$A$1:$B$29,2,FALSE))=FALSE,"",IF(ISNUMBER(G181),VLOOKUP($A181,List!$A$1:$B$29,2,FALSE)))</f>
        <v/>
      </c>
      <c r="T181" s="13" t="str">
        <f>IF(IF(ISNUMBER(H181),VLOOKUP($A181,List!$A$1:$B$29,2,FALSE))=FALSE,"",IF(ISNUMBER(H181),VLOOKUP($A181,List!$A$1:$B$29,2,FALSE)))</f>
        <v/>
      </c>
      <c r="U181" s="13" t="str">
        <f>IF(IF(ISNUMBER(I181),VLOOKUP($A181,List!$A$1:$B$29,2,FALSE))=FALSE,"",IF(ISNUMBER(I181),VLOOKUP($A181,List!$A$1:$B$29,2,FALSE)))</f>
        <v/>
      </c>
      <c r="V181" s="13" t="str">
        <f>IF(IF(ISNUMBER(J181),VLOOKUP($A181,List!$A$1:$B$29,2,FALSE))=FALSE,"",IF(ISNUMBER(J181),VLOOKUP($A181,List!$A$1:$B$29,2,FALSE)))</f>
        <v/>
      </c>
      <c r="W181" s="13" t="str">
        <f>IF(IF(ISNUMBER(K181),VLOOKUP($A181,List!$A$1:$B$29,2,FALSE))=FALSE,"",IF(ISNUMBER(K181),VLOOKUP($A181,List!$A$1:$B$29,2,FALSE)))</f>
        <v>When buying a boat, functionality is more important than style</v>
      </c>
      <c r="X181" s="13" t="str">
        <f>IF(IF(ISNUMBER(L181),VLOOKUP($A181,List!$A$1:$B$29,2,FALSE))=FALSE,"",IF(ISNUMBER(L181),VLOOKUP($A181,List!$A$1:$B$29,2,FALSE)))</f>
        <v/>
      </c>
      <c r="Y181" s="13" t="str">
        <f>IF(IF(ISNUMBER(M181),VLOOKUP($A181,List!$A$1:$B$29,2,FALSE))=FALSE,"",IF(ISNUMBER(M181),VLOOKUP($A181,List!$A$1:$B$29,2,FALSE)))</f>
        <v/>
      </c>
    </row>
    <row r="182" spans="1:25" ht="15" thickBot="1" x14ac:dyDescent="0.35">
      <c r="A182" s="4">
        <v>25</v>
      </c>
      <c r="B182" s="28" t="s">
        <v>79</v>
      </c>
      <c r="C182" s="28" t="s">
        <v>79</v>
      </c>
      <c r="D182" s="28">
        <v>0.55000000000000004</v>
      </c>
      <c r="E182" s="28" t="s">
        <v>79</v>
      </c>
      <c r="F182" s="28" t="s">
        <v>79</v>
      </c>
      <c r="G182" s="13" t="s">
        <v>79</v>
      </c>
      <c r="H182" s="13" t="s">
        <v>79</v>
      </c>
      <c r="I182" s="13" t="s">
        <v>79</v>
      </c>
      <c r="J182" s="13" t="s">
        <v>79</v>
      </c>
      <c r="K182" s="13" t="s">
        <v>79</v>
      </c>
      <c r="L182" s="13" t="s">
        <v>79</v>
      </c>
      <c r="M182" s="13" t="s">
        <v>79</v>
      </c>
      <c r="N182" s="13" t="str">
        <f>IF(IF(ISNUMBER(B182),VLOOKUP($A182,List!$A$1:$B$29,2,FALSE))=FALSE,"",IF(ISNUMBER(B182),VLOOKUP($A182,List!$A$1:$B$29,2,FALSE)))</f>
        <v/>
      </c>
      <c r="O182" s="13" t="str">
        <f>IF(IF(ISNUMBER(C182),VLOOKUP($A182,List!$A$1:$B$29,2,FALSE))=FALSE,"",IF(ISNUMBER(C182),VLOOKUP($A182,List!$A$1:$B$29,2,FALSE)))</f>
        <v/>
      </c>
      <c r="P182" s="13" t="str">
        <f>IF(IF(ISNUMBER(D182),VLOOKUP($A182,List!$A$1:$B$29,2,FALSE))=FALSE,"",IF(ISNUMBER(D182),VLOOKUP($A182,List!$A$1:$B$29,2,FALSE)))</f>
        <v>Being in charge of my boat is what is most important to me</v>
      </c>
      <c r="Q182" s="13" t="str">
        <f>IF(IF(ISNUMBER(E182),VLOOKUP($A182,List!$A$1:$B$29,2,FALSE))=FALSE,"",IF(ISNUMBER(E182),VLOOKUP($A182,List!$A$1:$B$29,2,FALSE)))</f>
        <v/>
      </c>
      <c r="R182" s="13" t="str">
        <f>IF(IF(ISNUMBER(F182),VLOOKUP($A182,List!$A$1:$B$29,2,FALSE))=FALSE,"",IF(ISNUMBER(F182),VLOOKUP($A182,List!$A$1:$B$29,2,FALSE)))</f>
        <v/>
      </c>
      <c r="S182" s="13" t="str">
        <f>IF(IF(ISNUMBER(G182),VLOOKUP($A182,List!$A$1:$B$29,2,FALSE))=FALSE,"",IF(ISNUMBER(G182),VLOOKUP($A182,List!$A$1:$B$29,2,FALSE)))</f>
        <v/>
      </c>
      <c r="T182" s="13" t="str">
        <f>IF(IF(ISNUMBER(H182),VLOOKUP($A182,List!$A$1:$B$29,2,FALSE))=FALSE,"",IF(ISNUMBER(H182),VLOOKUP($A182,List!$A$1:$B$29,2,FALSE)))</f>
        <v/>
      </c>
      <c r="U182" s="13" t="str">
        <f>IF(IF(ISNUMBER(I182),VLOOKUP($A182,List!$A$1:$B$29,2,FALSE))=FALSE,"",IF(ISNUMBER(I182),VLOOKUP($A182,List!$A$1:$B$29,2,FALSE)))</f>
        <v/>
      </c>
      <c r="V182" s="13" t="str">
        <f>IF(IF(ISNUMBER(J182),VLOOKUP($A182,List!$A$1:$B$29,2,FALSE))=FALSE,"",IF(ISNUMBER(J182),VLOOKUP($A182,List!$A$1:$B$29,2,FALSE)))</f>
        <v/>
      </c>
      <c r="W182" s="13" t="str">
        <f>IF(IF(ISNUMBER(K182),VLOOKUP($A182,List!$A$1:$B$29,2,FALSE))=FALSE,"",IF(ISNUMBER(K182),VLOOKUP($A182,List!$A$1:$B$29,2,FALSE)))</f>
        <v/>
      </c>
      <c r="X182" s="13" t="str">
        <f>IF(IF(ISNUMBER(L182),VLOOKUP($A182,List!$A$1:$B$29,2,FALSE))=FALSE,"",IF(ISNUMBER(L182),VLOOKUP($A182,List!$A$1:$B$29,2,FALSE)))</f>
        <v/>
      </c>
      <c r="Y182" s="13" t="str">
        <f>IF(IF(ISNUMBER(M182),VLOOKUP($A182,List!$A$1:$B$29,2,FALSE))=FALSE,"",IF(ISNUMBER(M182),VLOOKUP($A182,List!$A$1:$B$29,2,FALSE)))</f>
        <v/>
      </c>
    </row>
    <row r="183" spans="1:25" ht="15" thickBot="1" x14ac:dyDescent="0.35">
      <c r="A183" s="4">
        <v>9</v>
      </c>
      <c r="B183" s="28" t="s">
        <v>79</v>
      </c>
      <c r="C183" s="28" t="s">
        <v>79</v>
      </c>
      <c r="D183" s="28" t="s">
        <v>79</v>
      </c>
      <c r="E183" s="28">
        <v>0.71</v>
      </c>
      <c r="F183" s="28" t="s">
        <v>79</v>
      </c>
      <c r="G183" s="13" t="s">
        <v>79</v>
      </c>
      <c r="H183" s="13" t="s">
        <v>79</v>
      </c>
      <c r="I183" s="13" t="s">
        <v>79</v>
      </c>
      <c r="J183" s="13" t="s">
        <v>79</v>
      </c>
      <c r="K183" s="13" t="s">
        <v>79</v>
      </c>
      <c r="L183" s="13" t="s">
        <v>79</v>
      </c>
      <c r="M183" s="13" t="s">
        <v>79</v>
      </c>
      <c r="N183" s="13" t="str">
        <f>IF(IF(ISNUMBER(B183),VLOOKUP($A183,List!$A$1:$B$29,2,FALSE))=FALSE,"",IF(ISNUMBER(B183),VLOOKUP($A183,List!$A$1:$B$29,2,FALSE)))</f>
        <v/>
      </c>
      <c r="O183" s="13" t="str">
        <f>IF(IF(ISNUMBER(C183),VLOOKUP($A183,List!$A$1:$B$29,2,FALSE))=FALSE,"",IF(ISNUMBER(C183),VLOOKUP($A183,List!$A$1:$B$29,2,FALSE)))</f>
        <v/>
      </c>
      <c r="P183" s="13" t="str">
        <f>IF(IF(ISNUMBER(D183),VLOOKUP($A183,List!$A$1:$B$29,2,FALSE))=FALSE,"",IF(ISNUMBER(D183),VLOOKUP($A183,List!$A$1:$B$29,2,FALSE)))</f>
        <v/>
      </c>
      <c r="Q183" s="13" t="str">
        <f>IF(IF(ISNUMBER(E183),VLOOKUP($A183,List!$A$1:$B$29,2,FALSE))=FALSE,"",IF(ISNUMBER(E183),VLOOKUP($A183,List!$A$1:$B$29,2,FALSE)))</f>
        <v>I see my boat as status symbol</v>
      </c>
      <c r="R183" s="13" t="str">
        <f>IF(IF(ISNUMBER(F183),VLOOKUP($A183,List!$A$1:$B$29,2,FALSE))=FALSE,"",IF(ISNUMBER(F183),VLOOKUP($A183,List!$A$1:$B$29,2,FALSE)))</f>
        <v/>
      </c>
      <c r="S183" s="13" t="str">
        <f>IF(IF(ISNUMBER(G183),VLOOKUP($A183,List!$A$1:$B$29,2,FALSE))=FALSE,"",IF(ISNUMBER(G183),VLOOKUP($A183,List!$A$1:$B$29,2,FALSE)))</f>
        <v/>
      </c>
      <c r="T183" s="13" t="str">
        <f>IF(IF(ISNUMBER(H183),VLOOKUP($A183,List!$A$1:$B$29,2,FALSE))=FALSE,"",IF(ISNUMBER(H183),VLOOKUP($A183,List!$A$1:$B$29,2,FALSE)))</f>
        <v/>
      </c>
      <c r="U183" s="13" t="str">
        <f>IF(IF(ISNUMBER(I183),VLOOKUP($A183,List!$A$1:$B$29,2,FALSE))=FALSE,"",IF(ISNUMBER(I183),VLOOKUP($A183,List!$A$1:$B$29,2,FALSE)))</f>
        <v/>
      </c>
      <c r="V183" s="13" t="str">
        <f>IF(IF(ISNUMBER(J183),VLOOKUP($A183,List!$A$1:$B$29,2,FALSE))=FALSE,"",IF(ISNUMBER(J183),VLOOKUP($A183,List!$A$1:$B$29,2,FALSE)))</f>
        <v/>
      </c>
      <c r="W183" s="13" t="str">
        <f>IF(IF(ISNUMBER(K183),VLOOKUP($A183,List!$A$1:$B$29,2,FALSE))=FALSE,"",IF(ISNUMBER(K183),VLOOKUP($A183,List!$A$1:$B$29,2,FALSE)))</f>
        <v/>
      </c>
      <c r="X183" s="13" t="str">
        <f>IF(IF(ISNUMBER(L183),VLOOKUP($A183,List!$A$1:$B$29,2,FALSE))=FALSE,"",IF(ISNUMBER(L183),VLOOKUP($A183,List!$A$1:$B$29,2,FALSE)))</f>
        <v/>
      </c>
      <c r="Y183" s="13" t="str">
        <f>IF(IF(ISNUMBER(M183),VLOOKUP($A183,List!$A$1:$B$29,2,FALSE))=FALSE,"",IF(ISNUMBER(M183),VLOOKUP($A183,List!$A$1:$B$29,2,FALSE)))</f>
        <v/>
      </c>
    </row>
    <row r="184" spans="1:25" ht="15" thickBot="1" x14ac:dyDescent="0.35">
      <c r="A184" s="4">
        <v>6</v>
      </c>
      <c r="B184" s="28" t="s">
        <v>79</v>
      </c>
      <c r="C184" s="28" t="s">
        <v>79</v>
      </c>
      <c r="D184" s="28" t="s">
        <v>79</v>
      </c>
      <c r="E184" s="28">
        <v>0.71</v>
      </c>
      <c r="F184" s="28" t="s">
        <v>79</v>
      </c>
      <c r="G184" s="13" t="s">
        <v>79</v>
      </c>
      <c r="H184" s="13" t="s">
        <v>79</v>
      </c>
      <c r="I184" s="13" t="s">
        <v>79</v>
      </c>
      <c r="J184" s="13" t="s">
        <v>79</v>
      </c>
      <c r="K184" s="13" t="s">
        <v>79</v>
      </c>
      <c r="L184" s="13" t="s">
        <v>79</v>
      </c>
      <c r="M184" s="13" t="s">
        <v>79</v>
      </c>
      <c r="N184" s="13" t="str">
        <f>IF(IF(ISNUMBER(B184),VLOOKUP($A184,List!$A$1:$B$29,2,FALSE))=FALSE,"",IF(ISNUMBER(B184),VLOOKUP($A184,List!$A$1:$B$29,2,FALSE)))</f>
        <v/>
      </c>
      <c r="O184" s="13" t="str">
        <f>IF(IF(ISNUMBER(C184),VLOOKUP($A184,List!$A$1:$B$29,2,FALSE))=FALSE,"",IF(ISNUMBER(C184),VLOOKUP($A184,List!$A$1:$B$29,2,FALSE)))</f>
        <v/>
      </c>
      <c r="P184" s="13" t="str">
        <f>IF(IF(ISNUMBER(D184),VLOOKUP($A184,List!$A$1:$B$29,2,FALSE))=FALSE,"",IF(ISNUMBER(D184),VLOOKUP($A184,List!$A$1:$B$29,2,FALSE)))</f>
        <v/>
      </c>
      <c r="Q184" s="13" t="str">
        <f>IF(IF(ISNUMBER(E184),VLOOKUP($A184,List!$A$1:$B$29,2,FALSE))=FALSE,"",IF(ISNUMBER(E184),VLOOKUP($A184,List!$A$1:$B$29,2,FALSE)))</f>
        <v>Owning a boat is a way of rewarding myself for hard work</v>
      </c>
      <c r="R184" s="13" t="str">
        <f>IF(IF(ISNUMBER(F184),VLOOKUP($A184,List!$A$1:$B$29,2,FALSE))=FALSE,"",IF(ISNUMBER(F184),VLOOKUP($A184,List!$A$1:$B$29,2,FALSE)))</f>
        <v/>
      </c>
      <c r="S184" s="13" t="str">
        <f>IF(IF(ISNUMBER(G184),VLOOKUP($A184,List!$A$1:$B$29,2,FALSE))=FALSE,"",IF(ISNUMBER(G184),VLOOKUP($A184,List!$A$1:$B$29,2,FALSE)))</f>
        <v/>
      </c>
      <c r="T184" s="13" t="str">
        <f>IF(IF(ISNUMBER(H184),VLOOKUP($A184,List!$A$1:$B$29,2,FALSE))=FALSE,"",IF(ISNUMBER(H184),VLOOKUP($A184,List!$A$1:$B$29,2,FALSE)))</f>
        <v/>
      </c>
      <c r="U184" s="13" t="str">
        <f>IF(IF(ISNUMBER(I184),VLOOKUP($A184,List!$A$1:$B$29,2,FALSE))=FALSE,"",IF(ISNUMBER(I184),VLOOKUP($A184,List!$A$1:$B$29,2,FALSE)))</f>
        <v/>
      </c>
      <c r="V184" s="13" t="str">
        <f>IF(IF(ISNUMBER(J184),VLOOKUP($A184,List!$A$1:$B$29,2,FALSE))=FALSE,"",IF(ISNUMBER(J184),VLOOKUP($A184,List!$A$1:$B$29,2,FALSE)))</f>
        <v/>
      </c>
      <c r="W184" s="13" t="str">
        <f>IF(IF(ISNUMBER(K184),VLOOKUP($A184,List!$A$1:$B$29,2,FALSE))=FALSE,"",IF(ISNUMBER(K184),VLOOKUP($A184,List!$A$1:$B$29,2,FALSE)))</f>
        <v/>
      </c>
      <c r="X184" s="13" t="str">
        <f>IF(IF(ISNUMBER(L184),VLOOKUP($A184,List!$A$1:$B$29,2,FALSE))=FALSE,"",IF(ISNUMBER(L184),VLOOKUP($A184,List!$A$1:$B$29,2,FALSE)))</f>
        <v/>
      </c>
      <c r="Y184" s="13" t="str">
        <f>IF(IF(ISNUMBER(M184),VLOOKUP($A184,List!$A$1:$B$29,2,FALSE))=FALSE,"",IF(ISNUMBER(M184),VLOOKUP($A184,List!$A$1:$B$29,2,FALSE)))</f>
        <v/>
      </c>
    </row>
    <row r="185" spans="1:25" ht="15" thickBot="1" x14ac:dyDescent="0.35">
      <c r="A185" s="4">
        <v>29</v>
      </c>
      <c r="B185" s="28" t="s">
        <v>79</v>
      </c>
      <c r="C185" s="28" t="s">
        <v>79</v>
      </c>
      <c r="D185" s="28" t="s">
        <v>79</v>
      </c>
      <c r="E185" s="28" t="s">
        <v>79</v>
      </c>
      <c r="F185" s="28" t="s">
        <v>79</v>
      </c>
      <c r="G185" s="13" t="s">
        <v>79</v>
      </c>
      <c r="H185" s="13" t="s">
        <v>79</v>
      </c>
      <c r="I185" s="13" t="s">
        <v>79</v>
      </c>
      <c r="J185" s="13" t="s">
        <v>79</v>
      </c>
      <c r="K185" s="13" t="s">
        <v>79</v>
      </c>
      <c r="L185" s="13">
        <v>0.97</v>
      </c>
      <c r="M185" s="13" t="s">
        <v>79</v>
      </c>
      <c r="N185" s="13" t="str">
        <f>IF(IF(ISNUMBER(B185),VLOOKUP($A185,List!$A$1:$B$29,2,FALSE))=FALSE,"",IF(ISNUMBER(B185),VLOOKUP($A185,List!$A$1:$B$29,2,FALSE)))</f>
        <v/>
      </c>
      <c r="O185" s="13" t="str">
        <f>IF(IF(ISNUMBER(C185),VLOOKUP($A185,List!$A$1:$B$29,2,FALSE))=FALSE,"",IF(ISNUMBER(C185),VLOOKUP($A185,List!$A$1:$B$29,2,FALSE)))</f>
        <v/>
      </c>
      <c r="P185" s="13" t="str">
        <f>IF(IF(ISNUMBER(D185),VLOOKUP($A185,List!$A$1:$B$29,2,FALSE))=FALSE,"",IF(ISNUMBER(D185),VLOOKUP($A185,List!$A$1:$B$29,2,FALSE)))</f>
        <v/>
      </c>
      <c r="Q185" s="13" t="str">
        <f>IF(IF(ISNUMBER(E185),VLOOKUP($A185,List!$A$1:$B$29,2,FALSE))=FALSE,"",IF(ISNUMBER(E185),VLOOKUP($A185,List!$A$1:$B$29,2,FALSE)))</f>
        <v/>
      </c>
      <c r="R185" s="13" t="str">
        <f>IF(IF(ISNUMBER(F185),VLOOKUP($A185,List!$A$1:$B$29,2,FALSE))=FALSE,"",IF(ISNUMBER(F185),VLOOKUP($A185,List!$A$1:$B$29,2,FALSE)))</f>
        <v/>
      </c>
      <c r="S185" s="13" t="str">
        <f>IF(IF(ISNUMBER(G185),VLOOKUP($A185,List!$A$1:$B$29,2,FALSE))=FALSE,"",IF(ISNUMBER(G185),VLOOKUP($A185,List!$A$1:$B$29,2,FALSE)))</f>
        <v/>
      </c>
      <c r="T185" s="13" t="str">
        <f>IF(IF(ISNUMBER(H185),VLOOKUP($A185,List!$A$1:$B$29,2,FALSE))=FALSE,"",IF(ISNUMBER(H185),VLOOKUP($A185,List!$A$1:$B$29,2,FALSE)))</f>
        <v/>
      </c>
      <c r="U185" s="13" t="str">
        <f>IF(IF(ISNUMBER(I185),VLOOKUP($A185,List!$A$1:$B$29,2,FALSE))=FALSE,"",IF(ISNUMBER(I185),VLOOKUP($A185,List!$A$1:$B$29,2,FALSE)))</f>
        <v/>
      </c>
      <c r="V185" s="13" t="str">
        <f>IF(IF(ISNUMBER(J185),VLOOKUP($A185,List!$A$1:$B$29,2,FALSE))=FALSE,"",IF(ISNUMBER(J185),VLOOKUP($A185,List!$A$1:$B$29,2,FALSE)))</f>
        <v/>
      </c>
      <c r="W185" s="13" t="str">
        <f>IF(IF(ISNUMBER(K185),VLOOKUP($A185,List!$A$1:$B$29,2,FALSE))=FALSE,"",IF(ISNUMBER(K185),VLOOKUP($A185,List!$A$1:$B$29,2,FALSE)))</f>
        <v/>
      </c>
      <c r="X185" s="13" t="str">
        <f>IF(IF(ISNUMBER(L185),VLOOKUP($A185,List!$A$1:$B$29,2,FALSE))=FALSE,"",IF(ISNUMBER(L185),VLOOKUP($A185,List!$A$1:$B$29,2,FALSE)))</f>
        <v>Boating is one of many things I do in my spare time</v>
      </c>
      <c r="Y185" s="13" t="str">
        <f>IF(IF(ISNUMBER(M185),VLOOKUP($A185,List!$A$1:$B$29,2,FALSE))=FALSE,"",IF(ISNUMBER(M185),VLOOKUP($A185,List!$A$1:$B$29,2,FALSE)))</f>
        <v/>
      </c>
    </row>
    <row r="186" spans="1:25" ht="15" thickBot="1" x14ac:dyDescent="0.35">
      <c r="A186" s="4">
        <v>18</v>
      </c>
      <c r="B186" s="28" t="s">
        <v>79</v>
      </c>
      <c r="C186" s="28" t="s">
        <v>79</v>
      </c>
      <c r="D186" s="28">
        <v>0.77</v>
      </c>
      <c r="E186" s="28" t="s">
        <v>79</v>
      </c>
      <c r="F186" s="28" t="s">
        <v>79</v>
      </c>
      <c r="G186" s="13" t="s">
        <v>79</v>
      </c>
      <c r="H186" s="13" t="s">
        <v>79</v>
      </c>
      <c r="I186" s="13" t="s">
        <v>79</v>
      </c>
      <c r="J186" s="13" t="s">
        <v>79</v>
      </c>
      <c r="K186" s="13" t="s">
        <v>79</v>
      </c>
      <c r="L186" s="13" t="s">
        <v>79</v>
      </c>
      <c r="M186" s="13" t="s">
        <v>79</v>
      </c>
      <c r="N186" s="13" t="str">
        <f>IF(IF(ISNUMBER(B186),VLOOKUP($A186,List!$A$1:$B$29,2,FALSE))=FALSE,"",IF(ISNUMBER(B186),VLOOKUP($A186,List!$A$1:$B$29,2,FALSE)))</f>
        <v/>
      </c>
      <c r="O186" s="13" t="str">
        <f>IF(IF(ISNUMBER(C186),VLOOKUP($A186,List!$A$1:$B$29,2,FALSE))=FALSE,"",IF(ISNUMBER(C186),VLOOKUP($A186,List!$A$1:$B$29,2,FALSE)))</f>
        <v/>
      </c>
      <c r="P186" s="13" t="str">
        <f>IF(IF(ISNUMBER(D186),VLOOKUP($A186,List!$A$1:$B$29,2,FALSE))=FALSE,"",IF(ISNUMBER(D186),VLOOKUP($A186,List!$A$1:$B$29,2,FALSE)))</f>
        <v>Boating gives me a feeling of adventure</v>
      </c>
      <c r="Q186" s="13" t="str">
        <f>IF(IF(ISNUMBER(E186),VLOOKUP($A186,List!$A$1:$B$29,2,FALSE))=FALSE,"",IF(ISNUMBER(E186),VLOOKUP($A186,List!$A$1:$B$29,2,FALSE)))</f>
        <v/>
      </c>
      <c r="R186" s="13" t="str">
        <f>IF(IF(ISNUMBER(F186),VLOOKUP($A186,List!$A$1:$B$29,2,FALSE))=FALSE,"",IF(ISNUMBER(F186),VLOOKUP($A186,List!$A$1:$B$29,2,FALSE)))</f>
        <v/>
      </c>
      <c r="S186" s="13" t="str">
        <f>IF(IF(ISNUMBER(G186),VLOOKUP($A186,List!$A$1:$B$29,2,FALSE))=FALSE,"",IF(ISNUMBER(G186),VLOOKUP($A186,List!$A$1:$B$29,2,FALSE)))</f>
        <v/>
      </c>
      <c r="T186" s="13" t="str">
        <f>IF(IF(ISNUMBER(H186),VLOOKUP($A186,List!$A$1:$B$29,2,FALSE))=FALSE,"",IF(ISNUMBER(H186),VLOOKUP($A186,List!$A$1:$B$29,2,FALSE)))</f>
        <v/>
      </c>
      <c r="U186" s="13" t="str">
        <f>IF(IF(ISNUMBER(I186),VLOOKUP($A186,List!$A$1:$B$29,2,FALSE))=FALSE,"",IF(ISNUMBER(I186),VLOOKUP($A186,List!$A$1:$B$29,2,FALSE)))</f>
        <v/>
      </c>
      <c r="V186" s="13" t="str">
        <f>IF(IF(ISNUMBER(J186),VLOOKUP($A186,List!$A$1:$B$29,2,FALSE))=FALSE,"",IF(ISNUMBER(J186),VLOOKUP($A186,List!$A$1:$B$29,2,FALSE)))</f>
        <v/>
      </c>
      <c r="W186" s="13" t="str">
        <f>IF(IF(ISNUMBER(K186),VLOOKUP($A186,List!$A$1:$B$29,2,FALSE))=FALSE,"",IF(ISNUMBER(K186),VLOOKUP($A186,List!$A$1:$B$29,2,FALSE)))</f>
        <v/>
      </c>
      <c r="X186" s="13" t="str">
        <f>IF(IF(ISNUMBER(L186),VLOOKUP($A186,List!$A$1:$B$29,2,FALSE))=FALSE,"",IF(ISNUMBER(L186),VLOOKUP($A186,List!$A$1:$B$29,2,FALSE)))</f>
        <v/>
      </c>
      <c r="Y186" s="13" t="str">
        <f>IF(IF(ISNUMBER(M186),VLOOKUP($A186,List!$A$1:$B$29,2,FALSE))=FALSE,"",IF(ISNUMBER(M186),VLOOKUP($A186,List!$A$1:$B$29,2,FALSE)))</f>
        <v/>
      </c>
    </row>
    <row r="187" spans="1:25" ht="15" thickBot="1" x14ac:dyDescent="0.35">
      <c r="A187" s="4">
        <v>19</v>
      </c>
      <c r="B187" s="28" t="s">
        <v>79</v>
      </c>
      <c r="C187" s="28" t="s">
        <v>79</v>
      </c>
      <c r="D187" s="28">
        <v>0.98</v>
      </c>
      <c r="E187" s="28" t="s">
        <v>79</v>
      </c>
      <c r="F187" s="28" t="s">
        <v>79</v>
      </c>
      <c r="G187" s="13" t="s">
        <v>79</v>
      </c>
      <c r="H187" s="13" t="s">
        <v>79</v>
      </c>
      <c r="I187" s="13" t="s">
        <v>79</v>
      </c>
      <c r="J187" s="13" t="s">
        <v>79</v>
      </c>
      <c r="K187" s="13" t="s">
        <v>79</v>
      </c>
      <c r="L187" s="13" t="s">
        <v>79</v>
      </c>
      <c r="M187" s="13" t="s">
        <v>79</v>
      </c>
      <c r="N187" s="13" t="str">
        <f>IF(IF(ISNUMBER(B187),VLOOKUP($A187,List!$A$1:$B$29,2,FALSE))=FALSE,"",IF(ISNUMBER(B187),VLOOKUP($A187,List!$A$1:$B$29,2,FALSE)))</f>
        <v/>
      </c>
      <c r="O187" s="13" t="str">
        <f>IF(IF(ISNUMBER(C187),VLOOKUP($A187,List!$A$1:$B$29,2,FALSE))=FALSE,"",IF(ISNUMBER(C187),VLOOKUP($A187,List!$A$1:$B$29,2,FALSE)))</f>
        <v/>
      </c>
      <c r="P187" s="13" t="str">
        <f>IF(IF(ISNUMBER(D187),VLOOKUP($A187,List!$A$1:$B$29,2,FALSE))=FALSE,"",IF(ISNUMBER(D187),VLOOKUP($A187,List!$A$1:$B$29,2,FALSE)))</f>
        <v>Boating allows me to experience nature</v>
      </c>
      <c r="Q187" s="13" t="str">
        <f>IF(IF(ISNUMBER(E187),VLOOKUP($A187,List!$A$1:$B$29,2,FALSE))=FALSE,"",IF(ISNUMBER(E187),VLOOKUP($A187,List!$A$1:$B$29,2,FALSE)))</f>
        <v/>
      </c>
      <c r="R187" s="13" t="str">
        <f>IF(IF(ISNUMBER(F187),VLOOKUP($A187,List!$A$1:$B$29,2,FALSE))=FALSE,"",IF(ISNUMBER(F187),VLOOKUP($A187,List!$A$1:$B$29,2,FALSE)))</f>
        <v/>
      </c>
      <c r="S187" s="13" t="str">
        <f>IF(IF(ISNUMBER(G187),VLOOKUP($A187,List!$A$1:$B$29,2,FALSE))=FALSE,"",IF(ISNUMBER(G187),VLOOKUP($A187,List!$A$1:$B$29,2,FALSE)))</f>
        <v/>
      </c>
      <c r="T187" s="13" t="str">
        <f>IF(IF(ISNUMBER(H187),VLOOKUP($A187,List!$A$1:$B$29,2,FALSE))=FALSE,"",IF(ISNUMBER(H187),VLOOKUP($A187,List!$A$1:$B$29,2,FALSE)))</f>
        <v/>
      </c>
      <c r="U187" s="13" t="str">
        <f>IF(IF(ISNUMBER(I187),VLOOKUP($A187,List!$A$1:$B$29,2,FALSE))=FALSE,"",IF(ISNUMBER(I187),VLOOKUP($A187,List!$A$1:$B$29,2,FALSE)))</f>
        <v/>
      </c>
      <c r="V187" s="13" t="str">
        <f>IF(IF(ISNUMBER(J187),VLOOKUP($A187,List!$A$1:$B$29,2,FALSE))=FALSE,"",IF(ISNUMBER(J187),VLOOKUP($A187,List!$A$1:$B$29,2,FALSE)))</f>
        <v/>
      </c>
      <c r="W187" s="13" t="str">
        <f>IF(IF(ISNUMBER(K187),VLOOKUP($A187,List!$A$1:$B$29,2,FALSE))=FALSE,"",IF(ISNUMBER(K187),VLOOKUP($A187,List!$A$1:$B$29,2,FALSE)))</f>
        <v/>
      </c>
      <c r="X187" s="13" t="str">
        <f>IF(IF(ISNUMBER(L187),VLOOKUP($A187,List!$A$1:$B$29,2,FALSE))=FALSE,"",IF(ISNUMBER(L187),VLOOKUP($A187,List!$A$1:$B$29,2,FALSE)))</f>
        <v/>
      </c>
      <c r="Y187" s="13" t="str">
        <f>IF(IF(ISNUMBER(M187),VLOOKUP($A187,List!$A$1:$B$29,2,FALSE))=FALSE,"",IF(ISNUMBER(M187),VLOOKUP($A187,List!$A$1:$B$29,2,FALSE)))</f>
        <v/>
      </c>
    </row>
    <row r="188" spans="1:25" ht="15" thickBot="1" x14ac:dyDescent="0.35">
      <c r="A188" s="4">
        <v>2</v>
      </c>
      <c r="B188" s="28" t="s">
        <v>79</v>
      </c>
      <c r="C188" s="28" t="s">
        <v>79</v>
      </c>
      <c r="D188" s="28" t="s">
        <v>79</v>
      </c>
      <c r="E188" s="28" t="s">
        <v>79</v>
      </c>
      <c r="F188" s="28">
        <v>0.8</v>
      </c>
      <c r="G188" s="13" t="s">
        <v>79</v>
      </c>
      <c r="H188" s="13" t="s">
        <v>79</v>
      </c>
      <c r="I188" s="13" t="s">
        <v>79</v>
      </c>
      <c r="J188" s="13" t="s">
        <v>79</v>
      </c>
      <c r="K188" s="13" t="s">
        <v>79</v>
      </c>
      <c r="L188" s="13" t="s">
        <v>79</v>
      </c>
      <c r="M188" s="13" t="s">
        <v>79</v>
      </c>
      <c r="N188" s="13" t="str">
        <f>IF(IF(ISNUMBER(B188),VLOOKUP($A188,List!$A$1:$B$29,2,FALSE))=FALSE,"",IF(ISNUMBER(B188),VLOOKUP($A188,List!$A$1:$B$29,2,FALSE)))</f>
        <v/>
      </c>
      <c r="O188" s="13" t="str">
        <f>IF(IF(ISNUMBER(C188),VLOOKUP($A188,List!$A$1:$B$29,2,FALSE))=FALSE,"",IF(ISNUMBER(C188),VLOOKUP($A188,List!$A$1:$B$29,2,FALSE)))</f>
        <v/>
      </c>
      <c r="P188" s="13" t="str">
        <f>IF(IF(ISNUMBER(D188),VLOOKUP($A188,List!$A$1:$B$29,2,FALSE))=FALSE,"",IF(ISNUMBER(D188),VLOOKUP($A188,List!$A$1:$B$29,2,FALSE)))</f>
        <v/>
      </c>
      <c r="Q188" s="13" t="str">
        <f>IF(IF(ISNUMBER(E188),VLOOKUP($A188,List!$A$1:$B$29,2,FALSE))=FALSE,"",IF(ISNUMBER(E188),VLOOKUP($A188,List!$A$1:$B$29,2,FALSE)))</f>
        <v/>
      </c>
      <c r="R188" s="13" t="str">
        <f>IF(IF(ISNUMBER(F188),VLOOKUP($A188,List!$A$1:$B$29,2,FALSE))=FALSE,"",IF(ISNUMBER(F188),VLOOKUP($A188,List!$A$1:$B$29,2,FALSE)))</f>
        <v>When buying a bot, getting the lowest P is more important than brand</v>
      </c>
      <c r="S188" s="13" t="str">
        <f>IF(IF(ISNUMBER(G188),VLOOKUP($A188,List!$A$1:$B$29,2,FALSE))=FALSE,"",IF(ISNUMBER(G188),VLOOKUP($A188,List!$A$1:$B$29,2,FALSE)))</f>
        <v/>
      </c>
      <c r="T188" s="13" t="str">
        <f>IF(IF(ISNUMBER(H188),VLOOKUP($A188,List!$A$1:$B$29,2,FALSE))=FALSE,"",IF(ISNUMBER(H188),VLOOKUP($A188,List!$A$1:$B$29,2,FALSE)))</f>
        <v/>
      </c>
      <c r="U188" s="13" t="str">
        <f>IF(IF(ISNUMBER(I188),VLOOKUP($A188,List!$A$1:$B$29,2,FALSE))=FALSE,"",IF(ISNUMBER(I188),VLOOKUP($A188,List!$A$1:$B$29,2,FALSE)))</f>
        <v/>
      </c>
      <c r="V188" s="13" t="str">
        <f>IF(IF(ISNUMBER(J188),VLOOKUP($A188,List!$A$1:$B$29,2,FALSE))=FALSE,"",IF(ISNUMBER(J188),VLOOKUP($A188,List!$A$1:$B$29,2,FALSE)))</f>
        <v/>
      </c>
      <c r="W188" s="13" t="str">
        <f>IF(IF(ISNUMBER(K188),VLOOKUP($A188,List!$A$1:$B$29,2,FALSE))=FALSE,"",IF(ISNUMBER(K188),VLOOKUP($A188,List!$A$1:$B$29,2,FALSE)))</f>
        <v/>
      </c>
      <c r="X188" s="13" t="str">
        <f>IF(IF(ISNUMBER(L188),VLOOKUP($A188,List!$A$1:$B$29,2,FALSE))=FALSE,"",IF(ISNUMBER(L188),VLOOKUP($A188,List!$A$1:$B$29,2,FALSE)))</f>
        <v/>
      </c>
      <c r="Y188" s="13" t="str">
        <f>IF(IF(ISNUMBER(M188),VLOOKUP($A188,List!$A$1:$B$29,2,FALSE))=FALSE,"",IF(ISNUMBER(M188),VLOOKUP($A188,List!$A$1:$B$29,2,FALSE)))</f>
        <v/>
      </c>
    </row>
    <row r="189" spans="1:25" ht="15" thickBot="1" x14ac:dyDescent="0.35">
      <c r="A189" s="4">
        <v>10</v>
      </c>
      <c r="B189" s="28" t="s">
        <v>79</v>
      </c>
      <c r="C189" s="28" t="s">
        <v>79</v>
      </c>
      <c r="D189" s="28" t="s">
        <v>79</v>
      </c>
      <c r="E189" s="28" t="s">
        <v>79</v>
      </c>
      <c r="F189" s="28" t="s">
        <v>79</v>
      </c>
      <c r="G189" s="13" t="s">
        <v>79</v>
      </c>
      <c r="H189" s="13">
        <v>0.97</v>
      </c>
      <c r="I189" s="13" t="s">
        <v>79</v>
      </c>
      <c r="J189" s="13" t="s">
        <v>79</v>
      </c>
      <c r="K189" s="13" t="s">
        <v>79</v>
      </c>
      <c r="L189" s="13" t="s">
        <v>79</v>
      </c>
      <c r="M189" s="13" t="s">
        <v>79</v>
      </c>
      <c r="N189" s="13" t="str">
        <f>IF(IF(ISNUMBER(B189),VLOOKUP($A189,List!$A$1:$B$29,2,FALSE))=FALSE,"",IF(ISNUMBER(B189),VLOOKUP($A189,List!$A$1:$B$29,2,FALSE)))</f>
        <v/>
      </c>
      <c r="O189" s="13" t="str">
        <f>IF(IF(ISNUMBER(C189),VLOOKUP($A189,List!$A$1:$B$29,2,FALSE))=FALSE,"",IF(ISNUMBER(C189),VLOOKUP($A189,List!$A$1:$B$29,2,FALSE)))</f>
        <v/>
      </c>
      <c r="P189" s="13" t="str">
        <f>IF(IF(ISNUMBER(D189),VLOOKUP($A189,List!$A$1:$B$29,2,FALSE))=FALSE,"",IF(ISNUMBER(D189),VLOOKUP($A189,List!$A$1:$B$29,2,FALSE)))</f>
        <v/>
      </c>
      <c r="Q189" s="13" t="str">
        <f>IF(IF(ISNUMBER(E189),VLOOKUP($A189,List!$A$1:$B$29,2,FALSE))=FALSE,"",IF(ISNUMBER(E189),VLOOKUP($A189,List!$A$1:$B$29,2,FALSE)))</f>
        <v/>
      </c>
      <c r="R189" s="13" t="str">
        <f>IF(IF(ISNUMBER(F189),VLOOKUP($A189,List!$A$1:$B$29,2,FALSE))=FALSE,"",IF(ISNUMBER(F189),VLOOKUP($A189,List!$A$1:$B$29,2,FALSE)))</f>
        <v/>
      </c>
      <c r="S189" s="13" t="str">
        <f>IF(IF(ISNUMBER(G189),VLOOKUP($A189,List!$A$1:$B$29,2,FALSE))=FALSE,"",IF(ISNUMBER(G189),VLOOKUP($A189,List!$A$1:$B$29,2,FALSE)))</f>
        <v/>
      </c>
      <c r="T189" s="13" t="str">
        <f>IF(IF(ISNUMBER(H189),VLOOKUP($A189,List!$A$1:$B$29,2,FALSE))=FALSE,"",IF(ISNUMBER(H189),VLOOKUP($A189,List!$A$1:$B$29,2,FALSE)))</f>
        <v>When buying a boat, I rely more on expert opinion than my own</v>
      </c>
      <c r="U189" s="13" t="str">
        <f>IF(IF(ISNUMBER(I189),VLOOKUP($A189,List!$A$1:$B$29,2,FALSE))=FALSE,"",IF(ISNUMBER(I189),VLOOKUP($A189,List!$A$1:$B$29,2,FALSE)))</f>
        <v/>
      </c>
      <c r="V189" s="13" t="str">
        <f>IF(IF(ISNUMBER(J189),VLOOKUP($A189,List!$A$1:$B$29,2,FALSE))=FALSE,"",IF(ISNUMBER(J189),VLOOKUP($A189,List!$A$1:$B$29,2,FALSE)))</f>
        <v/>
      </c>
      <c r="W189" s="13" t="str">
        <f>IF(IF(ISNUMBER(K189),VLOOKUP($A189,List!$A$1:$B$29,2,FALSE))=FALSE,"",IF(ISNUMBER(K189),VLOOKUP($A189,List!$A$1:$B$29,2,FALSE)))</f>
        <v/>
      </c>
      <c r="X189" s="13" t="str">
        <f>IF(IF(ISNUMBER(L189),VLOOKUP($A189,List!$A$1:$B$29,2,FALSE))=FALSE,"",IF(ISNUMBER(L189),VLOOKUP($A189,List!$A$1:$B$29,2,FALSE)))</f>
        <v/>
      </c>
      <c r="Y189" s="13" t="str">
        <f>IF(IF(ISNUMBER(M189),VLOOKUP($A189,List!$A$1:$B$29,2,FALSE))=FALSE,"",IF(ISNUMBER(M189),VLOOKUP($A189,List!$A$1:$B$29,2,FALSE)))</f>
        <v/>
      </c>
    </row>
    <row r="190" spans="1:25" ht="15" thickBot="1" x14ac:dyDescent="0.35">
      <c r="A190" s="4">
        <v>4</v>
      </c>
      <c r="B190" s="28" t="s">
        <v>79</v>
      </c>
      <c r="C190" s="28" t="s">
        <v>79</v>
      </c>
      <c r="D190" s="28" t="s">
        <v>79</v>
      </c>
      <c r="E190" s="28" t="s">
        <v>79</v>
      </c>
      <c r="F190" s="28" t="s">
        <v>79</v>
      </c>
      <c r="G190" s="13" t="s">
        <v>79</v>
      </c>
      <c r="H190" s="13" t="s">
        <v>79</v>
      </c>
      <c r="I190" s="13" t="s">
        <v>79</v>
      </c>
      <c r="J190" s="13">
        <v>0.88</v>
      </c>
      <c r="K190" s="13" t="s">
        <v>79</v>
      </c>
      <c r="L190" s="13" t="s">
        <v>79</v>
      </c>
      <c r="M190" s="13" t="s">
        <v>79</v>
      </c>
      <c r="N190" s="13" t="str">
        <f>IF(IF(ISNUMBER(B190),VLOOKUP($A190,List!$A$1:$B$29,2,FALSE))=FALSE,"",IF(ISNUMBER(B190),VLOOKUP($A190,List!$A$1:$B$29,2,FALSE)))</f>
        <v/>
      </c>
      <c r="O190" s="13" t="str">
        <f>IF(IF(ISNUMBER(C190),VLOOKUP($A190,List!$A$1:$B$29,2,FALSE))=FALSE,"",IF(ISNUMBER(C190),VLOOKUP($A190,List!$A$1:$B$29,2,FALSE)))</f>
        <v/>
      </c>
      <c r="P190" s="13" t="str">
        <f>IF(IF(ISNUMBER(D190),VLOOKUP($A190,List!$A$1:$B$29,2,FALSE))=FALSE,"",IF(ISNUMBER(D190),VLOOKUP($A190,List!$A$1:$B$29,2,FALSE)))</f>
        <v/>
      </c>
      <c r="Q190" s="13" t="str">
        <f>IF(IF(ISNUMBER(E190),VLOOKUP($A190,List!$A$1:$B$29,2,FALSE))=FALSE,"",IF(ISNUMBER(E190),VLOOKUP($A190,List!$A$1:$B$29,2,FALSE)))</f>
        <v/>
      </c>
      <c r="R190" s="13" t="str">
        <f>IF(IF(ISNUMBER(F190),VLOOKUP($A190,List!$A$1:$B$29,2,FALSE))=FALSE,"",IF(ISNUMBER(F190),VLOOKUP($A190,List!$A$1:$B$29,2,FALSE)))</f>
        <v/>
      </c>
      <c r="S190" s="13" t="str">
        <f>IF(IF(ISNUMBER(G190),VLOOKUP($A190,List!$A$1:$B$29,2,FALSE))=FALSE,"",IF(ISNUMBER(G190),VLOOKUP($A190,List!$A$1:$B$29,2,FALSE)))</f>
        <v/>
      </c>
      <c r="T190" s="13" t="str">
        <f>IF(IF(ISNUMBER(H190),VLOOKUP($A190,List!$A$1:$B$29,2,FALSE))=FALSE,"",IF(ISNUMBER(H190),VLOOKUP($A190,List!$A$1:$B$29,2,FALSE)))</f>
        <v/>
      </c>
      <c r="U190" s="13" t="str">
        <f>IF(IF(ISNUMBER(I190),VLOOKUP($A190,List!$A$1:$B$29,2,FALSE))=FALSE,"",IF(ISNUMBER(I190),VLOOKUP($A190,List!$A$1:$B$29,2,FALSE)))</f>
        <v/>
      </c>
      <c r="V190" s="13" t="str">
        <f>IF(IF(ISNUMBER(J190),VLOOKUP($A190,List!$A$1:$B$29,2,FALSE))=FALSE,"",IF(ISNUMBER(J190),VLOOKUP($A190,List!$A$1:$B$29,2,FALSE)))</f>
        <v>I only consider buying a boat from a reputable brand</v>
      </c>
      <c r="W190" s="13" t="str">
        <f>IF(IF(ISNUMBER(K190),VLOOKUP($A190,List!$A$1:$B$29,2,FALSE))=FALSE,"",IF(ISNUMBER(K190),VLOOKUP($A190,List!$A$1:$B$29,2,FALSE)))</f>
        <v/>
      </c>
      <c r="X190" s="13" t="str">
        <f>IF(IF(ISNUMBER(L190),VLOOKUP($A190,List!$A$1:$B$29,2,FALSE))=FALSE,"",IF(ISNUMBER(L190),VLOOKUP($A190,List!$A$1:$B$29,2,FALSE)))</f>
        <v/>
      </c>
      <c r="Y190" s="13" t="str">
        <f>IF(IF(ISNUMBER(M190),VLOOKUP($A190,List!$A$1:$B$29,2,FALSE))=FALSE,"",IF(ISNUMBER(M190),VLOOKUP($A190,List!$A$1:$B$29,2,FALSE)))</f>
        <v/>
      </c>
    </row>
    <row r="191" spans="1:25" ht="15" thickBot="1" x14ac:dyDescent="0.35">
      <c r="A191" s="4">
        <v>7</v>
      </c>
      <c r="B191" s="28" t="s">
        <v>79</v>
      </c>
      <c r="C191" s="28" t="s">
        <v>79</v>
      </c>
      <c r="D191" s="28" t="s">
        <v>79</v>
      </c>
      <c r="E191" s="28">
        <v>0.87</v>
      </c>
      <c r="F191" s="28" t="s">
        <v>79</v>
      </c>
      <c r="G191" s="13" t="s">
        <v>79</v>
      </c>
      <c r="H191" s="13" t="s">
        <v>79</v>
      </c>
      <c r="I191" s="13" t="s">
        <v>79</v>
      </c>
      <c r="J191" s="13" t="s">
        <v>79</v>
      </c>
      <c r="K191" s="13" t="s">
        <v>79</v>
      </c>
      <c r="L191" s="13" t="s">
        <v>79</v>
      </c>
      <c r="M191" s="13" t="s">
        <v>79</v>
      </c>
      <c r="N191" s="13" t="str">
        <f>IF(IF(ISNUMBER(B191),VLOOKUP($A191,List!$A$1:$B$29,2,FALSE))=FALSE,"",IF(ISNUMBER(B191),VLOOKUP($A191,List!$A$1:$B$29,2,FALSE)))</f>
        <v/>
      </c>
      <c r="O191" s="13" t="str">
        <f>IF(IF(ISNUMBER(C191),VLOOKUP($A191,List!$A$1:$B$29,2,FALSE))=FALSE,"",IF(ISNUMBER(C191),VLOOKUP($A191,List!$A$1:$B$29,2,FALSE)))</f>
        <v/>
      </c>
      <c r="P191" s="13" t="str">
        <f>IF(IF(ISNUMBER(D191),VLOOKUP($A191,List!$A$1:$B$29,2,FALSE))=FALSE,"",IF(ISNUMBER(D191),VLOOKUP($A191,List!$A$1:$B$29,2,FALSE)))</f>
        <v/>
      </c>
      <c r="Q191" s="13" t="str">
        <f>IF(IF(ISNUMBER(E191),VLOOKUP($A191,List!$A$1:$B$29,2,FALSE))=FALSE,"",IF(ISNUMBER(E191),VLOOKUP($A191,List!$A$1:$B$29,2,FALSE)))</f>
        <v>Owning a boat gives me a sense of achievement</v>
      </c>
      <c r="R191" s="13" t="str">
        <f>IF(IF(ISNUMBER(F191),VLOOKUP($A191,List!$A$1:$B$29,2,FALSE))=FALSE,"",IF(ISNUMBER(F191),VLOOKUP($A191,List!$A$1:$B$29,2,FALSE)))</f>
        <v/>
      </c>
      <c r="S191" s="13" t="str">
        <f>IF(IF(ISNUMBER(G191),VLOOKUP($A191,List!$A$1:$B$29,2,FALSE))=FALSE,"",IF(ISNUMBER(G191),VLOOKUP($A191,List!$A$1:$B$29,2,FALSE)))</f>
        <v/>
      </c>
      <c r="T191" s="13" t="str">
        <f>IF(IF(ISNUMBER(H191),VLOOKUP($A191,List!$A$1:$B$29,2,FALSE))=FALSE,"",IF(ISNUMBER(H191),VLOOKUP($A191,List!$A$1:$B$29,2,FALSE)))</f>
        <v/>
      </c>
      <c r="U191" s="13" t="str">
        <f>IF(IF(ISNUMBER(I191),VLOOKUP($A191,List!$A$1:$B$29,2,FALSE))=FALSE,"",IF(ISNUMBER(I191),VLOOKUP($A191,List!$A$1:$B$29,2,FALSE)))</f>
        <v/>
      </c>
      <c r="V191" s="13" t="str">
        <f>IF(IF(ISNUMBER(J191),VLOOKUP($A191,List!$A$1:$B$29,2,FALSE))=FALSE,"",IF(ISNUMBER(J191),VLOOKUP($A191,List!$A$1:$B$29,2,FALSE)))</f>
        <v/>
      </c>
      <c r="W191" s="13" t="str">
        <f>IF(IF(ISNUMBER(K191),VLOOKUP($A191,List!$A$1:$B$29,2,FALSE))=FALSE,"",IF(ISNUMBER(K191),VLOOKUP($A191,List!$A$1:$B$29,2,FALSE)))</f>
        <v/>
      </c>
      <c r="X191" s="13" t="str">
        <f>IF(IF(ISNUMBER(L191),VLOOKUP($A191,List!$A$1:$B$29,2,FALSE))=FALSE,"",IF(ISNUMBER(L191),VLOOKUP($A191,List!$A$1:$B$29,2,FALSE)))</f>
        <v/>
      </c>
      <c r="Y191" s="13" t="str">
        <f>IF(IF(ISNUMBER(M191),VLOOKUP($A191,List!$A$1:$B$29,2,FALSE))=FALSE,"",IF(ISNUMBER(M191),VLOOKUP($A191,List!$A$1:$B$29,2,FALSE)))</f>
        <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workbookViewId="0">
      <selection activeCell="B1" sqref="B1:B29"/>
    </sheetView>
  </sheetViews>
  <sheetFormatPr defaultRowHeight="14.4" x14ac:dyDescent="0.3"/>
  <sheetData>
    <row r="1" spans="1:2" x14ac:dyDescent="0.3">
      <c r="A1">
        <v>1</v>
      </c>
      <c r="B1" t="s">
        <v>0</v>
      </c>
    </row>
    <row r="2" spans="1:2" x14ac:dyDescent="0.3">
      <c r="A2">
        <v>2</v>
      </c>
      <c r="B2" t="s">
        <v>1</v>
      </c>
    </row>
    <row r="3" spans="1:2" x14ac:dyDescent="0.3">
      <c r="A3">
        <v>3</v>
      </c>
      <c r="B3" t="s">
        <v>2</v>
      </c>
    </row>
    <row r="4" spans="1:2" x14ac:dyDescent="0.3">
      <c r="A4">
        <v>4</v>
      </c>
      <c r="B4" t="s">
        <v>3</v>
      </c>
    </row>
    <row r="5" spans="1:2" x14ac:dyDescent="0.3">
      <c r="A5">
        <v>5</v>
      </c>
      <c r="B5" t="s">
        <v>4</v>
      </c>
    </row>
    <row r="6" spans="1:2" x14ac:dyDescent="0.3">
      <c r="A6">
        <v>6</v>
      </c>
      <c r="B6" t="s">
        <v>5</v>
      </c>
    </row>
    <row r="7" spans="1:2" x14ac:dyDescent="0.3">
      <c r="A7">
        <v>7</v>
      </c>
      <c r="B7" t="s">
        <v>6</v>
      </c>
    </row>
    <row r="8" spans="1:2" x14ac:dyDescent="0.3">
      <c r="A8">
        <v>8</v>
      </c>
      <c r="B8" t="s">
        <v>7</v>
      </c>
    </row>
    <row r="9" spans="1:2" x14ac:dyDescent="0.3">
      <c r="A9">
        <v>9</v>
      </c>
      <c r="B9" t="s">
        <v>8</v>
      </c>
    </row>
    <row r="10" spans="1:2" x14ac:dyDescent="0.3">
      <c r="A10">
        <v>10</v>
      </c>
      <c r="B10" t="s">
        <v>9</v>
      </c>
    </row>
    <row r="11" spans="1:2" x14ac:dyDescent="0.3">
      <c r="A11">
        <v>11</v>
      </c>
      <c r="B11" t="s">
        <v>10</v>
      </c>
    </row>
    <row r="12" spans="1:2" x14ac:dyDescent="0.3">
      <c r="A12">
        <v>12</v>
      </c>
      <c r="B12" t="s">
        <v>11</v>
      </c>
    </row>
    <row r="13" spans="1:2" x14ac:dyDescent="0.3">
      <c r="A13">
        <v>13</v>
      </c>
      <c r="B13" t="s">
        <v>13</v>
      </c>
    </row>
    <row r="14" spans="1:2" x14ac:dyDescent="0.3">
      <c r="A14">
        <v>14</v>
      </c>
      <c r="B14" t="s">
        <v>12</v>
      </c>
    </row>
    <row r="15" spans="1:2" x14ac:dyDescent="0.3">
      <c r="A15">
        <v>15</v>
      </c>
      <c r="B15" t="s">
        <v>14</v>
      </c>
    </row>
    <row r="16" spans="1:2" x14ac:dyDescent="0.3">
      <c r="A16">
        <v>16</v>
      </c>
      <c r="B16" t="s">
        <v>15</v>
      </c>
    </row>
    <row r="17" spans="1:2" x14ac:dyDescent="0.3">
      <c r="A17">
        <v>17</v>
      </c>
      <c r="B17" t="s">
        <v>16</v>
      </c>
    </row>
    <row r="18" spans="1:2" x14ac:dyDescent="0.3">
      <c r="A18">
        <v>18</v>
      </c>
      <c r="B18" t="s">
        <v>17</v>
      </c>
    </row>
    <row r="19" spans="1:2" x14ac:dyDescent="0.3">
      <c r="A19">
        <v>19</v>
      </c>
      <c r="B19" t="s">
        <v>18</v>
      </c>
    </row>
    <row r="20" spans="1:2" x14ac:dyDescent="0.3">
      <c r="A20">
        <v>20</v>
      </c>
      <c r="B20" t="s">
        <v>19</v>
      </c>
    </row>
    <row r="21" spans="1:2" x14ac:dyDescent="0.3">
      <c r="A21">
        <v>21</v>
      </c>
      <c r="B21" t="s">
        <v>20</v>
      </c>
    </row>
    <row r="22" spans="1:2" x14ac:dyDescent="0.3">
      <c r="A22">
        <v>22</v>
      </c>
      <c r="B22" t="s">
        <v>21</v>
      </c>
    </row>
    <row r="23" spans="1:2" x14ac:dyDescent="0.3">
      <c r="A23">
        <v>23</v>
      </c>
      <c r="B23" t="s">
        <v>22</v>
      </c>
    </row>
    <row r="24" spans="1:2" x14ac:dyDescent="0.3">
      <c r="A24">
        <v>24</v>
      </c>
      <c r="B24" t="s">
        <v>23</v>
      </c>
    </row>
    <row r="25" spans="1:2" x14ac:dyDescent="0.3">
      <c r="A25">
        <v>25</v>
      </c>
      <c r="B25" t="s">
        <v>24</v>
      </c>
    </row>
    <row r="26" spans="1:2" x14ac:dyDescent="0.3">
      <c r="A26">
        <v>26</v>
      </c>
      <c r="B26" t="s">
        <v>25</v>
      </c>
    </row>
    <row r="27" spans="1:2" x14ac:dyDescent="0.3">
      <c r="A27">
        <v>27</v>
      </c>
      <c r="B27" t="s">
        <v>26</v>
      </c>
    </row>
    <row r="28" spans="1:2" x14ac:dyDescent="0.3">
      <c r="A28">
        <v>28</v>
      </c>
      <c r="B28" t="s">
        <v>27</v>
      </c>
    </row>
    <row r="29" spans="1:2" x14ac:dyDescent="0.3">
      <c r="A29">
        <v>29</v>
      </c>
      <c r="B29" t="s">
        <v>28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B8685-3901-48E3-B3BD-139CD5E082A3}">
  <dimension ref="A1:AE72"/>
  <sheetViews>
    <sheetView topLeftCell="A31" workbookViewId="0">
      <selection activeCell="A32" sqref="A32"/>
    </sheetView>
  </sheetViews>
  <sheetFormatPr defaultRowHeight="14.4" x14ac:dyDescent="0.3"/>
  <cols>
    <col min="14" max="14" width="44.44140625" bestFit="1" customWidth="1"/>
    <col min="15" max="15" width="30.109375" customWidth="1"/>
    <col min="16" max="16" width="42.88671875" bestFit="1" customWidth="1"/>
    <col min="17" max="17" width="57.44140625" bestFit="1" customWidth="1"/>
    <col min="18" max="18" width="57.6640625" bestFit="1" customWidth="1"/>
    <col min="19" max="19" width="50.33203125" bestFit="1" customWidth="1"/>
  </cols>
  <sheetData>
    <row r="1" spans="1:31" ht="23.4" x14ac:dyDescent="0.45">
      <c r="A1" s="17" t="s">
        <v>122</v>
      </c>
    </row>
    <row r="2" spans="1:31" ht="29.4" thickBot="1" x14ac:dyDescent="0.35">
      <c r="A2" s="3" t="s">
        <v>63</v>
      </c>
      <c r="B2" s="3" t="s">
        <v>49</v>
      </c>
      <c r="C2" s="3" t="s">
        <v>50</v>
      </c>
      <c r="D2" s="3" t="s">
        <v>51</v>
      </c>
      <c r="E2" s="3" t="s">
        <v>52</v>
      </c>
      <c r="F2" s="3" t="s">
        <v>53</v>
      </c>
      <c r="G2" s="3" t="s">
        <v>54</v>
      </c>
      <c r="H2" s="3" t="s">
        <v>55</v>
      </c>
      <c r="I2" s="3" t="s">
        <v>56</v>
      </c>
      <c r="J2" s="3" t="s">
        <v>57</v>
      </c>
      <c r="K2" s="3" t="s">
        <v>58</v>
      </c>
      <c r="L2" s="3" t="s">
        <v>59</v>
      </c>
      <c r="M2" s="3" t="s">
        <v>60</v>
      </c>
      <c r="N2" s="20" t="s">
        <v>128</v>
      </c>
      <c r="O2" s="20" t="s">
        <v>144</v>
      </c>
      <c r="P2" s="20" t="s">
        <v>130</v>
      </c>
      <c r="Q2" s="20" t="s">
        <v>133</v>
      </c>
      <c r="R2" s="20" t="s">
        <v>89</v>
      </c>
      <c r="S2" s="20" t="s">
        <v>131</v>
      </c>
      <c r="T2" s="20" t="s">
        <v>132</v>
      </c>
      <c r="X2" s="3" t="s">
        <v>63</v>
      </c>
      <c r="Y2" s="3" t="s">
        <v>128</v>
      </c>
      <c r="Z2" s="3" t="s">
        <v>144</v>
      </c>
      <c r="AA2" s="3" t="s">
        <v>130</v>
      </c>
      <c r="AB2" s="3" t="s">
        <v>137</v>
      </c>
      <c r="AC2" s="3" t="s">
        <v>89</v>
      </c>
      <c r="AD2" s="3" t="s">
        <v>131</v>
      </c>
      <c r="AE2" s="3" t="s">
        <v>132</v>
      </c>
    </row>
    <row r="3" spans="1:31" ht="15" thickBot="1" x14ac:dyDescent="0.35">
      <c r="A3" s="4">
        <v>21</v>
      </c>
      <c r="B3" s="5">
        <v>0.76</v>
      </c>
      <c r="C3" s="6" t="s">
        <v>79</v>
      </c>
      <c r="D3" s="6" t="s">
        <v>79</v>
      </c>
      <c r="E3" s="6" t="s">
        <v>79</v>
      </c>
      <c r="F3" s="6" t="s">
        <v>79</v>
      </c>
      <c r="G3" s="7" t="s">
        <v>79</v>
      </c>
      <c r="H3" s="7" t="s">
        <v>79</v>
      </c>
      <c r="I3" s="7"/>
      <c r="J3" s="7"/>
      <c r="K3" s="7"/>
      <c r="L3" s="7"/>
      <c r="M3" s="7"/>
      <c r="N3" s="13" t="str">
        <f>IF(IF(ISNUMBER(B3),VLOOKUP($A3,List!$A$1:$B$29,2,FALSE))=FALSE,"",IF(ISNUMBER(B3),VLOOKUP($A3,List!$A$1:$B$29,2,FALSE)))</f>
        <v>Boating helps me escape from everyday life and relax</v>
      </c>
      <c r="O3" s="13" t="str">
        <f>IF(IF(ISNUMBER(C3),VLOOKUP($A3,List!$A$1:$B$29,2,FALSE))=FALSE,"",IF(ISNUMBER(C3),VLOOKUP($A3,List!$A$1:$B$29,2,FALSE)))</f>
        <v/>
      </c>
      <c r="P3" s="13" t="str">
        <f>IF(IF(ISNUMBER(D3),VLOOKUP($A3,List!$A$1:$B$29,2,FALSE))=FALSE,"",IF(ISNUMBER(D3),VLOOKUP($A3,List!$A$1:$B$29,2,FALSE)))</f>
        <v/>
      </c>
      <c r="Q3" s="13" t="str">
        <f>IF(IF(ISNUMBER(E3),VLOOKUP($A3,List!$A$1:$B$29,2,FALSE))=FALSE,"",IF(ISNUMBER(E3),VLOOKUP($A3,List!$A$1:$B$29,2,FALSE)))</f>
        <v/>
      </c>
      <c r="R3" s="13" t="str">
        <f>IF(IF(ISNUMBER(F3),VLOOKUP($A3,List!$A$1:$B$29,2,FALSE))=FALSE,"",IF(ISNUMBER(F3),VLOOKUP($A3,List!$A$1:$B$29,2,FALSE)))</f>
        <v/>
      </c>
      <c r="S3" s="13" t="str">
        <f>IF(IF(ISNUMBER(G3),VLOOKUP($A3,List!$A$1:$B$29,2,FALSE))=FALSE,"",IF(ISNUMBER(G3),VLOOKUP($A3,List!$A$1:$B$29,2,FALSE)))</f>
        <v/>
      </c>
      <c r="T3" s="13" t="str">
        <f>IF(IF(ISNUMBER(H3),VLOOKUP($A3,List!$A$1:$B$29,2,FALSE))=FALSE,"",IF(ISNUMBER(H3),VLOOKUP($A3,List!$A$1:$B$29,2,FALSE)))</f>
        <v/>
      </c>
      <c r="X3" s="4">
        <v>21</v>
      </c>
      <c r="Y3" s="5" t="str">
        <f t="shared" ref="Y3:AE9" si="0">IF(ISNUMBER(B3),"include","")</f>
        <v>include</v>
      </c>
      <c r="Z3" s="5" t="str">
        <f t="shared" si="0"/>
        <v/>
      </c>
      <c r="AA3" s="5" t="str">
        <f t="shared" si="0"/>
        <v/>
      </c>
      <c r="AB3" s="5" t="str">
        <f t="shared" si="0"/>
        <v/>
      </c>
      <c r="AC3" s="5" t="str">
        <f t="shared" si="0"/>
        <v/>
      </c>
      <c r="AD3" s="5" t="str">
        <f t="shared" si="0"/>
        <v/>
      </c>
      <c r="AE3" s="5" t="str">
        <f t="shared" si="0"/>
        <v/>
      </c>
    </row>
    <row r="4" spans="1:31" ht="15" thickBot="1" x14ac:dyDescent="0.35">
      <c r="A4" s="4">
        <v>18</v>
      </c>
      <c r="B4" s="5">
        <v>0.71</v>
      </c>
      <c r="C4" s="6" t="s">
        <v>79</v>
      </c>
      <c r="D4" s="6" t="s">
        <v>79</v>
      </c>
      <c r="E4" s="6" t="s">
        <v>79</v>
      </c>
      <c r="F4" s="6" t="s">
        <v>79</v>
      </c>
      <c r="G4" s="7" t="s">
        <v>79</v>
      </c>
      <c r="H4" s="7" t="s">
        <v>79</v>
      </c>
      <c r="I4" s="7"/>
      <c r="J4" s="7"/>
      <c r="K4" s="7"/>
      <c r="L4" s="7"/>
      <c r="M4" s="7"/>
      <c r="N4" s="13" t="str">
        <f>IF(IF(ISNUMBER(B4),VLOOKUP($A4,List!$A$1:$B$29,2,FALSE))=FALSE,"",IF(ISNUMBER(B4),VLOOKUP($A4,List!$A$1:$B$29,2,FALSE)))</f>
        <v>Boating gives me a feeling of adventure</v>
      </c>
      <c r="O4" s="13" t="str">
        <f>IF(IF(ISNUMBER(C4),VLOOKUP($A4,List!$A$1:$B$29,2,FALSE))=FALSE,"",IF(ISNUMBER(C4),VLOOKUP($A4,List!$A$1:$B$29,2,FALSE)))</f>
        <v/>
      </c>
      <c r="P4" s="13" t="str">
        <f>IF(IF(ISNUMBER(D4),VLOOKUP($A4,List!$A$1:$B$29,2,FALSE))=FALSE,"",IF(ISNUMBER(D4),VLOOKUP($A4,List!$A$1:$B$29,2,FALSE)))</f>
        <v/>
      </c>
      <c r="Q4" s="13" t="str">
        <f>IF(IF(ISNUMBER(E4),VLOOKUP($A4,List!$A$1:$B$29,2,FALSE))=FALSE,"",IF(ISNUMBER(E4),VLOOKUP($A4,List!$A$1:$B$29,2,FALSE)))</f>
        <v/>
      </c>
      <c r="R4" s="13" t="str">
        <f>IF(IF(ISNUMBER(F4),VLOOKUP($A4,List!$A$1:$B$29,2,FALSE))=FALSE,"",IF(ISNUMBER(F4),VLOOKUP($A4,List!$A$1:$B$29,2,FALSE)))</f>
        <v/>
      </c>
      <c r="S4" s="13" t="str">
        <f>IF(IF(ISNUMBER(G4),VLOOKUP($A4,List!$A$1:$B$29,2,FALSE))=FALSE,"",IF(ISNUMBER(G4),VLOOKUP($A4,List!$A$1:$B$29,2,FALSE)))</f>
        <v/>
      </c>
      <c r="T4" s="13" t="str">
        <f>IF(IF(ISNUMBER(H4),VLOOKUP($A4,List!$A$1:$B$29,2,FALSE))=FALSE,"",IF(ISNUMBER(H4),VLOOKUP($A4,List!$A$1:$B$29,2,FALSE)))</f>
        <v/>
      </c>
      <c r="X4" s="4">
        <v>18</v>
      </c>
      <c r="Y4" s="5" t="str">
        <f t="shared" si="0"/>
        <v>include</v>
      </c>
      <c r="Z4" s="5" t="str">
        <f t="shared" si="0"/>
        <v/>
      </c>
      <c r="AA4" s="5" t="str">
        <f t="shared" si="0"/>
        <v/>
      </c>
      <c r="AB4" s="5" t="str">
        <f t="shared" si="0"/>
        <v/>
      </c>
      <c r="AC4" s="5" t="str">
        <f t="shared" si="0"/>
        <v/>
      </c>
      <c r="AD4" s="5" t="str">
        <f t="shared" si="0"/>
        <v/>
      </c>
      <c r="AE4" s="5" t="str">
        <f t="shared" si="0"/>
        <v/>
      </c>
    </row>
    <row r="5" spans="1:31" ht="15" thickBot="1" x14ac:dyDescent="0.35">
      <c r="A5" s="4">
        <v>19</v>
      </c>
      <c r="B5" s="5">
        <v>0.68</v>
      </c>
      <c r="C5" s="6" t="s">
        <v>79</v>
      </c>
      <c r="D5" s="6" t="s">
        <v>79</v>
      </c>
      <c r="E5" s="6" t="s">
        <v>79</v>
      </c>
      <c r="F5" s="6" t="s">
        <v>79</v>
      </c>
      <c r="G5" s="7" t="s">
        <v>79</v>
      </c>
      <c r="H5" s="7" t="s">
        <v>79</v>
      </c>
      <c r="I5" s="7"/>
      <c r="J5" s="7"/>
      <c r="K5" s="7"/>
      <c r="L5" s="7"/>
      <c r="M5" s="7"/>
      <c r="N5" s="13" t="str">
        <f>IF(IF(ISNUMBER(B5),VLOOKUP($A5,List!$A$1:$B$29,2,FALSE))=FALSE,"",IF(ISNUMBER(B5),VLOOKUP($A5,List!$A$1:$B$29,2,FALSE)))</f>
        <v>Boating allows me to experience nature</v>
      </c>
      <c r="O5" s="13" t="str">
        <f>IF(IF(ISNUMBER(C5),VLOOKUP($A5,List!$A$1:$B$29,2,FALSE))=FALSE,"",IF(ISNUMBER(C5),VLOOKUP($A5,List!$A$1:$B$29,2,FALSE)))</f>
        <v/>
      </c>
      <c r="P5" s="13" t="str">
        <f>IF(IF(ISNUMBER(D5),VLOOKUP($A5,List!$A$1:$B$29,2,FALSE))=FALSE,"",IF(ISNUMBER(D5),VLOOKUP($A5,List!$A$1:$B$29,2,FALSE)))</f>
        <v/>
      </c>
      <c r="Q5" s="13" t="str">
        <f>IF(IF(ISNUMBER(E5),VLOOKUP($A5,List!$A$1:$B$29,2,FALSE))=FALSE,"",IF(ISNUMBER(E5),VLOOKUP($A5,List!$A$1:$B$29,2,FALSE)))</f>
        <v/>
      </c>
      <c r="R5" s="13" t="str">
        <f>IF(IF(ISNUMBER(F5),VLOOKUP($A5,List!$A$1:$B$29,2,FALSE))=FALSE,"",IF(ISNUMBER(F5),VLOOKUP($A5,List!$A$1:$B$29,2,FALSE)))</f>
        <v/>
      </c>
      <c r="S5" s="13" t="str">
        <f>IF(IF(ISNUMBER(G5),VLOOKUP($A5,List!$A$1:$B$29,2,FALSE))=FALSE,"",IF(ISNUMBER(G5),VLOOKUP($A5,List!$A$1:$B$29,2,FALSE)))</f>
        <v/>
      </c>
      <c r="T5" s="13" t="str">
        <f>IF(IF(ISNUMBER(H5),VLOOKUP($A5,List!$A$1:$B$29,2,FALSE))=FALSE,"",IF(ISNUMBER(H5),VLOOKUP($A5,List!$A$1:$B$29,2,FALSE)))</f>
        <v/>
      </c>
      <c r="X5" s="4">
        <v>19</v>
      </c>
      <c r="Y5" s="5" t="str">
        <f t="shared" si="0"/>
        <v>include</v>
      </c>
      <c r="Z5" s="5" t="str">
        <f t="shared" si="0"/>
        <v/>
      </c>
      <c r="AA5" s="5" t="str">
        <f t="shared" si="0"/>
        <v/>
      </c>
      <c r="AB5" s="5" t="str">
        <f t="shared" si="0"/>
        <v/>
      </c>
      <c r="AC5" s="5" t="str">
        <f t="shared" si="0"/>
        <v/>
      </c>
      <c r="AD5" s="5" t="str">
        <f t="shared" si="0"/>
        <v/>
      </c>
      <c r="AE5" s="5" t="str">
        <f t="shared" si="0"/>
        <v/>
      </c>
    </row>
    <row r="6" spans="1:31" ht="15" thickBot="1" x14ac:dyDescent="0.35">
      <c r="A6" s="4">
        <v>24</v>
      </c>
      <c r="B6" s="5">
        <v>0.63</v>
      </c>
      <c r="C6" s="6" t="s">
        <v>79</v>
      </c>
      <c r="D6" s="6" t="s">
        <v>79</v>
      </c>
      <c r="E6" s="6" t="s">
        <v>79</v>
      </c>
      <c r="F6" s="6" t="s">
        <v>79</v>
      </c>
      <c r="G6" s="7" t="s">
        <v>79</v>
      </c>
      <c r="H6" s="7" t="s">
        <v>79</v>
      </c>
      <c r="I6" s="7"/>
      <c r="J6" s="7"/>
      <c r="K6" s="7"/>
      <c r="L6" s="7"/>
      <c r="M6" s="7"/>
      <c r="N6" s="13" t="str">
        <f>IF(IF(ISNUMBER(B6),VLOOKUP($A6,List!$A$1:$B$29,2,FALSE))=FALSE,"",IF(ISNUMBER(B6),VLOOKUP($A6,List!$A$1:$B$29,2,FALSE)))</f>
        <v>Boating gives me an outlet to socialize with family/friends</v>
      </c>
      <c r="O6" s="13" t="str">
        <f>IF(IF(ISNUMBER(C6),VLOOKUP($A6,List!$A$1:$B$29,2,FALSE))=FALSE,"",IF(ISNUMBER(C6),VLOOKUP($A6,List!$A$1:$B$29,2,FALSE)))</f>
        <v/>
      </c>
      <c r="P6" s="13" t="str">
        <f>IF(IF(ISNUMBER(D6),VLOOKUP($A6,List!$A$1:$B$29,2,FALSE))=FALSE,"",IF(ISNUMBER(D6),VLOOKUP($A6,List!$A$1:$B$29,2,FALSE)))</f>
        <v/>
      </c>
      <c r="Q6" s="13" t="str">
        <f>IF(IF(ISNUMBER(E6),VLOOKUP($A6,List!$A$1:$B$29,2,FALSE))=FALSE,"",IF(ISNUMBER(E6),VLOOKUP($A6,List!$A$1:$B$29,2,FALSE)))</f>
        <v/>
      </c>
      <c r="R6" s="13" t="str">
        <f>IF(IF(ISNUMBER(F6),VLOOKUP($A6,List!$A$1:$B$29,2,FALSE))=FALSE,"",IF(ISNUMBER(F6),VLOOKUP($A6,List!$A$1:$B$29,2,FALSE)))</f>
        <v/>
      </c>
      <c r="S6" s="13" t="str">
        <f>IF(IF(ISNUMBER(G6),VLOOKUP($A6,List!$A$1:$B$29,2,FALSE))=FALSE,"",IF(ISNUMBER(G6),VLOOKUP($A6,List!$A$1:$B$29,2,FALSE)))</f>
        <v/>
      </c>
      <c r="T6" s="13" t="str">
        <f>IF(IF(ISNUMBER(H6),VLOOKUP($A6,List!$A$1:$B$29,2,FALSE))=FALSE,"",IF(ISNUMBER(H6),VLOOKUP($A6,List!$A$1:$B$29,2,FALSE)))</f>
        <v/>
      </c>
      <c r="X6" s="4">
        <v>24</v>
      </c>
      <c r="Y6" s="5" t="str">
        <f t="shared" si="0"/>
        <v>include</v>
      </c>
      <c r="Z6" s="5" t="str">
        <f t="shared" si="0"/>
        <v/>
      </c>
      <c r="AA6" s="5" t="str">
        <f t="shared" si="0"/>
        <v/>
      </c>
      <c r="AB6" s="5" t="str">
        <f t="shared" si="0"/>
        <v/>
      </c>
      <c r="AC6" s="5" t="str">
        <f t="shared" si="0"/>
        <v/>
      </c>
      <c r="AD6" s="5" t="str">
        <f t="shared" si="0"/>
        <v/>
      </c>
      <c r="AE6" s="5" t="str">
        <f t="shared" si="0"/>
        <v/>
      </c>
    </row>
    <row r="7" spans="1:31" ht="15" thickBot="1" x14ac:dyDescent="0.35">
      <c r="A7" s="4">
        <v>6</v>
      </c>
      <c r="B7" s="5">
        <v>0.59</v>
      </c>
      <c r="C7" s="6" t="s">
        <v>79</v>
      </c>
      <c r="D7" s="6" t="s">
        <v>79</v>
      </c>
      <c r="E7" s="6" t="s">
        <v>79</v>
      </c>
      <c r="F7" s="6" t="s">
        <v>79</v>
      </c>
      <c r="G7" s="7" t="s">
        <v>79</v>
      </c>
      <c r="H7" s="7" t="s">
        <v>79</v>
      </c>
      <c r="I7" s="7"/>
      <c r="J7" s="7"/>
      <c r="K7" s="7"/>
      <c r="L7" s="7"/>
      <c r="M7" s="7"/>
      <c r="N7" s="13" t="str">
        <f>IF(IF(ISNUMBER(B7),VLOOKUP($A7,List!$A$1:$B$29,2,FALSE))=FALSE,"",IF(ISNUMBER(B7),VLOOKUP($A7,List!$A$1:$B$29,2,FALSE)))</f>
        <v>Owning a boat is a way of rewarding myself for hard work</v>
      </c>
      <c r="O7" s="13" t="str">
        <f>IF(IF(ISNUMBER(C7),VLOOKUP($A7,List!$A$1:$B$29,2,FALSE))=FALSE,"",IF(ISNUMBER(C7),VLOOKUP($A7,List!$A$1:$B$29,2,FALSE)))</f>
        <v/>
      </c>
      <c r="P7" s="13" t="str">
        <f>IF(IF(ISNUMBER(D7),VLOOKUP($A7,List!$A$1:$B$29,2,FALSE))=FALSE,"",IF(ISNUMBER(D7),VLOOKUP($A7,List!$A$1:$B$29,2,FALSE)))</f>
        <v/>
      </c>
      <c r="Q7" s="13" t="str">
        <f>IF(IF(ISNUMBER(E7),VLOOKUP($A7,List!$A$1:$B$29,2,FALSE))=FALSE,"",IF(ISNUMBER(E7),VLOOKUP($A7,List!$A$1:$B$29,2,FALSE)))</f>
        <v/>
      </c>
      <c r="R7" s="13" t="str">
        <f>IF(IF(ISNUMBER(F7),VLOOKUP($A7,List!$A$1:$B$29,2,FALSE))=FALSE,"",IF(ISNUMBER(F7),VLOOKUP($A7,List!$A$1:$B$29,2,FALSE)))</f>
        <v/>
      </c>
      <c r="S7" s="13" t="str">
        <f>IF(IF(ISNUMBER(G7),VLOOKUP($A7,List!$A$1:$B$29,2,FALSE))=FALSE,"",IF(ISNUMBER(G7),VLOOKUP($A7,List!$A$1:$B$29,2,FALSE)))</f>
        <v/>
      </c>
      <c r="T7" s="13" t="str">
        <f>IF(IF(ISNUMBER(H7),VLOOKUP($A7,List!$A$1:$B$29,2,FALSE))=FALSE,"",IF(ISNUMBER(H7),VLOOKUP($A7,List!$A$1:$B$29,2,FALSE)))</f>
        <v/>
      </c>
      <c r="X7" s="4">
        <v>6</v>
      </c>
      <c r="Y7" s="5" t="str">
        <f t="shared" si="0"/>
        <v>include</v>
      </c>
      <c r="Z7" s="5" t="str">
        <f t="shared" si="0"/>
        <v/>
      </c>
      <c r="AA7" s="5" t="str">
        <f t="shared" si="0"/>
        <v/>
      </c>
      <c r="AB7" s="5" t="str">
        <f t="shared" si="0"/>
        <v/>
      </c>
      <c r="AC7" s="5" t="str">
        <f t="shared" si="0"/>
        <v/>
      </c>
      <c r="AD7" s="5" t="str">
        <f t="shared" si="0"/>
        <v/>
      </c>
      <c r="AE7" s="5" t="str">
        <f t="shared" si="0"/>
        <v/>
      </c>
    </row>
    <row r="8" spans="1:31" ht="15" thickBot="1" x14ac:dyDescent="0.35">
      <c r="A8" s="4">
        <v>22</v>
      </c>
      <c r="B8" s="5">
        <v>0.56999999999999995</v>
      </c>
      <c r="C8" s="6" t="s">
        <v>79</v>
      </c>
      <c r="D8" s="6" t="s">
        <v>79</v>
      </c>
      <c r="E8" s="6" t="s">
        <v>79</v>
      </c>
      <c r="F8" s="6" t="s">
        <v>79</v>
      </c>
      <c r="G8" s="7" t="s">
        <v>79</v>
      </c>
      <c r="H8" s="7" t="s">
        <v>79</v>
      </c>
      <c r="I8" s="7"/>
      <c r="J8" s="7"/>
      <c r="K8" s="7"/>
      <c r="L8" s="7"/>
      <c r="M8" s="7"/>
      <c r="N8" s="13" t="str">
        <f>IF(IF(ISNUMBER(B8),VLOOKUP($A8,List!$A$1:$B$29,2,FALSE))=FALSE,"",IF(ISNUMBER(B8),VLOOKUP($A8,List!$A$1:$B$29,2,FALSE)))</f>
        <v>Boating helps me stay active</v>
      </c>
      <c r="O8" s="13" t="str">
        <f>IF(IF(ISNUMBER(C8),VLOOKUP($A8,List!$A$1:$B$29,2,FALSE))=FALSE,"",IF(ISNUMBER(C8),VLOOKUP($A8,List!$A$1:$B$29,2,FALSE)))</f>
        <v/>
      </c>
      <c r="P8" s="13" t="str">
        <f>IF(IF(ISNUMBER(D8),VLOOKUP($A8,List!$A$1:$B$29,2,FALSE))=FALSE,"",IF(ISNUMBER(D8),VLOOKUP($A8,List!$A$1:$B$29,2,FALSE)))</f>
        <v/>
      </c>
      <c r="Q8" s="13" t="str">
        <f>IF(IF(ISNUMBER(E8),VLOOKUP($A8,List!$A$1:$B$29,2,FALSE))=FALSE,"",IF(ISNUMBER(E8),VLOOKUP($A8,List!$A$1:$B$29,2,FALSE)))</f>
        <v/>
      </c>
      <c r="R8" s="13" t="str">
        <f>IF(IF(ISNUMBER(F8),VLOOKUP($A8,List!$A$1:$B$29,2,FALSE))=FALSE,"",IF(ISNUMBER(F8),VLOOKUP($A8,List!$A$1:$B$29,2,FALSE)))</f>
        <v/>
      </c>
      <c r="S8" s="13" t="str">
        <f>IF(IF(ISNUMBER(G8),VLOOKUP($A8,List!$A$1:$B$29,2,FALSE))=FALSE,"",IF(ISNUMBER(G8),VLOOKUP($A8,List!$A$1:$B$29,2,FALSE)))</f>
        <v/>
      </c>
      <c r="T8" s="13" t="str">
        <f>IF(IF(ISNUMBER(H8),VLOOKUP($A8,List!$A$1:$B$29,2,FALSE))=FALSE,"",IF(ISNUMBER(H8),VLOOKUP($A8,List!$A$1:$B$29,2,FALSE)))</f>
        <v/>
      </c>
      <c r="X8" s="4">
        <v>22</v>
      </c>
      <c r="Y8" s="5" t="str">
        <f t="shared" si="0"/>
        <v>include</v>
      </c>
      <c r="Z8" s="5" t="str">
        <f t="shared" si="0"/>
        <v/>
      </c>
      <c r="AA8" s="5" t="str">
        <f t="shared" si="0"/>
        <v/>
      </c>
      <c r="AB8" s="5" t="str">
        <f t="shared" si="0"/>
        <v/>
      </c>
      <c r="AC8" s="5" t="str">
        <f t="shared" si="0"/>
        <v/>
      </c>
      <c r="AD8" s="5" t="str">
        <f t="shared" si="0"/>
        <v/>
      </c>
      <c r="AE8" s="5" t="str">
        <f t="shared" si="0"/>
        <v/>
      </c>
    </row>
    <row r="9" spans="1:31" ht="15" thickBot="1" x14ac:dyDescent="0.35">
      <c r="A9" s="4">
        <v>7</v>
      </c>
      <c r="B9" s="6" t="s">
        <v>79</v>
      </c>
      <c r="C9" s="6" t="s">
        <v>79</v>
      </c>
      <c r="D9" s="6">
        <v>0.71</v>
      </c>
      <c r="E9" s="6" t="s">
        <v>79</v>
      </c>
      <c r="F9" s="6" t="s">
        <v>79</v>
      </c>
      <c r="G9" s="7" t="s">
        <v>79</v>
      </c>
      <c r="H9" s="7" t="s">
        <v>79</v>
      </c>
      <c r="I9" s="7"/>
      <c r="J9" s="7"/>
      <c r="K9" s="7"/>
      <c r="L9" s="7"/>
      <c r="M9" s="7"/>
      <c r="N9" s="13" t="str">
        <f>IF(IF(ISNUMBER(B9),VLOOKUP($A9,List!$A$1:$B$29,2,FALSE))=FALSE,"",IF(ISNUMBER(B9),VLOOKUP($A9,List!$A$1:$B$29,2,FALSE)))</f>
        <v/>
      </c>
      <c r="O9" s="13" t="str">
        <f>IF(IF(ISNUMBER(C9),VLOOKUP($A9,List!$A$1:$B$29,2,FALSE))=FALSE,"",IF(ISNUMBER(C9),VLOOKUP($A9,List!$A$1:$B$29,2,FALSE)))</f>
        <v/>
      </c>
      <c r="P9" s="13" t="str">
        <f>IF(IF(ISNUMBER(D9),VLOOKUP($A9,List!$A$1:$B$29,2,FALSE))=FALSE,"",IF(ISNUMBER(D9),VLOOKUP($A9,List!$A$1:$B$29,2,FALSE)))</f>
        <v>Owning a boat gives me a sense of achievement</v>
      </c>
      <c r="Q9" s="13" t="str">
        <f>IF(IF(ISNUMBER(E9),VLOOKUP($A9,List!$A$1:$B$29,2,FALSE))=FALSE,"",IF(ISNUMBER(E9),VLOOKUP($A9,List!$A$1:$B$29,2,FALSE)))</f>
        <v/>
      </c>
      <c r="R9" s="13" t="str">
        <f>IF(IF(ISNUMBER(F9),VLOOKUP($A9,List!$A$1:$B$29,2,FALSE))=FALSE,"",IF(ISNUMBER(F9),VLOOKUP($A9,List!$A$1:$B$29,2,FALSE)))</f>
        <v/>
      </c>
      <c r="S9" s="13" t="str">
        <f>IF(IF(ISNUMBER(G9),VLOOKUP($A9,List!$A$1:$B$29,2,FALSE))=FALSE,"",IF(ISNUMBER(G9),VLOOKUP($A9,List!$A$1:$B$29,2,FALSE)))</f>
        <v/>
      </c>
      <c r="T9" s="13" t="str">
        <f>IF(IF(ISNUMBER(H9),VLOOKUP($A9,List!$A$1:$B$29,2,FALSE))=FALSE,"",IF(ISNUMBER(H9),VLOOKUP($A9,List!$A$1:$B$29,2,FALSE)))</f>
        <v/>
      </c>
      <c r="X9" s="4">
        <v>7</v>
      </c>
      <c r="Y9" s="5" t="str">
        <f t="shared" si="0"/>
        <v/>
      </c>
      <c r="Z9" s="5" t="str">
        <f t="shared" si="0"/>
        <v/>
      </c>
      <c r="AA9" s="5" t="str">
        <f t="shared" si="0"/>
        <v>include</v>
      </c>
      <c r="AB9" s="5" t="str">
        <f t="shared" si="0"/>
        <v/>
      </c>
      <c r="AC9" s="5" t="str">
        <f t="shared" si="0"/>
        <v/>
      </c>
      <c r="AD9" s="5" t="str">
        <f t="shared" si="0"/>
        <v/>
      </c>
      <c r="AE9" s="5" t="str">
        <f t="shared" si="0"/>
        <v/>
      </c>
    </row>
    <row r="10" spans="1:31" ht="15" thickBot="1" x14ac:dyDescent="0.35">
      <c r="A10" s="21">
        <v>29</v>
      </c>
      <c r="B10" s="6" t="s">
        <v>79</v>
      </c>
      <c r="C10" s="6" t="s">
        <v>79</v>
      </c>
      <c r="D10" s="6" t="s">
        <v>79</v>
      </c>
      <c r="E10" s="6" t="s">
        <v>79</v>
      </c>
      <c r="F10" s="6" t="s">
        <v>79</v>
      </c>
      <c r="G10" s="7" t="s">
        <v>79</v>
      </c>
      <c r="H10" s="7" t="s">
        <v>79</v>
      </c>
      <c r="I10" s="7"/>
      <c r="J10" s="7"/>
      <c r="K10" s="7"/>
      <c r="L10" s="7"/>
      <c r="M10" s="7"/>
      <c r="N10" s="13" t="str">
        <f>IF(IF(ISNUMBER(B10),VLOOKUP($A10,List!$A$1:$B$29,2,FALSE))=FALSE,"",IF(ISNUMBER(B10),VLOOKUP($A10,List!$A$1:$B$29,2,FALSE)))</f>
        <v/>
      </c>
      <c r="O10" s="13" t="str">
        <f>IF(IF(ISNUMBER(C10),VLOOKUP($A10,List!$A$1:$B$29,2,FALSE))=FALSE,"",IF(ISNUMBER(C10),VLOOKUP($A10,List!$A$1:$B$29,2,FALSE)))</f>
        <v/>
      </c>
      <c r="P10" s="13" t="str">
        <f>IF(IF(ISNUMBER(D10),VLOOKUP($A10,List!$A$1:$B$29,2,FALSE))=FALSE,"",IF(ISNUMBER(D10),VLOOKUP($A10,List!$A$1:$B$29,2,FALSE)))</f>
        <v/>
      </c>
      <c r="Q10" s="13" t="str">
        <f>IF(IF(ISNUMBER(E10),VLOOKUP($A10,List!$A$1:$B$29,2,FALSE))=FALSE,"",IF(ISNUMBER(E10),VLOOKUP($A10,List!$A$1:$B$29,2,FALSE)))</f>
        <v/>
      </c>
      <c r="R10" s="13" t="str">
        <f>IF(IF(ISNUMBER(F10),VLOOKUP($A10,List!$A$1:$B$29,2,FALSE))=FALSE,"",IF(ISNUMBER(F10),VLOOKUP($A10,List!$A$1:$B$29,2,FALSE)))</f>
        <v/>
      </c>
      <c r="S10" s="13" t="str">
        <f>IF(IF(ISNUMBER(G10),VLOOKUP($A10,List!$A$1:$B$29,2,FALSE))=FALSE,"",IF(ISNUMBER(G10),VLOOKUP($A10,List!$A$1:$B$29,2,FALSE)))</f>
        <v/>
      </c>
      <c r="T10" s="13" t="str">
        <f>IF(IF(ISNUMBER(H10),VLOOKUP($A10,List!$A$1:$B$29,2,FALSE))=FALSE,"",IF(ISNUMBER(H10),VLOOKUP($A10,List!$A$1:$B$29,2,FALSE)))</f>
        <v/>
      </c>
      <c r="X10" s="4">
        <v>29</v>
      </c>
      <c r="Y10" s="5"/>
      <c r="Z10" s="5"/>
      <c r="AA10" s="5" t="str">
        <f>IF(ISNUMBER(D10),"include","")</f>
        <v/>
      </c>
      <c r="AB10" s="5" t="str">
        <f>IF(ISNUMBER(E10),"include","")</f>
        <v/>
      </c>
      <c r="AC10" s="5" t="str">
        <f>IF(ISNUMBER(F10),"include","")</f>
        <v/>
      </c>
      <c r="AD10" s="5" t="str">
        <f>IF(ISNUMBER(G10),"include","")</f>
        <v/>
      </c>
      <c r="AE10" s="5" t="str">
        <f>IF(ISNUMBER(H10),"include","")</f>
        <v/>
      </c>
    </row>
    <row r="11" spans="1:31" ht="15" thickBot="1" x14ac:dyDescent="0.35">
      <c r="A11" s="21">
        <v>25</v>
      </c>
      <c r="B11" s="6" t="s">
        <v>79</v>
      </c>
      <c r="C11" s="6" t="s">
        <v>79</v>
      </c>
      <c r="D11" s="6" t="s">
        <v>79</v>
      </c>
      <c r="E11" s="5" t="s">
        <v>79</v>
      </c>
      <c r="F11" s="6" t="s">
        <v>79</v>
      </c>
      <c r="G11" s="7" t="s">
        <v>79</v>
      </c>
      <c r="H11" s="7" t="s">
        <v>79</v>
      </c>
      <c r="I11" s="7"/>
      <c r="J11" s="7"/>
      <c r="K11" s="7"/>
      <c r="L11" s="7"/>
      <c r="M11" s="7"/>
      <c r="N11" s="13" t="str">
        <f>IF(IF(ISNUMBER(B11),VLOOKUP($A11,List!$A$1:$B$29,2,FALSE))=FALSE,"",IF(ISNUMBER(B11),VLOOKUP($A11,List!$A$1:$B$29,2,FALSE)))</f>
        <v/>
      </c>
      <c r="O11" s="13" t="str">
        <f>IF(IF(ISNUMBER(C11),VLOOKUP($A11,List!$A$1:$B$29,2,FALSE))=FALSE,"",IF(ISNUMBER(C11),VLOOKUP($A11,List!$A$1:$B$29,2,FALSE)))</f>
        <v/>
      </c>
      <c r="P11" s="13" t="str">
        <f>IF(IF(ISNUMBER(D11),VLOOKUP($A11,List!$A$1:$B$29,2,FALSE))=FALSE,"",IF(ISNUMBER(D11),VLOOKUP($A11,List!$A$1:$B$29,2,FALSE)))</f>
        <v/>
      </c>
      <c r="Q11" s="13" t="str">
        <f>IF(IF(ISNUMBER(E11),VLOOKUP($A11,List!$A$1:$B$29,2,FALSE))=FALSE,"",IF(ISNUMBER(E11),VLOOKUP($A11,List!$A$1:$B$29,2,FALSE)))</f>
        <v/>
      </c>
      <c r="R11" s="13" t="str">
        <f>IF(IF(ISNUMBER(F11),VLOOKUP($A11,List!$A$1:$B$29,2,FALSE))=FALSE,"",IF(ISNUMBER(F11),VLOOKUP($A11,List!$A$1:$B$29,2,FALSE)))</f>
        <v/>
      </c>
      <c r="S11" s="13" t="str">
        <f>IF(IF(ISNUMBER(G11),VLOOKUP($A11,List!$A$1:$B$29,2,FALSE))=FALSE,"",IF(ISNUMBER(G11),VLOOKUP($A11,List!$A$1:$B$29,2,FALSE)))</f>
        <v/>
      </c>
      <c r="T11" s="13" t="str">
        <f>IF(IF(ISNUMBER(H11),VLOOKUP($A11,List!$A$1:$B$29,2,FALSE))=FALSE,"",IF(ISNUMBER(H11),VLOOKUP($A11,List!$A$1:$B$29,2,FALSE)))</f>
        <v/>
      </c>
      <c r="X11" s="4">
        <v>25</v>
      </c>
      <c r="Y11" s="5"/>
      <c r="Z11" s="5" t="str">
        <f t="shared" ref="Z11:Z31" si="1">IF(ISNUMBER(C11),"include","")</f>
        <v/>
      </c>
      <c r="AA11" s="5" t="s">
        <v>145</v>
      </c>
      <c r="AB11" s="5" t="str">
        <f t="shared" ref="AB11:AB31" si="2">IF(ISNUMBER(E11),"include","")</f>
        <v/>
      </c>
      <c r="AC11" s="5" t="str">
        <f t="shared" ref="AC11:AC31" si="3">IF(ISNUMBER(F11),"include","")</f>
        <v/>
      </c>
      <c r="AD11" s="5" t="s">
        <v>145</v>
      </c>
      <c r="AE11" s="5" t="str">
        <f t="shared" ref="AE11:AE31" si="4">IF(ISNUMBER(H11),"include","")</f>
        <v/>
      </c>
    </row>
    <row r="12" spans="1:31" ht="15" thickBot="1" x14ac:dyDescent="0.35">
      <c r="A12" s="4">
        <v>1</v>
      </c>
      <c r="B12" s="6" t="s">
        <v>79</v>
      </c>
      <c r="C12" s="6" t="s">
        <v>79</v>
      </c>
      <c r="D12" s="6" t="s">
        <v>79</v>
      </c>
      <c r="E12" s="5" t="s">
        <v>79</v>
      </c>
      <c r="F12" s="6" t="s">
        <v>79</v>
      </c>
      <c r="G12" s="7" t="s">
        <v>79</v>
      </c>
      <c r="H12" s="7">
        <v>0.97</v>
      </c>
      <c r="I12" s="7"/>
      <c r="J12" s="7"/>
      <c r="K12" s="7"/>
      <c r="L12" s="7"/>
      <c r="M12" s="7"/>
      <c r="N12" s="13" t="str">
        <f>IF(IF(ISNUMBER(B12),VLOOKUP($A12,List!$A$1:$B$29,2,FALSE))=FALSE,"",IF(ISNUMBER(B12),VLOOKUP($A12,List!$A$1:$B$29,2,FALSE)))</f>
        <v/>
      </c>
      <c r="O12" s="13" t="str">
        <f>IF(IF(ISNUMBER(C12),VLOOKUP($A12,List!$A$1:$B$29,2,FALSE))=FALSE,"",IF(ISNUMBER(C12),VLOOKUP($A12,List!$A$1:$B$29,2,FALSE)))</f>
        <v/>
      </c>
      <c r="P12" s="13" t="str">
        <f>IF(IF(ISNUMBER(D12),VLOOKUP($A12,List!$A$1:$B$29,2,FALSE))=FALSE,"",IF(ISNUMBER(D12),VLOOKUP($A12,List!$A$1:$B$29,2,FALSE)))</f>
        <v/>
      </c>
      <c r="Q12" s="13" t="str">
        <f>IF(IF(ISNUMBER(E12),VLOOKUP($A12,List!$A$1:$B$29,2,FALSE))=FALSE,"",IF(ISNUMBER(E12),VLOOKUP($A12,List!$A$1:$B$29,2,FALSE)))</f>
        <v/>
      </c>
      <c r="R12" s="13" t="str">
        <f>IF(IF(ISNUMBER(F12),VLOOKUP($A12,List!$A$1:$B$29,2,FALSE))=FALSE,"",IF(ISNUMBER(F12),VLOOKUP($A12,List!$A$1:$B$29,2,FALSE)))</f>
        <v/>
      </c>
      <c r="S12" s="13" t="str">
        <f>IF(IF(ISNUMBER(G12),VLOOKUP($A12,List!$A$1:$B$29,2,FALSE))=FALSE,"",IF(ISNUMBER(G12),VLOOKUP($A12,List!$A$1:$B$29,2,FALSE)))</f>
        <v/>
      </c>
      <c r="T12" s="13" t="str">
        <f>IF(IF(ISNUMBER(H12),VLOOKUP($A12,List!$A$1:$B$29,2,FALSE))=FALSE,"",IF(ISNUMBER(H12),VLOOKUP($A12,List!$A$1:$B$29,2,FALSE)))</f>
        <v>When buying a boat, I do a lot of shopping around and visit multiple dealers</v>
      </c>
      <c r="X12" s="4">
        <v>1</v>
      </c>
      <c r="Y12" s="5" t="str">
        <f t="shared" ref="Y12:Y31" si="5">IF(ISNUMBER(B12),"include","")</f>
        <v/>
      </c>
      <c r="Z12" s="5" t="str">
        <f t="shared" si="1"/>
        <v/>
      </c>
      <c r="AA12" s="5" t="str">
        <f t="shared" ref="AA12:AA26" si="6">IF(ISNUMBER(D12),"include","")</f>
        <v/>
      </c>
      <c r="AB12" s="5" t="str">
        <f t="shared" si="2"/>
        <v/>
      </c>
      <c r="AC12" s="5" t="str">
        <f t="shared" si="3"/>
        <v/>
      </c>
      <c r="AD12" s="5" t="str">
        <f t="shared" ref="AD12:AD31" si="7">IF(ISNUMBER(G12),"include","")</f>
        <v/>
      </c>
      <c r="AE12" s="5" t="str">
        <f t="shared" si="4"/>
        <v>include</v>
      </c>
    </row>
    <row r="13" spans="1:31" ht="15" thickBot="1" x14ac:dyDescent="0.35">
      <c r="A13" s="4">
        <v>23</v>
      </c>
      <c r="B13" s="6" t="s">
        <v>79</v>
      </c>
      <c r="C13" s="5">
        <v>0.55000000000000004</v>
      </c>
      <c r="D13" s="6" t="s">
        <v>79</v>
      </c>
      <c r="E13" s="6" t="s">
        <v>79</v>
      </c>
      <c r="F13" s="6" t="s">
        <v>79</v>
      </c>
      <c r="G13" s="7" t="s">
        <v>79</v>
      </c>
      <c r="H13" s="7" t="s">
        <v>79</v>
      </c>
      <c r="I13" s="7"/>
      <c r="J13" s="7"/>
      <c r="K13" s="7"/>
      <c r="L13" s="7"/>
      <c r="M13" s="7"/>
      <c r="N13" s="13" t="str">
        <f>IF(IF(ISNUMBER(B13),VLOOKUP($A13,List!$A$1:$B$29,2,FALSE))=FALSE,"",IF(ISNUMBER(B13),VLOOKUP($A13,List!$A$1:$B$29,2,FALSE)))</f>
        <v/>
      </c>
      <c r="O13" s="13" t="str">
        <f>IF(IF(ISNUMBER(C13),VLOOKUP($A13,List!$A$1:$B$29,2,FALSE))=FALSE,"",IF(ISNUMBER(C13),VLOOKUP($A13,List!$A$1:$B$29,2,FALSE)))</f>
        <v>Boating allows me to excel in the sports that I am passionate about</v>
      </c>
      <c r="P13" s="13" t="str">
        <f>IF(IF(ISNUMBER(D13),VLOOKUP($A13,List!$A$1:$B$29,2,FALSE))=FALSE,"",IF(ISNUMBER(D13),VLOOKUP($A13,List!$A$1:$B$29,2,FALSE)))</f>
        <v/>
      </c>
      <c r="Q13" s="13" t="str">
        <f>IF(IF(ISNUMBER(E13),VLOOKUP($A13,List!$A$1:$B$29,2,FALSE))=FALSE,"",IF(ISNUMBER(E13),VLOOKUP($A13,List!$A$1:$B$29,2,FALSE)))</f>
        <v/>
      </c>
      <c r="R13" s="13" t="str">
        <f>IF(IF(ISNUMBER(F13),VLOOKUP($A13,List!$A$1:$B$29,2,FALSE))=FALSE,"",IF(ISNUMBER(F13),VLOOKUP($A13,List!$A$1:$B$29,2,FALSE)))</f>
        <v/>
      </c>
      <c r="S13" s="13" t="str">
        <f>IF(IF(ISNUMBER(G13),VLOOKUP($A13,List!$A$1:$B$29,2,FALSE))=FALSE,"",IF(ISNUMBER(G13),VLOOKUP($A13,List!$A$1:$B$29,2,FALSE)))</f>
        <v/>
      </c>
      <c r="T13" s="13" t="str">
        <f>IF(IF(ISNUMBER(H13),VLOOKUP($A13,List!$A$1:$B$29,2,FALSE))=FALSE,"",IF(ISNUMBER(H13),VLOOKUP($A13,List!$A$1:$B$29,2,FALSE)))</f>
        <v/>
      </c>
      <c r="X13" s="4">
        <v>23</v>
      </c>
      <c r="Y13" s="5" t="str">
        <f t="shared" si="5"/>
        <v/>
      </c>
      <c r="Z13" s="5" t="str">
        <f t="shared" si="1"/>
        <v>include</v>
      </c>
      <c r="AA13" s="5" t="str">
        <f t="shared" si="6"/>
        <v/>
      </c>
      <c r="AB13" s="5" t="str">
        <f t="shared" si="2"/>
        <v/>
      </c>
      <c r="AC13" s="5" t="str">
        <f t="shared" si="3"/>
        <v/>
      </c>
      <c r="AD13" s="5" t="str">
        <f t="shared" si="7"/>
        <v/>
      </c>
      <c r="AE13" s="5" t="str">
        <f t="shared" si="4"/>
        <v/>
      </c>
    </row>
    <row r="14" spans="1:31" ht="15" thickBot="1" x14ac:dyDescent="0.35">
      <c r="A14" s="4">
        <v>28</v>
      </c>
      <c r="B14" s="6" t="s">
        <v>79</v>
      </c>
      <c r="C14" s="5">
        <v>0.77</v>
      </c>
      <c r="D14" s="6" t="s">
        <v>79</v>
      </c>
      <c r="E14" s="6" t="s">
        <v>79</v>
      </c>
      <c r="F14" s="6" t="s">
        <v>79</v>
      </c>
      <c r="G14" s="7" t="s">
        <v>79</v>
      </c>
      <c r="H14" s="7" t="s">
        <v>79</v>
      </c>
      <c r="I14" s="7"/>
      <c r="J14" s="7"/>
      <c r="K14" s="7"/>
      <c r="L14" s="7"/>
      <c r="M14" s="7"/>
      <c r="N14" s="13" t="str">
        <f>IF(IF(ISNUMBER(B14),VLOOKUP($A14,List!$A$1:$B$29,2,FALSE))=FALSE,"",IF(ISNUMBER(B14),VLOOKUP($A14,List!$A$1:$B$29,2,FALSE)))</f>
        <v/>
      </c>
      <c r="O14" s="13" t="str">
        <f>IF(IF(ISNUMBER(C14),VLOOKUP($A14,List!$A$1:$B$29,2,FALSE))=FALSE,"",IF(ISNUMBER(C14),VLOOKUP($A14,List!$A$1:$B$29,2,FALSE)))</f>
        <v>Boating is my true passion in life</v>
      </c>
      <c r="P14" s="13" t="str">
        <f>IF(IF(ISNUMBER(D14),VLOOKUP($A14,List!$A$1:$B$29,2,FALSE))=FALSE,"",IF(ISNUMBER(D14),VLOOKUP($A14,List!$A$1:$B$29,2,FALSE)))</f>
        <v/>
      </c>
      <c r="Q14" s="13" t="str">
        <f>IF(IF(ISNUMBER(E14),VLOOKUP($A14,List!$A$1:$B$29,2,FALSE))=FALSE,"",IF(ISNUMBER(E14),VLOOKUP($A14,List!$A$1:$B$29,2,FALSE)))</f>
        <v/>
      </c>
      <c r="R14" s="13" t="str">
        <f>IF(IF(ISNUMBER(F14),VLOOKUP($A14,List!$A$1:$B$29,2,FALSE))=FALSE,"",IF(ISNUMBER(F14),VLOOKUP($A14,List!$A$1:$B$29,2,FALSE)))</f>
        <v/>
      </c>
      <c r="S14" s="13" t="str">
        <f>IF(IF(ISNUMBER(G14),VLOOKUP($A14,List!$A$1:$B$29,2,FALSE))=FALSE,"",IF(ISNUMBER(G14),VLOOKUP($A14,List!$A$1:$B$29,2,FALSE)))</f>
        <v/>
      </c>
      <c r="T14" s="13" t="str">
        <f>IF(IF(ISNUMBER(H14),VLOOKUP($A14,List!$A$1:$B$29,2,FALSE))=FALSE,"",IF(ISNUMBER(H14),VLOOKUP($A14,List!$A$1:$B$29,2,FALSE)))</f>
        <v/>
      </c>
      <c r="X14" s="4">
        <v>28</v>
      </c>
      <c r="Y14" s="5" t="str">
        <f t="shared" si="5"/>
        <v/>
      </c>
      <c r="Z14" s="5" t="str">
        <f t="shared" si="1"/>
        <v>include</v>
      </c>
      <c r="AA14" s="5" t="str">
        <f t="shared" si="6"/>
        <v/>
      </c>
      <c r="AB14" s="5" t="str">
        <f t="shared" si="2"/>
        <v/>
      </c>
      <c r="AC14" s="5" t="str">
        <f t="shared" si="3"/>
        <v/>
      </c>
      <c r="AD14" s="5" t="str">
        <f t="shared" si="7"/>
        <v/>
      </c>
      <c r="AE14" s="5" t="str">
        <f t="shared" si="4"/>
        <v/>
      </c>
    </row>
    <row r="15" spans="1:31" ht="15" thickBot="1" x14ac:dyDescent="0.35">
      <c r="A15" s="4">
        <v>8</v>
      </c>
      <c r="B15" s="6" t="s">
        <v>79</v>
      </c>
      <c r="C15" s="6" t="s">
        <v>79</v>
      </c>
      <c r="D15" s="6" t="s">
        <v>79</v>
      </c>
      <c r="E15" s="6" t="s">
        <v>79</v>
      </c>
      <c r="F15" s="6">
        <v>0.88</v>
      </c>
      <c r="G15" s="7" t="s">
        <v>79</v>
      </c>
      <c r="H15" s="7" t="s">
        <v>79</v>
      </c>
      <c r="I15" s="7"/>
      <c r="J15" s="7"/>
      <c r="K15" s="7"/>
      <c r="L15" s="7"/>
      <c r="M15" s="7"/>
      <c r="N15" s="13" t="str">
        <f>IF(IF(ISNUMBER(B15),VLOOKUP($A15,List!$A$1:$B$29,2,FALSE))=FALSE,"",IF(ISNUMBER(B15),VLOOKUP($A15,List!$A$1:$B$29,2,FALSE)))</f>
        <v/>
      </c>
      <c r="O15" s="13" t="str">
        <f>IF(IF(ISNUMBER(C15),VLOOKUP($A15,List!$A$1:$B$29,2,FALSE))=FALSE,"",IF(ISNUMBER(C15),VLOOKUP($A15,List!$A$1:$B$29,2,FALSE)))</f>
        <v/>
      </c>
      <c r="P15" s="13" t="str">
        <f>IF(IF(ISNUMBER(D15),VLOOKUP($A15,List!$A$1:$B$29,2,FALSE))=FALSE,"",IF(ISNUMBER(D15),VLOOKUP($A15,List!$A$1:$B$29,2,FALSE)))</f>
        <v/>
      </c>
      <c r="Q15" s="13" t="str">
        <f>IF(IF(ISNUMBER(E15),VLOOKUP($A15,List!$A$1:$B$29,2,FALSE))=FALSE,"",IF(ISNUMBER(E15),VLOOKUP($A15,List!$A$1:$B$29,2,FALSE)))</f>
        <v/>
      </c>
      <c r="R15" s="13" t="str">
        <f>IF(IF(ISNUMBER(F15),VLOOKUP($A15,List!$A$1:$B$29,2,FALSE))=FALSE,"",IF(ISNUMBER(F15),VLOOKUP($A15,List!$A$1:$B$29,2,FALSE)))</f>
        <v>When buying a boat, functionality is more important than style</v>
      </c>
      <c r="S15" s="13" t="str">
        <f>IF(IF(ISNUMBER(G15),VLOOKUP($A15,List!$A$1:$B$29,2,FALSE))=FALSE,"",IF(ISNUMBER(G15),VLOOKUP($A15,List!$A$1:$B$29,2,FALSE)))</f>
        <v/>
      </c>
      <c r="T15" s="13" t="str">
        <f>IF(IF(ISNUMBER(H15),VLOOKUP($A15,List!$A$1:$B$29,2,FALSE))=FALSE,"",IF(ISNUMBER(H15),VLOOKUP($A15,List!$A$1:$B$29,2,FALSE)))</f>
        <v/>
      </c>
      <c r="X15" s="4">
        <v>8</v>
      </c>
      <c r="Y15" s="5" t="str">
        <f t="shared" si="5"/>
        <v/>
      </c>
      <c r="Z15" s="5" t="str">
        <f t="shared" si="1"/>
        <v/>
      </c>
      <c r="AA15" s="5" t="str">
        <f t="shared" si="6"/>
        <v/>
      </c>
      <c r="AB15" s="5" t="str">
        <f t="shared" si="2"/>
        <v/>
      </c>
      <c r="AC15" s="5" t="str">
        <f t="shared" si="3"/>
        <v>include</v>
      </c>
      <c r="AD15" s="5" t="str">
        <f t="shared" si="7"/>
        <v/>
      </c>
      <c r="AE15" s="5" t="str">
        <f t="shared" si="4"/>
        <v/>
      </c>
    </row>
    <row r="16" spans="1:31" ht="15" thickBot="1" x14ac:dyDescent="0.35">
      <c r="A16" s="4">
        <v>27</v>
      </c>
      <c r="B16" s="6" t="s">
        <v>79</v>
      </c>
      <c r="C16" s="6">
        <v>0.83</v>
      </c>
      <c r="D16" s="6" t="s">
        <v>79</v>
      </c>
      <c r="E16" s="6" t="s">
        <v>79</v>
      </c>
      <c r="F16" s="6" t="s">
        <v>79</v>
      </c>
      <c r="G16" s="7" t="s">
        <v>79</v>
      </c>
      <c r="H16" s="7" t="s">
        <v>79</v>
      </c>
      <c r="I16" s="7"/>
      <c r="J16" s="7"/>
      <c r="K16" s="7"/>
      <c r="L16" s="7"/>
      <c r="M16" s="7"/>
      <c r="N16" s="13" t="str">
        <f>IF(IF(ISNUMBER(B16),VLOOKUP($A16,List!$A$1:$B$29,2,FALSE))=FALSE,"",IF(ISNUMBER(B16),VLOOKUP($A16,List!$A$1:$B$29,2,FALSE)))</f>
        <v/>
      </c>
      <c r="O16" s="13" t="str">
        <f>IF(IF(ISNUMBER(C16),VLOOKUP($A16,List!$A$1:$B$29,2,FALSE))=FALSE,"",IF(ISNUMBER(C16),VLOOKUP($A16,List!$A$1:$B$29,2,FALSE)))</f>
        <v>Boating is the number one thing I do with my spare time</v>
      </c>
      <c r="P16" s="13" t="str">
        <f>IF(IF(ISNUMBER(D16),VLOOKUP($A16,List!$A$1:$B$29,2,FALSE))=FALSE,"",IF(ISNUMBER(D16),VLOOKUP($A16,List!$A$1:$B$29,2,FALSE)))</f>
        <v/>
      </c>
      <c r="Q16" s="13" t="str">
        <f>IF(IF(ISNUMBER(E16),VLOOKUP($A16,List!$A$1:$B$29,2,FALSE))=FALSE,"",IF(ISNUMBER(E16),VLOOKUP($A16,List!$A$1:$B$29,2,FALSE)))</f>
        <v/>
      </c>
      <c r="R16" s="13" t="str">
        <f>IF(IF(ISNUMBER(F16),VLOOKUP($A16,List!$A$1:$B$29,2,FALSE))=FALSE,"",IF(ISNUMBER(F16),VLOOKUP($A16,List!$A$1:$B$29,2,FALSE)))</f>
        <v/>
      </c>
      <c r="S16" s="13" t="str">
        <f>IF(IF(ISNUMBER(G16),VLOOKUP($A16,List!$A$1:$B$29,2,FALSE))=FALSE,"",IF(ISNUMBER(G16),VLOOKUP($A16,List!$A$1:$B$29,2,FALSE)))</f>
        <v/>
      </c>
      <c r="T16" s="13" t="str">
        <f>IF(IF(ISNUMBER(H16),VLOOKUP($A16,List!$A$1:$B$29,2,FALSE))=FALSE,"",IF(ISNUMBER(H16),VLOOKUP($A16,List!$A$1:$B$29,2,FALSE)))</f>
        <v/>
      </c>
      <c r="X16" s="4">
        <v>27</v>
      </c>
      <c r="Y16" s="5" t="str">
        <f t="shared" si="5"/>
        <v/>
      </c>
      <c r="Z16" s="5" t="str">
        <f t="shared" si="1"/>
        <v>include</v>
      </c>
      <c r="AA16" s="5" t="str">
        <f t="shared" si="6"/>
        <v/>
      </c>
      <c r="AB16" s="5" t="str">
        <f t="shared" si="2"/>
        <v/>
      </c>
      <c r="AC16" s="5" t="str">
        <f t="shared" si="3"/>
        <v/>
      </c>
      <c r="AD16" s="5" t="str">
        <f t="shared" si="7"/>
        <v/>
      </c>
      <c r="AE16" s="5" t="str">
        <f t="shared" si="4"/>
        <v/>
      </c>
    </row>
    <row r="17" spans="1:31" ht="15" thickBot="1" x14ac:dyDescent="0.35">
      <c r="A17" s="4">
        <v>10</v>
      </c>
      <c r="B17" s="6" t="s">
        <v>79</v>
      </c>
      <c r="C17" s="5" t="s">
        <v>79</v>
      </c>
      <c r="D17" s="6" t="s">
        <v>79</v>
      </c>
      <c r="E17" s="6" t="s">
        <v>79</v>
      </c>
      <c r="F17" s="6" t="s">
        <v>79</v>
      </c>
      <c r="G17" s="7">
        <v>-0.6</v>
      </c>
      <c r="H17" s="7" t="s">
        <v>79</v>
      </c>
      <c r="I17" s="7"/>
      <c r="J17" s="7"/>
      <c r="K17" s="7"/>
      <c r="L17" s="7"/>
      <c r="M17" s="7"/>
      <c r="N17" s="13" t="str">
        <f>IF(IF(ISNUMBER(B17),VLOOKUP($A17,List!$A$1:$B$29,2,FALSE))=FALSE,"",IF(ISNUMBER(B17),VLOOKUP($A17,List!$A$1:$B$29,2,FALSE)))</f>
        <v/>
      </c>
      <c r="O17" s="13" t="str">
        <f>IF(IF(ISNUMBER(C17),VLOOKUP($A17,List!$A$1:$B$29,2,FALSE))=FALSE,"",IF(ISNUMBER(C17),VLOOKUP($A17,List!$A$1:$B$29,2,FALSE)))</f>
        <v/>
      </c>
      <c r="P17" s="13" t="str">
        <f>IF(IF(ISNUMBER(D17),VLOOKUP($A17,List!$A$1:$B$29,2,FALSE))=FALSE,"",IF(ISNUMBER(D17),VLOOKUP($A17,List!$A$1:$B$29,2,FALSE)))</f>
        <v/>
      </c>
      <c r="Q17" s="13" t="str">
        <f>IF(IF(ISNUMBER(E17),VLOOKUP($A17,List!$A$1:$B$29,2,FALSE))=FALSE,"",IF(ISNUMBER(E17),VLOOKUP($A17,List!$A$1:$B$29,2,FALSE)))</f>
        <v/>
      </c>
      <c r="R17" s="13" t="str">
        <f>IF(IF(ISNUMBER(F17),VLOOKUP($A17,List!$A$1:$B$29,2,FALSE))=FALSE,"",IF(ISNUMBER(F17),VLOOKUP($A17,List!$A$1:$B$29,2,FALSE)))</f>
        <v/>
      </c>
      <c r="S17" s="13" t="str">
        <f>IF(IF(ISNUMBER(G17),VLOOKUP($A17,List!$A$1:$B$29,2,FALSE))=FALSE,"",IF(ISNUMBER(G17),VLOOKUP($A17,List!$A$1:$B$29,2,FALSE)))</f>
        <v>When buying a boat, I rely more on expert opinion than my own</v>
      </c>
      <c r="T17" s="13" t="str">
        <f>IF(IF(ISNUMBER(H17),VLOOKUP($A17,List!$A$1:$B$29,2,FALSE))=FALSE,"",IF(ISNUMBER(H17),VLOOKUP($A17,List!$A$1:$B$29,2,FALSE)))</f>
        <v/>
      </c>
      <c r="X17" s="4">
        <v>10</v>
      </c>
      <c r="Y17" s="5" t="str">
        <f t="shared" si="5"/>
        <v/>
      </c>
      <c r="Z17" s="5" t="str">
        <f t="shared" si="1"/>
        <v/>
      </c>
      <c r="AA17" s="5" t="str">
        <f t="shared" si="6"/>
        <v/>
      </c>
      <c r="AB17" s="5" t="str">
        <f t="shared" si="2"/>
        <v/>
      </c>
      <c r="AC17" s="5" t="str">
        <f t="shared" si="3"/>
        <v/>
      </c>
      <c r="AD17" s="5" t="str">
        <f t="shared" si="7"/>
        <v>include</v>
      </c>
      <c r="AE17" s="5" t="str">
        <f t="shared" si="4"/>
        <v/>
      </c>
    </row>
    <row r="18" spans="1:31" ht="15" thickBot="1" x14ac:dyDescent="0.35">
      <c r="A18" s="4">
        <v>20</v>
      </c>
      <c r="B18" s="6" t="s">
        <v>79</v>
      </c>
      <c r="C18" s="6">
        <v>0.63</v>
      </c>
      <c r="D18" s="6" t="s">
        <v>79</v>
      </c>
      <c r="E18" s="5" t="s">
        <v>79</v>
      </c>
      <c r="F18" s="6" t="s">
        <v>79</v>
      </c>
      <c r="G18" s="7" t="s">
        <v>79</v>
      </c>
      <c r="H18" s="7" t="s">
        <v>79</v>
      </c>
      <c r="I18" s="7"/>
      <c r="J18" s="7"/>
      <c r="K18" s="7"/>
      <c r="L18" s="7"/>
      <c r="M18" s="7"/>
      <c r="N18" s="13" t="str">
        <f>IF(IF(ISNUMBER(B18),VLOOKUP($A18,List!$A$1:$B$29,2,FALSE))=FALSE,"",IF(ISNUMBER(B18),VLOOKUP($A18,List!$A$1:$B$29,2,FALSE)))</f>
        <v/>
      </c>
      <c r="O18" s="13" t="str">
        <f>IF(IF(ISNUMBER(C18),VLOOKUP($A18,List!$A$1:$B$29,2,FALSE))=FALSE,"",IF(ISNUMBER(C18),VLOOKUP($A18,List!$A$1:$B$29,2,FALSE)))</f>
        <v>When not on my boat, I often find myself doing boating related activities</v>
      </c>
      <c r="P18" s="13" t="str">
        <f>IF(IF(ISNUMBER(D18),VLOOKUP($A18,List!$A$1:$B$29,2,FALSE))=FALSE,"",IF(ISNUMBER(D18),VLOOKUP($A18,List!$A$1:$B$29,2,FALSE)))</f>
        <v/>
      </c>
      <c r="Q18" s="19" t="str">
        <f>IF(IF(ISNUMBER(E18),VLOOKUP($A18,List!$A$1:$B$29,2,FALSE))=FALSE,"",IF(ISNUMBER(E18),VLOOKUP($A18,List!$A$1:$B$29,2,FALSE)))</f>
        <v/>
      </c>
      <c r="R18" s="13" t="str">
        <f>IF(IF(ISNUMBER(F18),VLOOKUP($A18,List!$A$1:$B$29,2,FALSE))=FALSE,"",IF(ISNUMBER(F18),VLOOKUP($A18,List!$A$1:$B$29,2,FALSE)))</f>
        <v/>
      </c>
      <c r="S18" s="13" t="str">
        <f>IF(IF(ISNUMBER(G18),VLOOKUP($A18,List!$A$1:$B$29,2,FALSE))=FALSE,"",IF(ISNUMBER(G18),VLOOKUP($A18,List!$A$1:$B$29,2,FALSE)))</f>
        <v/>
      </c>
      <c r="T18" s="13" t="str">
        <f>IF(IF(ISNUMBER(H18),VLOOKUP($A18,List!$A$1:$B$29,2,FALSE))=FALSE,"",IF(ISNUMBER(H18),VLOOKUP($A18,List!$A$1:$B$29,2,FALSE)))</f>
        <v/>
      </c>
      <c r="X18" s="4">
        <v>20</v>
      </c>
      <c r="Y18" s="5" t="str">
        <f t="shared" si="5"/>
        <v/>
      </c>
      <c r="Z18" s="5" t="str">
        <f t="shared" si="1"/>
        <v>include</v>
      </c>
      <c r="AA18" s="5" t="str">
        <f t="shared" si="6"/>
        <v/>
      </c>
      <c r="AB18" s="5" t="str">
        <f t="shared" si="2"/>
        <v/>
      </c>
      <c r="AC18" s="5" t="str">
        <f t="shared" si="3"/>
        <v/>
      </c>
      <c r="AD18" s="5" t="str">
        <f t="shared" si="7"/>
        <v/>
      </c>
      <c r="AE18" s="5" t="str">
        <f t="shared" si="4"/>
        <v/>
      </c>
    </row>
    <row r="19" spans="1:31" ht="15" thickBot="1" x14ac:dyDescent="0.35">
      <c r="A19" s="4">
        <v>4</v>
      </c>
      <c r="B19" s="6" t="s">
        <v>79</v>
      </c>
      <c r="C19" s="6" t="s">
        <v>79</v>
      </c>
      <c r="D19" s="6" t="s">
        <v>79</v>
      </c>
      <c r="E19" s="5">
        <v>0.8</v>
      </c>
      <c r="F19" s="6" t="s">
        <v>79</v>
      </c>
      <c r="G19" s="7" t="s">
        <v>79</v>
      </c>
      <c r="H19" s="7" t="s">
        <v>79</v>
      </c>
      <c r="I19" s="7"/>
      <c r="J19" s="7"/>
      <c r="K19" s="7"/>
      <c r="L19" s="7"/>
      <c r="M19" s="7"/>
      <c r="N19" s="13" t="str">
        <f>IF(IF(ISNUMBER(B19),VLOOKUP($A19,List!$A$1:$B$29,2,FALSE))=FALSE,"",IF(ISNUMBER(B19),VLOOKUP($A19,List!$A$1:$B$29,2,FALSE)))</f>
        <v/>
      </c>
      <c r="O19" s="13" t="str">
        <f>IF(IF(ISNUMBER(C19),VLOOKUP($A19,List!$A$1:$B$29,2,FALSE))=FALSE,"",IF(ISNUMBER(C19),VLOOKUP($A19,List!$A$1:$B$29,2,FALSE)))</f>
        <v/>
      </c>
      <c r="P19" s="13" t="str">
        <f>IF(IF(ISNUMBER(D19),VLOOKUP($A19,List!$A$1:$B$29,2,FALSE))=FALSE,"",IF(ISNUMBER(D19),VLOOKUP($A19,List!$A$1:$B$29,2,FALSE)))</f>
        <v/>
      </c>
      <c r="Q19" s="19" t="str">
        <f>IF(IF(ISNUMBER(E19),VLOOKUP($A19,List!$A$1:$B$29,2,FALSE))=FALSE,"",IF(ISNUMBER(E19),VLOOKUP($A19,List!$A$1:$B$29,2,FALSE)))</f>
        <v>I only consider buying a boat from a reputable brand</v>
      </c>
      <c r="R19" s="13" t="str">
        <f>IF(IF(ISNUMBER(F19),VLOOKUP($A19,List!$A$1:$B$29,2,FALSE))=FALSE,"",IF(ISNUMBER(F19),VLOOKUP($A19,List!$A$1:$B$29,2,FALSE)))</f>
        <v/>
      </c>
      <c r="S19" s="13" t="str">
        <f>IF(IF(ISNUMBER(G19),VLOOKUP($A19,List!$A$1:$B$29,2,FALSE))=FALSE,"",IF(ISNUMBER(G19),VLOOKUP($A19,List!$A$1:$B$29,2,FALSE)))</f>
        <v/>
      </c>
      <c r="T19" s="13" t="str">
        <f>IF(IF(ISNUMBER(H19),VLOOKUP($A19,List!$A$1:$B$29,2,FALSE))=FALSE,"",IF(ISNUMBER(H19),VLOOKUP($A19,List!$A$1:$B$29,2,FALSE)))</f>
        <v/>
      </c>
      <c r="X19" s="4">
        <v>4</v>
      </c>
      <c r="Y19" s="5" t="str">
        <f t="shared" si="5"/>
        <v/>
      </c>
      <c r="Z19" s="5" t="str">
        <f t="shared" si="1"/>
        <v/>
      </c>
      <c r="AA19" s="5" t="str">
        <f t="shared" si="6"/>
        <v/>
      </c>
      <c r="AB19" s="5" t="str">
        <f t="shared" si="2"/>
        <v>include</v>
      </c>
      <c r="AC19" s="5" t="str">
        <f t="shared" si="3"/>
        <v/>
      </c>
      <c r="AD19" s="5" t="str">
        <f t="shared" si="7"/>
        <v/>
      </c>
      <c r="AE19" s="5" t="str">
        <f t="shared" si="4"/>
        <v/>
      </c>
    </row>
    <row r="20" spans="1:31" ht="15" thickBot="1" x14ac:dyDescent="0.35">
      <c r="A20" s="4">
        <v>3</v>
      </c>
      <c r="B20" s="6" t="s">
        <v>79</v>
      </c>
      <c r="C20" s="6" t="s">
        <v>79</v>
      </c>
      <c r="D20" s="6">
        <v>0.69</v>
      </c>
      <c r="E20" s="6" t="s">
        <v>79</v>
      </c>
      <c r="F20" s="5" t="s">
        <v>79</v>
      </c>
      <c r="G20" s="7" t="s">
        <v>79</v>
      </c>
      <c r="H20" s="7" t="s">
        <v>79</v>
      </c>
      <c r="I20" s="7"/>
      <c r="J20" s="7"/>
      <c r="K20" s="7"/>
      <c r="L20" s="7"/>
      <c r="M20" s="7"/>
      <c r="N20" s="13" t="str">
        <f>IF(IF(ISNUMBER(B20),VLOOKUP($A20,List!$A$1:$B$29,2,FALSE))=FALSE,"",IF(ISNUMBER(B20),VLOOKUP($A20,List!$A$1:$B$29,2,FALSE)))</f>
        <v/>
      </c>
      <c r="O20" s="13" t="str">
        <f>IF(IF(ISNUMBER(C20),VLOOKUP($A20,List!$A$1:$B$29,2,FALSE))=FALSE,"",IF(ISNUMBER(C20),VLOOKUP($A20,List!$A$1:$B$29,2,FALSE)))</f>
        <v/>
      </c>
      <c r="P20" s="13" t="str">
        <f>IF(IF(ISNUMBER(D20),VLOOKUP($A20,List!$A$1:$B$29,2,FALSE))=FALSE,"",IF(ISNUMBER(D20),VLOOKUP($A20,List!$A$1:$B$29,2,FALSE)))</f>
        <v>The brand of the boat I buy says a lot about who I am</v>
      </c>
      <c r="Q20" s="13" t="str">
        <f>IF(IF(ISNUMBER(E20),VLOOKUP($A20,List!$A$1:$B$29,2,FALSE))=FALSE,"",IF(ISNUMBER(E20),VLOOKUP($A20,List!$A$1:$B$29,2,FALSE)))</f>
        <v/>
      </c>
      <c r="R20" s="13" t="str">
        <f>IF(IF(ISNUMBER(F20),VLOOKUP($A20,List!$A$1:$B$29,2,FALSE))=FALSE,"",IF(ISNUMBER(F20),VLOOKUP($A20,List!$A$1:$B$29,2,FALSE)))</f>
        <v/>
      </c>
      <c r="S20" s="13" t="str">
        <f>IF(IF(ISNUMBER(G20),VLOOKUP($A20,List!$A$1:$B$29,2,FALSE))=FALSE,"",IF(ISNUMBER(G20),VLOOKUP($A20,List!$A$1:$B$29,2,FALSE)))</f>
        <v/>
      </c>
      <c r="T20" s="13" t="str">
        <f>IF(IF(ISNUMBER(H20),VLOOKUP($A20,List!$A$1:$B$29,2,FALSE))=FALSE,"",IF(ISNUMBER(H20),VLOOKUP($A20,List!$A$1:$B$29,2,FALSE)))</f>
        <v/>
      </c>
      <c r="X20" s="4">
        <v>3</v>
      </c>
      <c r="Y20" s="5" t="str">
        <f t="shared" si="5"/>
        <v/>
      </c>
      <c r="Z20" s="5" t="str">
        <f t="shared" si="1"/>
        <v/>
      </c>
      <c r="AA20" s="5" t="str">
        <f t="shared" si="6"/>
        <v>include</v>
      </c>
      <c r="AB20" s="5" t="str">
        <f t="shared" si="2"/>
        <v/>
      </c>
      <c r="AC20" s="5" t="str">
        <f t="shared" si="3"/>
        <v/>
      </c>
      <c r="AD20" s="5" t="str">
        <f t="shared" si="7"/>
        <v/>
      </c>
      <c r="AE20" s="5" t="str">
        <f t="shared" si="4"/>
        <v/>
      </c>
    </row>
    <row r="21" spans="1:31" ht="15" thickBot="1" x14ac:dyDescent="0.35">
      <c r="A21" s="4">
        <v>9</v>
      </c>
      <c r="B21" s="6" t="s">
        <v>79</v>
      </c>
      <c r="C21" s="6" t="s">
        <v>79</v>
      </c>
      <c r="D21" s="6">
        <v>0.85</v>
      </c>
      <c r="E21" s="6" t="s">
        <v>79</v>
      </c>
      <c r="F21" s="6" t="s">
        <v>79</v>
      </c>
      <c r="G21" s="7" t="s">
        <v>79</v>
      </c>
      <c r="H21" s="7" t="s">
        <v>79</v>
      </c>
      <c r="I21" s="7"/>
      <c r="J21" s="7"/>
      <c r="K21" s="7"/>
      <c r="L21" s="7"/>
      <c r="M21" s="8"/>
      <c r="N21" s="13" t="str">
        <f>IF(IF(ISNUMBER(B21),VLOOKUP($A21,List!$A$1:$B$29,2,FALSE))=FALSE,"",IF(ISNUMBER(B21),VLOOKUP($A21,List!$A$1:$B$29,2,FALSE)))</f>
        <v/>
      </c>
      <c r="O21" s="13" t="str">
        <f>IF(IF(ISNUMBER(C21),VLOOKUP($A21,List!$A$1:$B$29,2,FALSE))=FALSE,"",IF(ISNUMBER(C21),VLOOKUP($A21,List!$A$1:$B$29,2,FALSE)))</f>
        <v/>
      </c>
      <c r="P21" s="13" t="str">
        <f>IF(IF(ISNUMBER(D21),VLOOKUP($A21,List!$A$1:$B$29,2,FALSE))=FALSE,"",IF(ISNUMBER(D21),VLOOKUP($A21,List!$A$1:$B$29,2,FALSE)))</f>
        <v>I see my boat as status symbol</v>
      </c>
      <c r="Q21" s="13" t="str">
        <f>IF(IF(ISNUMBER(E21),VLOOKUP($A21,List!$A$1:$B$29,2,FALSE))=FALSE,"",IF(ISNUMBER(E21),VLOOKUP($A21,List!$A$1:$B$29,2,FALSE)))</f>
        <v/>
      </c>
      <c r="R21" s="13" t="str">
        <f>IF(IF(ISNUMBER(F21),VLOOKUP($A21,List!$A$1:$B$29,2,FALSE))=FALSE,"",IF(ISNUMBER(F21),VLOOKUP($A21,List!$A$1:$B$29,2,FALSE)))</f>
        <v/>
      </c>
      <c r="S21" s="13" t="str">
        <f>IF(IF(ISNUMBER(G21),VLOOKUP($A21,List!$A$1:$B$29,2,FALSE))=FALSE,"",IF(ISNUMBER(G21),VLOOKUP($A21,List!$A$1:$B$29,2,FALSE)))</f>
        <v/>
      </c>
      <c r="T21" s="13" t="str">
        <f>IF(IF(ISNUMBER(H21),VLOOKUP($A21,List!$A$1:$B$29,2,FALSE))=FALSE,"",IF(ISNUMBER(H21),VLOOKUP($A21,List!$A$1:$B$29,2,FALSE)))</f>
        <v/>
      </c>
      <c r="X21" s="4">
        <v>9</v>
      </c>
      <c r="Y21" s="5" t="str">
        <f t="shared" si="5"/>
        <v/>
      </c>
      <c r="Z21" s="5" t="str">
        <f t="shared" si="1"/>
        <v/>
      </c>
      <c r="AA21" s="5" t="str">
        <f t="shared" si="6"/>
        <v>include</v>
      </c>
      <c r="AB21" s="5" t="str">
        <f t="shared" si="2"/>
        <v/>
      </c>
      <c r="AC21" s="5" t="str">
        <f t="shared" si="3"/>
        <v/>
      </c>
      <c r="AD21" s="5" t="str">
        <f t="shared" si="7"/>
        <v/>
      </c>
      <c r="AE21" s="5" t="str">
        <f t="shared" si="4"/>
        <v/>
      </c>
    </row>
    <row r="22" spans="1:31" ht="15" thickBot="1" x14ac:dyDescent="0.35">
      <c r="A22" s="4">
        <v>11</v>
      </c>
      <c r="B22" s="6" t="s">
        <v>79</v>
      </c>
      <c r="C22" s="6" t="s">
        <v>79</v>
      </c>
      <c r="D22" s="6" t="s">
        <v>79</v>
      </c>
      <c r="E22" s="6" t="s">
        <v>79</v>
      </c>
      <c r="F22" s="6" t="s">
        <v>79</v>
      </c>
      <c r="G22" s="8">
        <v>0.74</v>
      </c>
      <c r="H22" s="7" t="s">
        <v>79</v>
      </c>
      <c r="I22" s="7"/>
      <c r="J22" s="7"/>
      <c r="K22" s="7"/>
      <c r="L22" s="7"/>
      <c r="M22" s="7"/>
      <c r="N22" s="13" t="str">
        <f>IF(IF(ISNUMBER(B22),VLOOKUP($A22,List!$A$1:$B$29,2,FALSE))=FALSE,"",IF(ISNUMBER(B22),VLOOKUP($A22,List!$A$1:$B$29,2,FALSE)))</f>
        <v/>
      </c>
      <c r="O22" s="13" t="str">
        <f>IF(IF(ISNUMBER(C22),VLOOKUP($A22,List!$A$1:$B$29,2,FALSE))=FALSE,"",IF(ISNUMBER(C22),VLOOKUP($A22,List!$A$1:$B$29,2,FALSE)))</f>
        <v/>
      </c>
      <c r="P22" s="13" t="str">
        <f>IF(IF(ISNUMBER(D22),VLOOKUP($A22,List!$A$1:$B$29,2,FALSE))=FALSE,"",IF(ISNUMBER(D22),VLOOKUP($A22,List!$A$1:$B$29,2,FALSE)))</f>
        <v/>
      </c>
      <c r="Q22" s="13" t="str">
        <f>IF(IF(ISNUMBER(E22),VLOOKUP($A22,List!$A$1:$B$29,2,FALSE))=FALSE,"",IF(ISNUMBER(E22),VLOOKUP($A22,List!$A$1:$B$29,2,FALSE)))</f>
        <v/>
      </c>
      <c r="R22" s="13" t="str">
        <f>IF(IF(ISNUMBER(F22),VLOOKUP($A22,List!$A$1:$B$29,2,FALSE))=FALSE,"",IF(ISNUMBER(F22),VLOOKUP($A22,List!$A$1:$B$29,2,FALSE)))</f>
        <v/>
      </c>
      <c r="S22" s="13" t="str">
        <f>IF(IF(ISNUMBER(G22),VLOOKUP($A22,List!$A$1:$B$29,2,FALSE))=FALSE,"",IF(ISNUMBER(G22),VLOOKUP($A22,List!$A$1:$B$29,2,FALSE)))</f>
        <v>I tend to perform minor boat repairs and maintenance on my own</v>
      </c>
      <c r="T22" s="13" t="str">
        <f>IF(IF(ISNUMBER(H22),VLOOKUP($A22,List!$A$1:$B$29,2,FALSE))=FALSE,"",IF(ISNUMBER(H22),VLOOKUP($A22,List!$A$1:$B$29,2,FALSE)))</f>
        <v/>
      </c>
      <c r="X22" s="4">
        <v>11</v>
      </c>
      <c r="Y22" s="5" t="str">
        <f t="shared" si="5"/>
        <v/>
      </c>
      <c r="Z22" s="5" t="str">
        <f t="shared" si="1"/>
        <v/>
      </c>
      <c r="AA22" s="5" t="str">
        <f t="shared" si="6"/>
        <v/>
      </c>
      <c r="AB22" s="5" t="str">
        <f t="shared" si="2"/>
        <v/>
      </c>
      <c r="AC22" s="5" t="str">
        <f t="shared" si="3"/>
        <v/>
      </c>
      <c r="AD22" s="5" t="str">
        <f t="shared" si="7"/>
        <v>include</v>
      </c>
      <c r="AE22" s="5" t="str">
        <f t="shared" si="4"/>
        <v/>
      </c>
    </row>
    <row r="23" spans="1:31" ht="15" thickBot="1" x14ac:dyDescent="0.35">
      <c r="A23" s="21">
        <v>15</v>
      </c>
      <c r="B23" s="6" t="s">
        <v>79</v>
      </c>
      <c r="C23" s="6" t="s">
        <v>79</v>
      </c>
      <c r="D23" s="5" t="s">
        <v>79</v>
      </c>
      <c r="E23" s="6" t="s">
        <v>79</v>
      </c>
      <c r="F23" s="6" t="s">
        <v>79</v>
      </c>
      <c r="G23" s="7" t="s">
        <v>79</v>
      </c>
      <c r="H23" s="7" t="s">
        <v>79</v>
      </c>
      <c r="I23" s="7"/>
      <c r="J23" s="7"/>
      <c r="K23" s="7"/>
      <c r="L23" s="7"/>
      <c r="M23" s="7"/>
      <c r="N23" s="13" t="str">
        <f>IF(IF(ISNUMBER(B23),VLOOKUP($A23,List!$A$1:$B$29,2,FALSE))=FALSE,"",IF(ISNUMBER(B23),VLOOKUP($A23,List!$A$1:$B$29,2,FALSE)))</f>
        <v/>
      </c>
      <c r="O23" s="13" t="str">
        <f>IF(IF(ISNUMBER(C23),VLOOKUP($A23,List!$A$1:$B$29,2,FALSE))=FALSE,"",IF(ISNUMBER(C23),VLOOKUP($A23,List!$A$1:$B$29,2,FALSE)))</f>
        <v/>
      </c>
      <c r="P23" s="13" t="str">
        <f>IF(IF(ISNUMBER(D23),VLOOKUP($A23,List!$A$1:$B$29,2,FALSE))=FALSE,"",IF(ISNUMBER(D23),VLOOKUP($A23,List!$A$1:$B$29,2,FALSE)))</f>
        <v/>
      </c>
      <c r="Q23" s="13" t="str">
        <f>IF(IF(ISNUMBER(E23),VLOOKUP($A23,List!$A$1:$B$29,2,FALSE))=FALSE,"",IF(ISNUMBER(E23),VLOOKUP($A23,List!$A$1:$B$29,2,FALSE)))</f>
        <v/>
      </c>
      <c r="R23" s="13" t="str">
        <f>IF(IF(ISNUMBER(F23),VLOOKUP($A23,List!$A$1:$B$29,2,FALSE))=FALSE,"",IF(ISNUMBER(F23),VLOOKUP($A23,List!$A$1:$B$29,2,FALSE)))</f>
        <v/>
      </c>
      <c r="S23" s="13" t="str">
        <f>IF(IF(ISNUMBER(G23),VLOOKUP($A23,List!$A$1:$B$29,2,FALSE))=FALSE,"",IF(ISNUMBER(G23),VLOOKUP($A23,List!$A$1:$B$29,2,FALSE)))</f>
        <v/>
      </c>
      <c r="T23" s="13" t="str">
        <f>IF(IF(ISNUMBER(H23),VLOOKUP($A23,List!$A$1:$B$29,2,FALSE))=FALSE,"",IF(ISNUMBER(H23),VLOOKUP($A23,List!$A$1:$B$29,2,FALSE)))</f>
        <v/>
      </c>
      <c r="X23" s="4">
        <v>15</v>
      </c>
      <c r="Y23" s="5" t="str">
        <f t="shared" si="5"/>
        <v/>
      </c>
      <c r="Z23" s="5" t="str">
        <f t="shared" si="1"/>
        <v/>
      </c>
      <c r="AA23" s="5" t="str">
        <f t="shared" si="6"/>
        <v/>
      </c>
      <c r="AB23" s="5" t="str">
        <f t="shared" si="2"/>
        <v/>
      </c>
      <c r="AC23" s="5" t="str">
        <f t="shared" si="3"/>
        <v/>
      </c>
      <c r="AD23" s="5" t="str">
        <f t="shared" si="7"/>
        <v/>
      </c>
      <c r="AE23" s="5" t="str">
        <f t="shared" si="4"/>
        <v/>
      </c>
    </row>
    <row r="24" spans="1:31" ht="15" thickBot="1" x14ac:dyDescent="0.35">
      <c r="A24" s="4">
        <v>26</v>
      </c>
      <c r="B24" s="6" t="s">
        <v>79</v>
      </c>
      <c r="C24" s="6" t="s">
        <v>79</v>
      </c>
      <c r="D24" s="5">
        <v>0.54</v>
      </c>
      <c r="E24" s="6" t="s">
        <v>79</v>
      </c>
      <c r="F24" s="6" t="s">
        <v>79</v>
      </c>
      <c r="G24" s="7" t="s">
        <v>79</v>
      </c>
      <c r="H24" s="7" t="s">
        <v>79</v>
      </c>
      <c r="I24" s="7"/>
      <c r="J24" s="7"/>
      <c r="K24" s="7"/>
      <c r="L24" s="7"/>
      <c r="M24" s="7"/>
      <c r="N24" s="13" t="str">
        <f>IF(IF(ISNUMBER(B24),VLOOKUP($A24,List!$A$1:$B$29,2,FALSE))=FALSE,"",IF(ISNUMBER(B24),VLOOKUP($A24,List!$A$1:$B$29,2,FALSE)))</f>
        <v/>
      </c>
      <c r="O24" s="13" t="str">
        <f>IF(IF(ISNUMBER(C24),VLOOKUP($A24,List!$A$1:$B$29,2,FALSE))=FALSE,"",IF(ISNUMBER(C24),VLOOKUP($A24,List!$A$1:$B$29,2,FALSE)))</f>
        <v/>
      </c>
      <c r="P24" s="13" t="str">
        <f>IF(IF(ISNUMBER(D24),VLOOKUP($A24,List!$A$1:$B$29,2,FALSE))=FALSE,"",IF(ISNUMBER(D24),VLOOKUP($A24,List!$A$1:$B$29,2,FALSE)))</f>
        <v>Having a powerful boat is what is most important to me</v>
      </c>
      <c r="Q24" s="13" t="str">
        <f>IF(IF(ISNUMBER(E24),VLOOKUP($A24,List!$A$1:$B$29,2,FALSE))=FALSE,"",IF(ISNUMBER(E24),VLOOKUP($A24,List!$A$1:$B$29,2,FALSE)))</f>
        <v/>
      </c>
      <c r="R24" s="13" t="str">
        <f>IF(IF(ISNUMBER(F24),VLOOKUP($A24,List!$A$1:$B$29,2,FALSE))=FALSE,"",IF(ISNUMBER(F24),VLOOKUP($A24,List!$A$1:$B$29,2,FALSE)))</f>
        <v/>
      </c>
      <c r="S24" s="13" t="str">
        <f>IF(IF(ISNUMBER(G24),VLOOKUP($A24,List!$A$1:$B$29,2,FALSE))=FALSE,"",IF(ISNUMBER(G24),VLOOKUP($A24,List!$A$1:$B$29,2,FALSE)))</f>
        <v/>
      </c>
      <c r="T24" s="13" t="str">
        <f>IF(IF(ISNUMBER(H24),VLOOKUP($A24,List!$A$1:$B$29,2,FALSE))=FALSE,"",IF(ISNUMBER(H24),VLOOKUP($A24,List!$A$1:$B$29,2,FALSE)))</f>
        <v/>
      </c>
      <c r="X24" s="4">
        <v>26</v>
      </c>
      <c r="Y24" s="5" t="str">
        <f t="shared" si="5"/>
        <v/>
      </c>
      <c r="Z24" s="5" t="str">
        <f t="shared" si="1"/>
        <v/>
      </c>
      <c r="AA24" s="5" t="str">
        <f t="shared" si="6"/>
        <v>include</v>
      </c>
      <c r="AB24" s="5" t="str">
        <f t="shared" si="2"/>
        <v/>
      </c>
      <c r="AC24" s="5" t="str">
        <f t="shared" si="3"/>
        <v/>
      </c>
      <c r="AD24" s="5" t="str">
        <f t="shared" si="7"/>
        <v/>
      </c>
      <c r="AE24" s="5" t="str">
        <f t="shared" si="4"/>
        <v/>
      </c>
    </row>
    <row r="25" spans="1:31" ht="15" thickBot="1" x14ac:dyDescent="0.35">
      <c r="A25" s="4">
        <v>5</v>
      </c>
      <c r="B25" s="6" t="s">
        <v>79</v>
      </c>
      <c r="C25" s="6" t="s">
        <v>79</v>
      </c>
      <c r="D25" s="6" t="s">
        <v>79</v>
      </c>
      <c r="E25" s="6">
        <v>0.66</v>
      </c>
      <c r="F25" s="6" t="s">
        <v>79</v>
      </c>
      <c r="G25" s="7" t="s">
        <v>79</v>
      </c>
      <c r="H25" s="7" t="s">
        <v>79</v>
      </c>
      <c r="I25" s="7"/>
      <c r="J25" s="7"/>
      <c r="K25" s="7"/>
      <c r="L25" s="8"/>
      <c r="M25" s="7"/>
      <c r="N25" s="13" t="str">
        <f>IF(IF(ISNUMBER(B25),VLOOKUP($A25,List!$A$1:$B$29,2,FALSE))=FALSE,"",IF(ISNUMBER(B25),VLOOKUP($A25,List!$A$1:$B$29,2,FALSE)))</f>
        <v/>
      </c>
      <c r="O25" s="13" t="str">
        <f>IF(IF(ISNUMBER(C25),VLOOKUP($A25,List!$A$1:$B$29,2,FALSE))=FALSE,"",IF(ISNUMBER(C25),VLOOKUP($A25,List!$A$1:$B$29,2,FALSE)))</f>
        <v/>
      </c>
      <c r="P25" s="13" t="str">
        <f>IF(IF(ISNUMBER(D25),VLOOKUP($A25,List!$A$1:$B$29,2,FALSE))=FALSE,"",IF(ISNUMBER(D25),VLOOKUP($A25,List!$A$1:$B$29,2,FALSE)))</f>
        <v/>
      </c>
      <c r="Q25" s="13" t="str">
        <f>IF(IF(ISNUMBER(E25),VLOOKUP($A25,List!$A$1:$B$29,2,FALSE))=FALSE,"",IF(ISNUMBER(E25),VLOOKUP($A25,List!$A$1:$B$29,2,FALSE)))</f>
        <v>I am willing to pay a premium for a brand with a reputation for high quality</v>
      </c>
      <c r="R25" s="13" t="str">
        <f>IF(IF(ISNUMBER(F25),VLOOKUP($A25,List!$A$1:$B$29,2,FALSE))=FALSE,"",IF(ISNUMBER(F25),VLOOKUP($A25,List!$A$1:$B$29,2,FALSE)))</f>
        <v/>
      </c>
      <c r="S25" s="13" t="str">
        <f>IF(IF(ISNUMBER(G25),VLOOKUP($A25,List!$A$1:$B$29,2,FALSE))=FALSE,"",IF(ISNUMBER(G25),VLOOKUP($A25,List!$A$1:$B$29,2,FALSE)))</f>
        <v/>
      </c>
      <c r="T25" s="13" t="str">
        <f>IF(IF(ISNUMBER(H25),VLOOKUP($A25,List!$A$1:$B$29,2,FALSE))=FALSE,"",IF(ISNUMBER(H25),VLOOKUP($A25,List!$A$1:$B$29,2,FALSE)))</f>
        <v/>
      </c>
      <c r="X25" s="4">
        <v>5</v>
      </c>
      <c r="Y25" s="5" t="str">
        <f t="shared" si="5"/>
        <v/>
      </c>
      <c r="Z25" s="5" t="str">
        <f t="shared" si="1"/>
        <v/>
      </c>
      <c r="AA25" s="5" t="str">
        <f t="shared" si="6"/>
        <v/>
      </c>
      <c r="AB25" s="5" t="str">
        <f t="shared" si="2"/>
        <v>include</v>
      </c>
      <c r="AC25" s="5" t="str">
        <f t="shared" si="3"/>
        <v/>
      </c>
      <c r="AD25" s="5" t="str">
        <f t="shared" si="7"/>
        <v/>
      </c>
      <c r="AE25" s="5" t="str">
        <f t="shared" si="4"/>
        <v/>
      </c>
    </row>
    <row r="26" spans="1:31" ht="15" thickBot="1" x14ac:dyDescent="0.35">
      <c r="A26" s="4">
        <v>2</v>
      </c>
      <c r="B26" s="6" t="s">
        <v>79</v>
      </c>
      <c r="C26" s="6" t="s">
        <v>79</v>
      </c>
      <c r="D26" s="6" t="s">
        <v>79</v>
      </c>
      <c r="E26" s="6">
        <v>-0.53</v>
      </c>
      <c r="F26" s="6" t="s">
        <v>79</v>
      </c>
      <c r="G26" s="7" t="s">
        <v>79</v>
      </c>
      <c r="H26" s="7" t="s">
        <v>79</v>
      </c>
      <c r="I26" s="7"/>
      <c r="J26" s="7"/>
      <c r="K26" s="8"/>
      <c r="L26" s="7"/>
      <c r="M26" s="7"/>
      <c r="N26" s="13" t="str">
        <f>IF(IF(ISNUMBER(B26),VLOOKUP($A26,List!$A$1:$B$29,2,FALSE))=FALSE,"",IF(ISNUMBER(B26),VLOOKUP($A26,List!$A$1:$B$29,2,FALSE)))</f>
        <v/>
      </c>
      <c r="O26" s="13" t="str">
        <f>IF(IF(ISNUMBER(C26),VLOOKUP($A26,List!$A$1:$B$29,2,FALSE))=FALSE,"",IF(ISNUMBER(C26),VLOOKUP($A26,List!$A$1:$B$29,2,FALSE)))</f>
        <v/>
      </c>
      <c r="P26" s="13" t="str">
        <f>IF(IF(ISNUMBER(D26),VLOOKUP($A26,List!$A$1:$B$29,2,FALSE))=FALSE,"",IF(ISNUMBER(D26),VLOOKUP($A26,List!$A$1:$B$29,2,FALSE)))</f>
        <v/>
      </c>
      <c r="Q26" s="13" t="str">
        <f>IF(IF(ISNUMBER(E26),VLOOKUP($A26,List!$A$1:$B$29,2,FALSE))=FALSE,"",IF(ISNUMBER(E26),VLOOKUP($A26,List!$A$1:$B$29,2,FALSE)))</f>
        <v>When buying a bot, getting the lowest P is more important than brand</v>
      </c>
      <c r="R26" s="13" t="str">
        <f>IF(IF(ISNUMBER(F26),VLOOKUP($A26,List!$A$1:$B$29,2,FALSE))=FALSE,"",IF(ISNUMBER(F26),VLOOKUP($A26,List!$A$1:$B$29,2,FALSE)))</f>
        <v/>
      </c>
      <c r="S26" s="13" t="str">
        <f>IF(IF(ISNUMBER(G26),VLOOKUP($A26,List!$A$1:$B$29,2,FALSE))=FALSE,"",IF(ISNUMBER(G26),VLOOKUP($A26,List!$A$1:$B$29,2,FALSE)))</f>
        <v/>
      </c>
      <c r="T26" s="13" t="str">
        <f>IF(IF(ISNUMBER(H26),VLOOKUP($A26,List!$A$1:$B$29,2,FALSE))=FALSE,"",IF(ISNUMBER(H26),VLOOKUP($A26,List!$A$1:$B$29,2,FALSE)))</f>
        <v/>
      </c>
      <c r="X26" s="4">
        <v>2</v>
      </c>
      <c r="Y26" s="5" t="str">
        <f t="shared" si="5"/>
        <v/>
      </c>
      <c r="Z26" s="5" t="str">
        <f t="shared" si="1"/>
        <v/>
      </c>
      <c r="AA26" s="5" t="str">
        <f t="shared" si="6"/>
        <v/>
      </c>
      <c r="AB26" s="5" t="str">
        <f t="shared" si="2"/>
        <v>include</v>
      </c>
      <c r="AC26" s="5" t="str">
        <f t="shared" si="3"/>
        <v/>
      </c>
      <c r="AD26" s="5" t="str">
        <f t="shared" si="7"/>
        <v/>
      </c>
      <c r="AE26" s="5" t="str">
        <f t="shared" si="4"/>
        <v/>
      </c>
    </row>
    <row r="27" spans="1:31" ht="15" thickBot="1" x14ac:dyDescent="0.35">
      <c r="A27" s="21">
        <v>14</v>
      </c>
      <c r="B27" s="6" t="s">
        <v>79</v>
      </c>
      <c r="C27" s="6" t="s">
        <v>79</v>
      </c>
      <c r="D27" s="6" t="s">
        <v>79</v>
      </c>
      <c r="E27" s="6" t="s">
        <v>79</v>
      </c>
      <c r="F27" s="6" t="s">
        <v>79</v>
      </c>
      <c r="G27" s="7" t="s">
        <v>79</v>
      </c>
      <c r="H27" s="8" t="s">
        <v>79</v>
      </c>
      <c r="I27" s="7"/>
      <c r="J27" s="7"/>
      <c r="K27" s="7"/>
      <c r="L27" s="7"/>
      <c r="M27" s="7"/>
      <c r="N27" s="13" t="str">
        <f>IF(IF(ISNUMBER(B27),VLOOKUP($A27,List!$A$1:$B$29,2,FALSE))=FALSE,"",IF(ISNUMBER(B27),VLOOKUP($A27,List!$A$1:$B$29,2,FALSE)))</f>
        <v/>
      </c>
      <c r="O27" s="13" t="str">
        <f>IF(IF(ISNUMBER(C27),VLOOKUP($A27,List!$A$1:$B$29,2,FALSE))=FALSE,"",IF(ISNUMBER(C27),VLOOKUP($A27,List!$A$1:$B$29,2,FALSE)))</f>
        <v/>
      </c>
      <c r="P27" s="13" t="str">
        <f>IF(IF(ISNUMBER(D27),VLOOKUP($A27,List!$A$1:$B$29,2,FALSE))=FALSE,"",IF(ISNUMBER(D27),VLOOKUP($A27,List!$A$1:$B$29,2,FALSE)))</f>
        <v/>
      </c>
      <c r="Q27" s="13" t="str">
        <f>IF(IF(ISNUMBER(E27),VLOOKUP($A27,List!$A$1:$B$29,2,FALSE))=FALSE,"",IF(ISNUMBER(E27),VLOOKUP($A27,List!$A$1:$B$29,2,FALSE)))</f>
        <v/>
      </c>
      <c r="R27" s="13" t="str">
        <f>IF(IF(ISNUMBER(F27),VLOOKUP($A27,List!$A$1:$B$29,2,FALSE))=FALSE,"",IF(ISNUMBER(F27),VLOOKUP($A27,List!$A$1:$B$29,2,FALSE)))</f>
        <v/>
      </c>
      <c r="S27" s="13" t="str">
        <f>IF(IF(ISNUMBER(G27),VLOOKUP($A27,List!$A$1:$B$29,2,FALSE))=FALSE,"",IF(ISNUMBER(G27),VLOOKUP($A27,List!$A$1:$B$29,2,FALSE)))</f>
        <v/>
      </c>
      <c r="T27" s="13" t="str">
        <f>IF(IF(ISNUMBER(H27),VLOOKUP($A27,List!$A$1:$B$29,2,FALSE))=FALSE,"",IF(ISNUMBER(H27),VLOOKUP($A27,List!$A$1:$B$29,2,FALSE)))</f>
        <v/>
      </c>
      <c r="X27" s="4">
        <v>14</v>
      </c>
      <c r="Y27" s="5" t="str">
        <f t="shared" si="5"/>
        <v/>
      </c>
      <c r="Z27" s="5" t="str">
        <f t="shared" si="1"/>
        <v/>
      </c>
      <c r="AA27" s="5" t="s">
        <v>145</v>
      </c>
      <c r="AB27" s="5" t="str">
        <f t="shared" si="2"/>
        <v/>
      </c>
      <c r="AC27" s="5" t="str">
        <f t="shared" si="3"/>
        <v/>
      </c>
      <c r="AD27" s="5" t="str">
        <f t="shared" si="7"/>
        <v/>
      </c>
      <c r="AE27" s="5" t="str">
        <f t="shared" si="4"/>
        <v/>
      </c>
    </row>
    <row r="28" spans="1:31" ht="15" thickBot="1" x14ac:dyDescent="0.35">
      <c r="A28" s="4">
        <v>16</v>
      </c>
      <c r="B28" s="6" t="s">
        <v>79</v>
      </c>
      <c r="C28" s="6">
        <v>0.63</v>
      </c>
      <c r="D28" s="5" t="s">
        <v>79</v>
      </c>
      <c r="E28" s="6" t="s">
        <v>79</v>
      </c>
      <c r="F28" s="6" t="s">
        <v>79</v>
      </c>
      <c r="G28" s="7" t="s">
        <v>79</v>
      </c>
      <c r="H28" s="7" t="s">
        <v>79</v>
      </c>
      <c r="I28" s="7"/>
      <c r="J28" s="7"/>
      <c r="K28" s="7"/>
      <c r="L28" s="7"/>
      <c r="M28" s="7"/>
      <c r="N28" s="13" t="str">
        <f>IF(IF(ISNUMBER(B28),VLOOKUP($A28,List!$A$1:$B$29,2,FALSE))=FALSE,"",IF(ISNUMBER(B28),VLOOKUP($A28,List!$A$1:$B$29,2,FALSE)))</f>
        <v/>
      </c>
      <c r="O28" s="13" t="str">
        <f>IF(IF(ISNUMBER(C28),VLOOKUP($A28,List!$A$1:$B$29,2,FALSE))=FALSE,"",IF(ISNUMBER(C28),VLOOKUP($A28,List!$A$1:$B$29,2,FALSE)))</f>
        <v>People tend to come to me for advice about boating</v>
      </c>
      <c r="P28" s="13" t="str">
        <f>IF(IF(ISNUMBER(D28),VLOOKUP($A28,List!$A$1:$B$29,2,FALSE))=FALSE,"",IF(ISNUMBER(D28),VLOOKUP($A28,List!$A$1:$B$29,2,FALSE)))</f>
        <v/>
      </c>
      <c r="Q28" s="13" t="str">
        <f>IF(IF(ISNUMBER(E28),VLOOKUP($A28,List!$A$1:$B$29,2,FALSE))=FALSE,"",IF(ISNUMBER(E28),VLOOKUP($A28,List!$A$1:$B$29,2,FALSE)))</f>
        <v/>
      </c>
      <c r="R28" s="13" t="str">
        <f>IF(IF(ISNUMBER(F28),VLOOKUP($A28,List!$A$1:$B$29,2,FALSE))=FALSE,"",IF(ISNUMBER(F28),VLOOKUP($A28,List!$A$1:$B$29,2,FALSE)))</f>
        <v/>
      </c>
      <c r="S28" s="13" t="str">
        <f>IF(IF(ISNUMBER(G28),VLOOKUP($A28,List!$A$1:$B$29,2,FALSE))=FALSE,"",IF(ISNUMBER(G28),VLOOKUP($A28,List!$A$1:$B$29,2,FALSE)))</f>
        <v/>
      </c>
      <c r="T28" s="13" t="str">
        <f>IF(IF(ISNUMBER(H28),VLOOKUP($A28,List!$A$1:$B$29,2,FALSE))=FALSE,"",IF(ISNUMBER(H28),VLOOKUP($A28,List!$A$1:$B$29,2,FALSE)))</f>
        <v/>
      </c>
      <c r="X28" s="4">
        <v>16</v>
      </c>
      <c r="Y28" s="5" t="str">
        <f t="shared" si="5"/>
        <v/>
      </c>
      <c r="Z28" s="5" t="str">
        <f t="shared" si="1"/>
        <v>include</v>
      </c>
      <c r="AA28" s="5" t="str">
        <f>IF(ISNUMBER(D28),"include","")</f>
        <v/>
      </c>
      <c r="AB28" s="5" t="str">
        <f t="shared" si="2"/>
        <v/>
      </c>
      <c r="AC28" s="5" t="str">
        <f t="shared" si="3"/>
        <v/>
      </c>
      <c r="AD28" s="5" t="str">
        <f t="shared" si="7"/>
        <v/>
      </c>
      <c r="AE28" s="5" t="str">
        <f t="shared" si="4"/>
        <v/>
      </c>
    </row>
    <row r="29" spans="1:31" ht="15" thickBot="1" x14ac:dyDescent="0.35">
      <c r="A29" s="4">
        <v>12</v>
      </c>
      <c r="B29" s="6" t="s">
        <v>79</v>
      </c>
      <c r="C29" s="6" t="s">
        <v>79</v>
      </c>
      <c r="D29" s="6" t="s">
        <v>79</v>
      </c>
      <c r="E29" s="6" t="s">
        <v>79</v>
      </c>
      <c r="F29" s="6">
        <v>0.66</v>
      </c>
      <c r="G29" s="7" t="s">
        <v>79</v>
      </c>
      <c r="H29" s="7" t="s">
        <v>79</v>
      </c>
      <c r="I29" s="7"/>
      <c r="J29" s="8"/>
      <c r="K29" s="7"/>
      <c r="L29" s="7"/>
      <c r="M29" s="7"/>
      <c r="N29" s="13" t="str">
        <f>IF(IF(ISNUMBER(B29),VLOOKUP($A29,List!$A$1:$B$29,2,FALSE))=FALSE,"",IF(ISNUMBER(B29),VLOOKUP($A29,List!$A$1:$B$29,2,FALSE)))</f>
        <v/>
      </c>
      <c r="O29" s="13" t="str">
        <f>IF(IF(ISNUMBER(C29),VLOOKUP($A29,List!$A$1:$B$29,2,FALSE))=FALSE,"",IF(ISNUMBER(C29),VLOOKUP($A29,List!$A$1:$B$29,2,FALSE)))</f>
        <v/>
      </c>
      <c r="P29" s="13" t="str">
        <f>IF(IF(ISNUMBER(D29),VLOOKUP($A29,List!$A$1:$B$29,2,FALSE))=FALSE,"",IF(ISNUMBER(D29),VLOOKUP($A29,List!$A$1:$B$29,2,FALSE)))</f>
        <v/>
      </c>
      <c r="Q29" s="13" t="str">
        <f>IF(IF(ISNUMBER(E29),VLOOKUP($A29,List!$A$1:$B$29,2,FALSE))=FALSE,"",IF(ISNUMBER(E29),VLOOKUP($A29,List!$A$1:$B$29,2,FALSE)))</f>
        <v/>
      </c>
      <c r="R29" s="13" t="str">
        <f>IF(IF(ISNUMBER(F29),VLOOKUP($A29,List!$A$1:$B$29,2,FALSE))=FALSE,"",IF(ISNUMBER(F29),VLOOKUP($A29,List!$A$1:$B$29,2,FALSE)))</f>
        <v>When it comes to boating, I tend to prefer a basic boat with little to no frills</v>
      </c>
      <c r="S29" s="13" t="str">
        <f>IF(IF(ISNUMBER(G29),VLOOKUP($A29,List!$A$1:$B$29,2,FALSE))=FALSE,"",IF(ISNUMBER(G29),VLOOKUP($A29,List!$A$1:$B$29,2,FALSE)))</f>
        <v/>
      </c>
      <c r="T29" s="13" t="str">
        <f>IF(IF(ISNUMBER(H29),VLOOKUP($A29,List!$A$1:$B$29,2,FALSE))=FALSE,"",IF(ISNUMBER(H29),VLOOKUP($A29,List!$A$1:$B$29,2,FALSE)))</f>
        <v/>
      </c>
      <c r="X29" s="4">
        <v>12</v>
      </c>
      <c r="Y29" s="5" t="str">
        <f t="shared" si="5"/>
        <v/>
      </c>
      <c r="Z29" s="5" t="str">
        <f t="shared" si="1"/>
        <v/>
      </c>
      <c r="AA29" s="5" t="str">
        <f>IF(ISNUMBER(D29),"include","")</f>
        <v/>
      </c>
      <c r="AB29" s="5" t="str">
        <f t="shared" si="2"/>
        <v/>
      </c>
      <c r="AC29" s="5" t="str">
        <f t="shared" si="3"/>
        <v>include</v>
      </c>
      <c r="AD29" s="5" t="str">
        <f t="shared" si="7"/>
        <v/>
      </c>
      <c r="AE29" s="5" t="str">
        <f t="shared" si="4"/>
        <v/>
      </c>
    </row>
    <row r="30" spans="1:31" ht="15" thickBot="1" x14ac:dyDescent="0.35">
      <c r="A30" s="4">
        <v>17</v>
      </c>
      <c r="B30" s="6" t="s">
        <v>79</v>
      </c>
      <c r="C30" s="6">
        <v>0.56999999999999995</v>
      </c>
      <c r="D30" s="6" t="s">
        <v>79</v>
      </c>
      <c r="E30" s="6" t="s">
        <v>79</v>
      </c>
      <c r="F30" s="5" t="s">
        <v>79</v>
      </c>
      <c r="G30" s="7" t="s">
        <v>79</v>
      </c>
      <c r="H30" s="7" t="s">
        <v>79</v>
      </c>
      <c r="I30" s="7"/>
      <c r="J30" s="7"/>
      <c r="K30" s="7"/>
      <c r="L30" s="7"/>
      <c r="M30" s="7"/>
      <c r="N30" s="13" t="str">
        <f>IF(IF(ISNUMBER(B30),VLOOKUP($A30,List!$A$1:$B$29,2,FALSE))=FALSE,"",IF(ISNUMBER(B30),VLOOKUP($A30,List!$A$1:$B$29,2,FALSE)))</f>
        <v/>
      </c>
      <c r="O30" s="13" t="str">
        <f>IF(IF(ISNUMBER(C30),VLOOKUP($A30,List!$A$1:$B$29,2,FALSE))=FALSE,"",IF(ISNUMBER(C30),VLOOKUP($A30,List!$A$1:$B$29,2,FALSE)))</f>
        <v>I consider myself more knowledgeable about boating than the rest of my boating peers</v>
      </c>
      <c r="P30" s="13" t="str">
        <f>IF(IF(ISNUMBER(D30),VLOOKUP($A30,List!$A$1:$B$29,2,FALSE))=FALSE,"",IF(ISNUMBER(D30),VLOOKUP($A30,List!$A$1:$B$29,2,FALSE)))</f>
        <v/>
      </c>
      <c r="Q30" s="13" t="str">
        <f>IF(IF(ISNUMBER(E30),VLOOKUP($A30,List!$A$1:$B$29,2,FALSE))=FALSE,"",IF(ISNUMBER(E30),VLOOKUP($A30,List!$A$1:$B$29,2,FALSE)))</f>
        <v/>
      </c>
      <c r="R30" s="13" t="str">
        <f>IF(IF(ISNUMBER(F30),VLOOKUP($A30,List!$A$1:$B$29,2,FALSE))=FALSE,"",IF(ISNUMBER(F30),VLOOKUP($A30,List!$A$1:$B$29,2,FALSE)))</f>
        <v/>
      </c>
      <c r="S30" s="13" t="str">
        <f>IF(IF(ISNUMBER(G30),VLOOKUP($A30,List!$A$1:$B$29,2,FALSE))=FALSE,"",IF(ISNUMBER(G30),VLOOKUP($A30,List!$A$1:$B$29,2,FALSE)))</f>
        <v/>
      </c>
      <c r="T30" s="13" t="str">
        <f>IF(IF(ISNUMBER(H30),VLOOKUP($A30,List!$A$1:$B$29,2,FALSE))=FALSE,"",IF(ISNUMBER(H30),VLOOKUP($A30,List!$A$1:$B$29,2,FALSE)))</f>
        <v/>
      </c>
      <c r="X30" s="4">
        <v>17</v>
      </c>
      <c r="Y30" s="5" t="str">
        <f t="shared" si="5"/>
        <v/>
      </c>
      <c r="Z30" s="5" t="str">
        <f t="shared" si="1"/>
        <v>include</v>
      </c>
      <c r="AA30" s="5" t="str">
        <f>IF(ISNUMBER(D30),"include","")</f>
        <v/>
      </c>
      <c r="AB30" s="5" t="str">
        <f t="shared" si="2"/>
        <v/>
      </c>
      <c r="AC30" s="5" t="str">
        <f t="shared" si="3"/>
        <v/>
      </c>
      <c r="AD30" s="5" t="str">
        <f t="shared" si="7"/>
        <v/>
      </c>
      <c r="AE30" s="5" t="str">
        <f t="shared" si="4"/>
        <v/>
      </c>
    </row>
    <row r="31" spans="1:31" ht="15" thickBot="1" x14ac:dyDescent="0.35">
      <c r="A31" s="21">
        <v>13</v>
      </c>
      <c r="B31" s="6" t="s">
        <v>79</v>
      </c>
      <c r="C31" s="6" t="s">
        <v>79</v>
      </c>
      <c r="D31" s="6" t="s">
        <v>79</v>
      </c>
      <c r="E31" s="6" t="s">
        <v>79</v>
      </c>
      <c r="F31" s="6" t="s">
        <v>79</v>
      </c>
      <c r="G31" s="7" t="s">
        <v>79</v>
      </c>
      <c r="H31" s="7" t="s">
        <v>79</v>
      </c>
      <c r="I31" s="8"/>
      <c r="J31" s="7"/>
      <c r="K31" s="7"/>
      <c r="L31" s="7"/>
      <c r="M31" s="7"/>
      <c r="N31" s="13" t="str">
        <f>IF(IF(ISNUMBER(B31),VLOOKUP($A31,List!$A$1:$B$29,2,FALSE))=FALSE,"",IF(ISNUMBER(B31),VLOOKUP($A31,List!$A$1:$B$29,2,FALSE)))</f>
        <v/>
      </c>
      <c r="O31" s="13" t="str">
        <f>IF(IF(ISNUMBER(C31),VLOOKUP($A31,List!$A$1:$B$29,2,FALSE))=FALSE,"",IF(ISNUMBER(C31),VLOOKUP($A31,List!$A$1:$B$29,2,FALSE)))</f>
        <v/>
      </c>
      <c r="P31" s="13" t="str">
        <f>IF(IF(ISNUMBER(D31),VLOOKUP($A31,List!$A$1:$B$29,2,FALSE))=FALSE,"",IF(ISNUMBER(D31),VLOOKUP($A31,List!$A$1:$B$29,2,FALSE)))</f>
        <v/>
      </c>
      <c r="Q31" s="13" t="str">
        <f>IF(IF(ISNUMBER(E31),VLOOKUP($A31,List!$A$1:$B$29,2,FALSE))=FALSE,"",IF(ISNUMBER(E31),VLOOKUP($A31,List!$A$1:$B$29,2,FALSE)))</f>
        <v/>
      </c>
      <c r="R31" s="13" t="str">
        <f>IF(IF(ISNUMBER(F31),VLOOKUP($A31,List!$A$1:$B$29,2,FALSE))=FALSE,"",IF(ISNUMBER(F31),VLOOKUP($A31,List!$A$1:$B$29,2,FALSE)))</f>
        <v/>
      </c>
      <c r="S31" s="13" t="str">
        <f>IF(IF(ISNUMBER(G31),VLOOKUP($A31,List!$A$1:$B$29,2,FALSE))=FALSE,"",IF(ISNUMBER(G31),VLOOKUP($A31,List!$A$1:$B$29,2,FALSE)))</f>
        <v/>
      </c>
      <c r="T31" s="13" t="str">
        <f>IF(IF(ISNUMBER(H31),VLOOKUP($A31,List!$A$1:$B$29,2,FALSE))=FALSE,"",IF(ISNUMBER(H31),VLOOKUP($A31,List!$A$1:$B$29,2,FALSE)))</f>
        <v/>
      </c>
      <c r="X31" s="4">
        <v>13</v>
      </c>
      <c r="Y31" s="5" t="str">
        <f t="shared" si="5"/>
        <v/>
      </c>
      <c r="Z31" s="5" t="str">
        <f t="shared" si="1"/>
        <v/>
      </c>
      <c r="AA31" s="5" t="s">
        <v>145</v>
      </c>
      <c r="AB31" s="5" t="str">
        <f t="shared" si="2"/>
        <v/>
      </c>
      <c r="AC31" s="5" t="str">
        <f t="shared" si="3"/>
        <v/>
      </c>
      <c r="AD31" s="5" t="str">
        <f t="shared" si="7"/>
        <v/>
      </c>
      <c r="AE31" s="5" t="str">
        <f t="shared" si="4"/>
        <v/>
      </c>
    </row>
    <row r="32" spans="1:31" x14ac:dyDescent="0.3">
      <c r="N32" s="25" t="s">
        <v>246</v>
      </c>
    </row>
    <row r="33" spans="1:31" ht="23.4" x14ac:dyDescent="0.45">
      <c r="A33" s="17" t="s">
        <v>125</v>
      </c>
      <c r="N33">
        <v>22</v>
      </c>
      <c r="O33">
        <v>10</v>
      </c>
      <c r="P33">
        <v>28</v>
      </c>
      <c r="Q33">
        <v>5</v>
      </c>
      <c r="R33">
        <v>9</v>
      </c>
      <c r="S33">
        <v>11</v>
      </c>
      <c r="T33">
        <v>2</v>
      </c>
    </row>
    <row r="34" spans="1:31" ht="29.4" thickBot="1" x14ac:dyDescent="0.35">
      <c r="A34" s="3" t="s">
        <v>63</v>
      </c>
      <c r="B34" s="3" t="s">
        <v>49</v>
      </c>
      <c r="C34" s="3" t="s">
        <v>50</v>
      </c>
      <c r="D34" s="3" t="s">
        <v>51</v>
      </c>
      <c r="E34" s="3" t="s">
        <v>52</v>
      </c>
      <c r="F34" s="3" t="s">
        <v>53</v>
      </c>
      <c r="G34" s="3" t="s">
        <v>54</v>
      </c>
      <c r="H34" s="3" t="s">
        <v>55</v>
      </c>
      <c r="I34" s="3" t="s">
        <v>56</v>
      </c>
      <c r="J34" s="3" t="s">
        <v>57</v>
      </c>
      <c r="K34" s="3" t="s">
        <v>58</v>
      </c>
      <c r="L34" s="3" t="s">
        <v>59</v>
      </c>
      <c r="M34" s="3" t="s">
        <v>60</v>
      </c>
      <c r="N34" s="20" t="s">
        <v>128</v>
      </c>
      <c r="O34" s="20" t="s">
        <v>130</v>
      </c>
      <c r="P34" s="20" t="s">
        <v>144</v>
      </c>
      <c r="Q34" s="20" t="s">
        <v>133</v>
      </c>
      <c r="R34" s="20" t="s">
        <v>146</v>
      </c>
      <c r="S34" s="20" t="s">
        <v>131</v>
      </c>
      <c r="T34" s="20" t="s">
        <v>132</v>
      </c>
      <c r="X34" s="3" t="s">
        <v>63</v>
      </c>
      <c r="Y34" s="3" t="s">
        <v>128</v>
      </c>
      <c r="Z34" s="3" t="s">
        <v>144</v>
      </c>
      <c r="AA34" s="3" t="s">
        <v>130</v>
      </c>
      <c r="AB34" s="3" t="s">
        <v>137</v>
      </c>
      <c r="AC34" s="3" t="s">
        <v>89</v>
      </c>
      <c r="AD34" s="3" t="s">
        <v>131</v>
      </c>
      <c r="AE34" s="3" t="s">
        <v>132</v>
      </c>
    </row>
    <row r="35" spans="1:31" ht="15" thickBot="1" x14ac:dyDescent="0.35">
      <c r="A35" s="4">
        <v>21</v>
      </c>
      <c r="B35" s="5">
        <v>0.78</v>
      </c>
      <c r="C35" s="6" t="s">
        <v>79</v>
      </c>
      <c r="D35" s="6" t="s">
        <v>79</v>
      </c>
      <c r="E35" s="6" t="s">
        <v>79</v>
      </c>
      <c r="F35" s="6" t="s">
        <v>79</v>
      </c>
      <c r="G35" s="7" t="s">
        <v>79</v>
      </c>
      <c r="H35" s="7" t="s">
        <v>79</v>
      </c>
      <c r="I35" s="7"/>
      <c r="J35" s="7"/>
      <c r="K35" s="7"/>
      <c r="L35" s="7"/>
      <c r="M35" s="7"/>
      <c r="N35" s="13" t="str">
        <f>IF(IF(ISNUMBER(B35),VLOOKUP($A35,List!$A$1:$B$29,2,FALSE))=FALSE,"",IF(ISNUMBER(B35),VLOOKUP($A35,List!$A$1:$B$29,2,FALSE)))</f>
        <v>Boating helps me escape from everyday life and relax</v>
      </c>
      <c r="O35" s="13" t="str">
        <f>IF(IF(ISNUMBER(C35),VLOOKUP($A35,List!$A$1:$B$29,2,FALSE))=FALSE,"",IF(ISNUMBER(C35),VLOOKUP($A35,List!$A$1:$B$29,2,FALSE)))</f>
        <v/>
      </c>
      <c r="P35" s="13" t="str">
        <f>IF(IF(ISNUMBER(D35),VLOOKUP($A35,List!$A$1:$B$29,2,FALSE))=FALSE,"",IF(ISNUMBER(D35),VLOOKUP($A35,List!$A$1:$B$29,2,FALSE)))</f>
        <v/>
      </c>
      <c r="Q35" s="13" t="str">
        <f>IF(IF(ISNUMBER(E35),VLOOKUP($A35,List!$A$1:$B$29,2,FALSE))=FALSE,"",IF(ISNUMBER(E35),VLOOKUP($A35,List!$A$1:$B$29,2,FALSE)))</f>
        <v/>
      </c>
      <c r="R35" s="13" t="str">
        <f>IF(IF(ISNUMBER(F35),VLOOKUP($A35,List!$A$1:$B$29,2,FALSE))=FALSE,"",IF(ISNUMBER(F35),VLOOKUP($A35,List!$A$1:$B$29,2,FALSE)))</f>
        <v/>
      </c>
      <c r="S35" s="13" t="str">
        <f>IF(IF(ISNUMBER(G35),VLOOKUP($A35,List!$A$1:$B$29,2,FALSE))=FALSE,"",IF(ISNUMBER(G35),VLOOKUP($A35,List!$A$1:$B$29,2,FALSE)))</f>
        <v/>
      </c>
      <c r="T35" s="13" t="str">
        <f>IF(IF(ISNUMBER(H35),VLOOKUP($A35,List!$A$1:$B$29,2,FALSE))=FALSE,"",IF(ISNUMBER(H35),VLOOKUP($A35,List!$A$1:$B$29,2,FALSE)))</f>
        <v/>
      </c>
      <c r="X35" s="4">
        <v>21</v>
      </c>
      <c r="Y35" s="5" t="str">
        <f t="shared" ref="Y35:AE41" si="8">IF(ISNUMBER(B35),"include","")</f>
        <v>include</v>
      </c>
      <c r="Z35" s="5" t="str">
        <f t="shared" si="8"/>
        <v/>
      </c>
      <c r="AA35" s="5" t="str">
        <f t="shared" si="8"/>
        <v/>
      </c>
      <c r="AB35" s="5" t="str">
        <f t="shared" si="8"/>
        <v/>
      </c>
      <c r="AC35" s="5" t="str">
        <f t="shared" si="8"/>
        <v/>
      </c>
      <c r="AD35" s="5" t="str">
        <f t="shared" si="8"/>
        <v/>
      </c>
      <c r="AE35" s="5" t="str">
        <f t="shared" si="8"/>
        <v/>
      </c>
    </row>
    <row r="36" spans="1:31" ht="15" thickBot="1" x14ac:dyDescent="0.35">
      <c r="A36" s="4">
        <v>18</v>
      </c>
      <c r="B36" s="5">
        <v>0.73</v>
      </c>
      <c r="C36" s="6" t="s">
        <v>79</v>
      </c>
      <c r="D36" s="6" t="s">
        <v>79</v>
      </c>
      <c r="E36" s="6" t="s">
        <v>79</v>
      </c>
      <c r="F36" s="6" t="s">
        <v>79</v>
      </c>
      <c r="G36" s="7" t="s">
        <v>79</v>
      </c>
      <c r="H36" s="7" t="s">
        <v>79</v>
      </c>
      <c r="I36" s="7"/>
      <c r="J36" s="7"/>
      <c r="K36" s="7"/>
      <c r="L36" s="7"/>
      <c r="M36" s="7"/>
      <c r="N36" s="13" t="str">
        <f>IF(IF(ISNUMBER(B36),VLOOKUP($A36,List!$A$1:$B$29,2,FALSE))=FALSE,"",IF(ISNUMBER(B36),VLOOKUP($A36,List!$A$1:$B$29,2,FALSE)))</f>
        <v>Boating gives me a feeling of adventure</v>
      </c>
      <c r="O36" s="13" t="str">
        <f>IF(IF(ISNUMBER(C36),VLOOKUP($A36,List!$A$1:$B$29,2,FALSE))=FALSE,"",IF(ISNUMBER(C36),VLOOKUP($A36,List!$A$1:$B$29,2,FALSE)))</f>
        <v/>
      </c>
      <c r="P36" s="13" t="str">
        <f>IF(IF(ISNUMBER(D36),VLOOKUP($A36,List!$A$1:$B$29,2,FALSE))=FALSE,"",IF(ISNUMBER(D36),VLOOKUP($A36,List!$A$1:$B$29,2,FALSE)))</f>
        <v/>
      </c>
      <c r="Q36" s="13" t="str">
        <f>IF(IF(ISNUMBER(E36),VLOOKUP($A36,List!$A$1:$B$29,2,FALSE))=FALSE,"",IF(ISNUMBER(E36),VLOOKUP($A36,List!$A$1:$B$29,2,FALSE)))</f>
        <v/>
      </c>
      <c r="R36" s="13" t="str">
        <f>IF(IF(ISNUMBER(F36),VLOOKUP($A36,List!$A$1:$B$29,2,FALSE))=FALSE,"",IF(ISNUMBER(F36),VLOOKUP($A36,List!$A$1:$B$29,2,FALSE)))</f>
        <v/>
      </c>
      <c r="S36" s="13" t="str">
        <f>IF(IF(ISNUMBER(G36),VLOOKUP($A36,List!$A$1:$B$29,2,FALSE))=FALSE,"",IF(ISNUMBER(G36),VLOOKUP($A36,List!$A$1:$B$29,2,FALSE)))</f>
        <v/>
      </c>
      <c r="T36" s="13" t="str">
        <f>IF(IF(ISNUMBER(H36),VLOOKUP($A36,List!$A$1:$B$29,2,FALSE))=FALSE,"",IF(ISNUMBER(H36),VLOOKUP($A36,List!$A$1:$B$29,2,FALSE)))</f>
        <v/>
      </c>
      <c r="X36" s="4">
        <v>18</v>
      </c>
      <c r="Y36" s="5" t="str">
        <f t="shared" si="8"/>
        <v>include</v>
      </c>
      <c r="Z36" s="5" t="str">
        <f t="shared" si="8"/>
        <v/>
      </c>
      <c r="AA36" s="5" t="str">
        <f t="shared" si="8"/>
        <v/>
      </c>
      <c r="AB36" s="5" t="str">
        <f t="shared" si="8"/>
        <v/>
      </c>
      <c r="AC36" s="5" t="str">
        <f t="shared" si="8"/>
        <v/>
      </c>
      <c r="AD36" s="5" t="str">
        <f t="shared" si="8"/>
        <v/>
      </c>
      <c r="AE36" s="5" t="str">
        <f t="shared" si="8"/>
        <v/>
      </c>
    </row>
    <row r="37" spans="1:31" ht="15" thickBot="1" x14ac:dyDescent="0.35">
      <c r="A37" s="4">
        <v>19</v>
      </c>
      <c r="B37" s="5">
        <v>0.7</v>
      </c>
      <c r="C37" s="6" t="s">
        <v>79</v>
      </c>
      <c r="D37" s="6" t="s">
        <v>79</v>
      </c>
      <c r="E37" s="6" t="s">
        <v>79</v>
      </c>
      <c r="F37" s="6" t="s">
        <v>79</v>
      </c>
      <c r="G37" s="7" t="s">
        <v>79</v>
      </c>
      <c r="H37" s="7" t="s">
        <v>79</v>
      </c>
      <c r="I37" s="7"/>
      <c r="J37" s="7"/>
      <c r="K37" s="7"/>
      <c r="L37" s="7"/>
      <c r="M37" s="7"/>
      <c r="N37" s="13" t="str">
        <f>IF(IF(ISNUMBER(B37),VLOOKUP($A37,List!$A$1:$B$29,2,FALSE))=FALSE,"",IF(ISNUMBER(B37),VLOOKUP($A37,List!$A$1:$B$29,2,FALSE)))</f>
        <v>Boating allows me to experience nature</v>
      </c>
      <c r="O37" s="13" t="str">
        <f>IF(IF(ISNUMBER(C37),VLOOKUP($A37,List!$A$1:$B$29,2,FALSE))=FALSE,"",IF(ISNUMBER(C37),VLOOKUP($A37,List!$A$1:$B$29,2,FALSE)))</f>
        <v/>
      </c>
      <c r="P37" s="13" t="str">
        <f>IF(IF(ISNUMBER(D37),VLOOKUP($A37,List!$A$1:$B$29,2,FALSE))=FALSE,"",IF(ISNUMBER(D37),VLOOKUP($A37,List!$A$1:$B$29,2,FALSE)))</f>
        <v/>
      </c>
      <c r="Q37" s="13" t="str">
        <f>IF(IF(ISNUMBER(E37),VLOOKUP($A37,List!$A$1:$B$29,2,FALSE))=FALSE,"",IF(ISNUMBER(E37),VLOOKUP($A37,List!$A$1:$B$29,2,FALSE)))</f>
        <v/>
      </c>
      <c r="R37" s="13" t="str">
        <f>IF(IF(ISNUMBER(F37),VLOOKUP($A37,List!$A$1:$B$29,2,FALSE))=FALSE,"",IF(ISNUMBER(F37),VLOOKUP($A37,List!$A$1:$B$29,2,FALSE)))</f>
        <v/>
      </c>
      <c r="S37" s="13" t="str">
        <f>IF(IF(ISNUMBER(G37),VLOOKUP($A37,List!$A$1:$B$29,2,FALSE))=FALSE,"",IF(ISNUMBER(G37),VLOOKUP($A37,List!$A$1:$B$29,2,FALSE)))</f>
        <v/>
      </c>
      <c r="T37" s="13" t="str">
        <f>IF(IF(ISNUMBER(H37),VLOOKUP($A37,List!$A$1:$B$29,2,FALSE))=FALSE,"",IF(ISNUMBER(H37),VLOOKUP($A37,List!$A$1:$B$29,2,FALSE)))</f>
        <v/>
      </c>
      <c r="X37" s="4">
        <v>19</v>
      </c>
      <c r="Y37" s="5" t="str">
        <f t="shared" si="8"/>
        <v>include</v>
      </c>
      <c r="Z37" s="5" t="str">
        <f t="shared" si="8"/>
        <v/>
      </c>
      <c r="AA37" s="5" t="str">
        <f t="shared" si="8"/>
        <v/>
      </c>
      <c r="AB37" s="5" t="str">
        <f t="shared" si="8"/>
        <v/>
      </c>
      <c r="AC37" s="5" t="str">
        <f t="shared" si="8"/>
        <v/>
      </c>
      <c r="AD37" s="5" t="str">
        <f t="shared" si="8"/>
        <v/>
      </c>
      <c r="AE37" s="5" t="str">
        <f t="shared" si="8"/>
        <v/>
      </c>
    </row>
    <row r="38" spans="1:31" ht="15" thickBot="1" x14ac:dyDescent="0.35">
      <c r="A38" s="4">
        <v>24</v>
      </c>
      <c r="B38" s="5">
        <v>0.64</v>
      </c>
      <c r="C38" s="6" t="s">
        <v>79</v>
      </c>
      <c r="D38" s="6" t="s">
        <v>79</v>
      </c>
      <c r="E38" s="6" t="s">
        <v>79</v>
      </c>
      <c r="F38" s="6" t="s">
        <v>79</v>
      </c>
      <c r="G38" s="7" t="s">
        <v>79</v>
      </c>
      <c r="H38" s="7" t="s">
        <v>79</v>
      </c>
      <c r="I38" s="7"/>
      <c r="J38" s="7"/>
      <c r="K38" s="7"/>
      <c r="L38" s="7"/>
      <c r="M38" s="7"/>
      <c r="N38" s="13" t="str">
        <f>IF(IF(ISNUMBER(B38),VLOOKUP($A38,List!$A$1:$B$29,2,FALSE))=FALSE,"",IF(ISNUMBER(B38),VLOOKUP($A38,List!$A$1:$B$29,2,FALSE)))</f>
        <v>Boating gives me an outlet to socialize with family/friends</v>
      </c>
      <c r="O38" s="13" t="str">
        <f>IF(IF(ISNUMBER(C38),VLOOKUP($A38,List!$A$1:$B$29,2,FALSE))=FALSE,"",IF(ISNUMBER(C38),VLOOKUP($A38,List!$A$1:$B$29,2,FALSE)))</f>
        <v/>
      </c>
      <c r="P38" s="13" t="str">
        <f>IF(IF(ISNUMBER(D38),VLOOKUP($A38,List!$A$1:$B$29,2,FALSE))=FALSE,"",IF(ISNUMBER(D38),VLOOKUP($A38,List!$A$1:$B$29,2,FALSE)))</f>
        <v/>
      </c>
      <c r="Q38" s="13" t="str">
        <f>IF(IF(ISNUMBER(E38),VLOOKUP($A38,List!$A$1:$B$29,2,FALSE))=FALSE,"",IF(ISNUMBER(E38),VLOOKUP($A38,List!$A$1:$B$29,2,FALSE)))</f>
        <v/>
      </c>
      <c r="R38" s="13" t="str">
        <f>IF(IF(ISNUMBER(F38),VLOOKUP($A38,List!$A$1:$B$29,2,FALSE))=FALSE,"",IF(ISNUMBER(F38),VLOOKUP($A38,List!$A$1:$B$29,2,FALSE)))</f>
        <v/>
      </c>
      <c r="S38" s="13" t="str">
        <f>IF(IF(ISNUMBER(G38),VLOOKUP($A38,List!$A$1:$B$29,2,FALSE))=FALSE,"",IF(ISNUMBER(G38),VLOOKUP($A38,List!$A$1:$B$29,2,FALSE)))</f>
        <v/>
      </c>
      <c r="T38" s="13" t="str">
        <f>IF(IF(ISNUMBER(H38),VLOOKUP($A38,List!$A$1:$B$29,2,FALSE))=FALSE,"",IF(ISNUMBER(H38),VLOOKUP($A38,List!$A$1:$B$29,2,FALSE)))</f>
        <v/>
      </c>
      <c r="X38" s="4">
        <v>24</v>
      </c>
      <c r="Y38" s="5" t="str">
        <f t="shared" si="8"/>
        <v>include</v>
      </c>
      <c r="Z38" s="5" t="str">
        <f t="shared" si="8"/>
        <v/>
      </c>
      <c r="AA38" s="5" t="str">
        <f t="shared" si="8"/>
        <v/>
      </c>
      <c r="AB38" s="5" t="str">
        <f t="shared" si="8"/>
        <v/>
      </c>
      <c r="AC38" s="5" t="str">
        <f t="shared" si="8"/>
        <v/>
      </c>
      <c r="AD38" s="5" t="str">
        <f t="shared" si="8"/>
        <v/>
      </c>
      <c r="AE38" s="5" t="str">
        <f t="shared" si="8"/>
        <v/>
      </c>
    </row>
    <row r="39" spans="1:31" ht="15" thickBot="1" x14ac:dyDescent="0.35">
      <c r="A39" s="4">
        <v>22</v>
      </c>
      <c r="B39" s="5">
        <v>0.61</v>
      </c>
      <c r="C39" s="6" t="s">
        <v>79</v>
      </c>
      <c r="D39" s="6" t="s">
        <v>79</v>
      </c>
      <c r="E39" s="6" t="s">
        <v>79</v>
      </c>
      <c r="F39" s="6" t="s">
        <v>79</v>
      </c>
      <c r="G39" s="7" t="s">
        <v>79</v>
      </c>
      <c r="H39" s="7" t="s">
        <v>79</v>
      </c>
      <c r="I39" s="7"/>
      <c r="J39" s="7"/>
      <c r="K39" s="7"/>
      <c r="L39" s="7"/>
      <c r="M39" s="7"/>
      <c r="N39" s="13" t="str">
        <f>IF(IF(ISNUMBER(B39),VLOOKUP($A39,List!$A$1:$B$29,2,FALSE))=FALSE,"",IF(ISNUMBER(B39),VLOOKUP($A39,List!$A$1:$B$29,2,FALSE)))</f>
        <v>Boating helps me stay active</v>
      </c>
      <c r="O39" s="13" t="str">
        <f>IF(IF(ISNUMBER(C39),VLOOKUP($A39,List!$A$1:$B$29,2,FALSE))=FALSE,"",IF(ISNUMBER(C39),VLOOKUP($A39,List!$A$1:$B$29,2,FALSE)))</f>
        <v/>
      </c>
      <c r="P39" s="13" t="str">
        <f>IF(IF(ISNUMBER(D39),VLOOKUP($A39,List!$A$1:$B$29,2,FALSE))=FALSE,"",IF(ISNUMBER(D39),VLOOKUP($A39,List!$A$1:$B$29,2,FALSE)))</f>
        <v/>
      </c>
      <c r="Q39" s="13" t="str">
        <f>IF(IF(ISNUMBER(E39),VLOOKUP($A39,List!$A$1:$B$29,2,FALSE))=FALSE,"",IF(ISNUMBER(E39),VLOOKUP($A39,List!$A$1:$B$29,2,FALSE)))</f>
        <v/>
      </c>
      <c r="R39" s="13" t="str">
        <f>IF(IF(ISNUMBER(F39),VLOOKUP($A39,List!$A$1:$B$29,2,FALSE))=FALSE,"",IF(ISNUMBER(F39),VLOOKUP($A39,List!$A$1:$B$29,2,FALSE)))</f>
        <v/>
      </c>
      <c r="S39" s="13" t="str">
        <f>IF(IF(ISNUMBER(G39),VLOOKUP($A39,List!$A$1:$B$29,2,FALSE))=FALSE,"",IF(ISNUMBER(G39),VLOOKUP($A39,List!$A$1:$B$29,2,FALSE)))</f>
        <v/>
      </c>
      <c r="T39" s="13" t="str">
        <f>IF(IF(ISNUMBER(H39),VLOOKUP($A39,List!$A$1:$B$29,2,FALSE))=FALSE,"",IF(ISNUMBER(H39),VLOOKUP($A39,List!$A$1:$B$29,2,FALSE)))</f>
        <v/>
      </c>
      <c r="X39" s="4">
        <v>6</v>
      </c>
      <c r="Y39" s="5" t="str">
        <f t="shared" si="8"/>
        <v>include</v>
      </c>
      <c r="Z39" s="5" t="str">
        <f t="shared" si="8"/>
        <v/>
      </c>
      <c r="AA39" s="5" t="str">
        <f t="shared" si="8"/>
        <v/>
      </c>
      <c r="AB39" s="5" t="str">
        <f t="shared" si="8"/>
        <v/>
      </c>
      <c r="AC39" s="5" t="str">
        <f t="shared" si="8"/>
        <v/>
      </c>
      <c r="AD39" s="5" t="str">
        <f t="shared" si="8"/>
        <v/>
      </c>
      <c r="AE39" s="5" t="str">
        <f t="shared" si="8"/>
        <v/>
      </c>
    </row>
    <row r="40" spans="1:31" ht="15" thickBot="1" x14ac:dyDescent="0.35">
      <c r="A40" s="4">
        <v>6</v>
      </c>
      <c r="B40" s="5">
        <v>0.59</v>
      </c>
      <c r="C40" s="6" t="s">
        <v>79</v>
      </c>
      <c r="D40" s="6" t="s">
        <v>79</v>
      </c>
      <c r="E40" s="6" t="s">
        <v>79</v>
      </c>
      <c r="F40" s="6" t="s">
        <v>79</v>
      </c>
      <c r="G40" s="7" t="s">
        <v>79</v>
      </c>
      <c r="H40" s="7" t="s">
        <v>79</v>
      </c>
      <c r="I40" s="7"/>
      <c r="J40" s="7"/>
      <c r="K40" s="7"/>
      <c r="L40" s="7"/>
      <c r="M40" s="7"/>
      <c r="N40" s="13" t="str">
        <f>IF(IF(ISNUMBER(B40),VLOOKUP($A40,List!$A$1:$B$29,2,FALSE))=FALSE,"",IF(ISNUMBER(B40),VLOOKUP($A40,List!$A$1:$B$29,2,FALSE)))</f>
        <v>Owning a boat is a way of rewarding myself for hard work</v>
      </c>
      <c r="O40" s="13" t="str">
        <f>IF(IF(ISNUMBER(C40),VLOOKUP($A40,List!$A$1:$B$29,2,FALSE))=FALSE,"",IF(ISNUMBER(C40),VLOOKUP($A40,List!$A$1:$B$29,2,FALSE)))</f>
        <v/>
      </c>
      <c r="P40" s="13" t="str">
        <f>IF(IF(ISNUMBER(D40),VLOOKUP($A40,List!$A$1:$B$29,2,FALSE))=FALSE,"",IF(ISNUMBER(D40),VLOOKUP($A40,List!$A$1:$B$29,2,FALSE)))</f>
        <v/>
      </c>
      <c r="Q40" s="13" t="str">
        <f>IF(IF(ISNUMBER(E40),VLOOKUP($A40,List!$A$1:$B$29,2,FALSE))=FALSE,"",IF(ISNUMBER(E40),VLOOKUP($A40,List!$A$1:$B$29,2,FALSE)))</f>
        <v/>
      </c>
      <c r="R40" s="13" t="str">
        <f>IF(IF(ISNUMBER(F40),VLOOKUP($A40,List!$A$1:$B$29,2,FALSE))=FALSE,"",IF(ISNUMBER(F40),VLOOKUP($A40,List!$A$1:$B$29,2,FALSE)))</f>
        <v/>
      </c>
      <c r="S40" s="13" t="str">
        <f>IF(IF(ISNUMBER(G40),VLOOKUP($A40,List!$A$1:$B$29,2,FALSE))=FALSE,"",IF(ISNUMBER(G40),VLOOKUP($A40,List!$A$1:$B$29,2,FALSE)))</f>
        <v/>
      </c>
      <c r="T40" s="13" t="str">
        <f>IF(IF(ISNUMBER(H40),VLOOKUP($A40,List!$A$1:$B$29,2,FALSE))=FALSE,"",IF(ISNUMBER(H40),VLOOKUP($A40,List!$A$1:$B$29,2,FALSE)))</f>
        <v/>
      </c>
      <c r="X40" s="4">
        <v>22</v>
      </c>
      <c r="Y40" s="5" t="str">
        <f t="shared" si="8"/>
        <v>include</v>
      </c>
      <c r="Z40" s="5" t="str">
        <f t="shared" si="8"/>
        <v/>
      </c>
      <c r="AA40" s="5" t="str">
        <f t="shared" si="8"/>
        <v/>
      </c>
      <c r="AB40" s="5" t="str">
        <f t="shared" si="8"/>
        <v/>
      </c>
      <c r="AC40" s="5" t="str">
        <f t="shared" si="8"/>
        <v/>
      </c>
      <c r="AD40" s="5" t="str">
        <f t="shared" si="8"/>
        <v/>
      </c>
      <c r="AE40" s="5" t="str">
        <f t="shared" si="8"/>
        <v/>
      </c>
    </row>
    <row r="41" spans="1:31" ht="15" thickBot="1" x14ac:dyDescent="0.35">
      <c r="A41" s="4">
        <v>7</v>
      </c>
      <c r="B41" s="6" t="s">
        <v>79</v>
      </c>
      <c r="C41" s="6">
        <v>0.64</v>
      </c>
      <c r="D41" s="6" t="s">
        <v>79</v>
      </c>
      <c r="E41" s="6" t="s">
        <v>79</v>
      </c>
      <c r="F41" s="6" t="s">
        <v>79</v>
      </c>
      <c r="G41" s="7" t="s">
        <v>79</v>
      </c>
      <c r="H41" s="7" t="s">
        <v>79</v>
      </c>
      <c r="I41" s="7"/>
      <c r="J41" s="7"/>
      <c r="K41" s="7"/>
      <c r="L41" s="7"/>
      <c r="M41" s="7"/>
      <c r="N41" s="13" t="str">
        <f>IF(IF(ISNUMBER(B41),VLOOKUP($A41,List!$A$1:$B$29,2,FALSE))=FALSE,"",IF(ISNUMBER(B41),VLOOKUP($A41,List!$A$1:$B$29,2,FALSE)))</f>
        <v/>
      </c>
      <c r="O41" s="13" t="str">
        <f>IF(IF(ISNUMBER(C41),VLOOKUP($A41,List!$A$1:$B$29,2,FALSE))=FALSE,"",IF(ISNUMBER(C41),VLOOKUP($A41,List!$A$1:$B$29,2,FALSE)))</f>
        <v>Owning a boat gives me a sense of achievement</v>
      </c>
      <c r="P41" s="13" t="str">
        <f>IF(IF(ISNUMBER(D41),VLOOKUP($A41,List!$A$1:$B$29,2,FALSE))=FALSE,"",IF(ISNUMBER(D41),VLOOKUP($A41,List!$A$1:$B$29,2,FALSE)))</f>
        <v/>
      </c>
      <c r="Q41" s="13" t="str">
        <f>IF(IF(ISNUMBER(E41),VLOOKUP($A41,List!$A$1:$B$29,2,FALSE))=FALSE,"",IF(ISNUMBER(E41),VLOOKUP($A41,List!$A$1:$B$29,2,FALSE)))</f>
        <v/>
      </c>
      <c r="R41" s="13" t="str">
        <f>IF(IF(ISNUMBER(F41),VLOOKUP($A41,List!$A$1:$B$29,2,FALSE))=FALSE,"",IF(ISNUMBER(F41),VLOOKUP($A41,List!$A$1:$B$29,2,FALSE)))</f>
        <v/>
      </c>
      <c r="S41" s="13" t="str">
        <f>IF(IF(ISNUMBER(G41),VLOOKUP($A41,List!$A$1:$B$29,2,FALSE))=FALSE,"",IF(ISNUMBER(G41),VLOOKUP($A41,List!$A$1:$B$29,2,FALSE)))</f>
        <v/>
      </c>
      <c r="T41" s="13" t="str">
        <f>IF(IF(ISNUMBER(H41),VLOOKUP($A41,List!$A$1:$B$29,2,FALSE))=FALSE,"",IF(ISNUMBER(H41),VLOOKUP($A41,List!$A$1:$B$29,2,FALSE)))</f>
        <v/>
      </c>
      <c r="X41" s="4">
        <v>7</v>
      </c>
      <c r="Y41" s="5" t="str">
        <f t="shared" si="8"/>
        <v/>
      </c>
      <c r="Z41" s="5" t="str">
        <f t="shared" si="8"/>
        <v>include</v>
      </c>
      <c r="AA41" s="5" t="str">
        <f t="shared" si="8"/>
        <v/>
      </c>
      <c r="AB41" s="5" t="str">
        <f t="shared" si="8"/>
        <v/>
      </c>
      <c r="AC41" s="5" t="str">
        <f t="shared" si="8"/>
        <v/>
      </c>
      <c r="AD41" s="5" t="str">
        <f t="shared" si="8"/>
        <v/>
      </c>
      <c r="AE41" s="5" t="str">
        <f t="shared" si="8"/>
        <v/>
      </c>
    </row>
    <row r="42" spans="1:31" ht="15" thickBot="1" x14ac:dyDescent="0.35">
      <c r="A42" s="21">
        <v>29</v>
      </c>
      <c r="B42" s="6" t="s">
        <v>79</v>
      </c>
      <c r="C42" s="6" t="s">
        <v>79</v>
      </c>
      <c r="D42" s="6" t="s">
        <v>79</v>
      </c>
      <c r="E42" s="6" t="s">
        <v>79</v>
      </c>
      <c r="F42" s="6" t="s">
        <v>79</v>
      </c>
      <c r="G42" s="7" t="s">
        <v>79</v>
      </c>
      <c r="H42" s="7" t="s">
        <v>79</v>
      </c>
      <c r="I42" s="7"/>
      <c r="J42" s="7"/>
      <c r="K42" s="7"/>
      <c r="L42" s="7"/>
      <c r="M42" s="7"/>
      <c r="N42" s="13" t="str">
        <f>IF(IF(ISNUMBER(B42),VLOOKUP($A42,List!$A$1:$B$29,2,FALSE))=FALSE,"",IF(ISNUMBER(B42),VLOOKUP($A42,List!$A$1:$B$29,2,FALSE)))</f>
        <v/>
      </c>
      <c r="O42" s="13" t="str">
        <f>IF(IF(ISNUMBER(C42),VLOOKUP($A42,List!$A$1:$B$29,2,FALSE))=FALSE,"",IF(ISNUMBER(C42),VLOOKUP($A42,List!$A$1:$B$29,2,FALSE)))</f>
        <v/>
      </c>
      <c r="P42" s="13" t="str">
        <f>IF(IF(ISNUMBER(D42),VLOOKUP($A42,List!$A$1:$B$29,2,FALSE))=FALSE,"",IF(ISNUMBER(D42),VLOOKUP($A42,List!$A$1:$B$29,2,FALSE)))</f>
        <v/>
      </c>
      <c r="Q42" s="13" t="str">
        <f>IF(IF(ISNUMBER(E42),VLOOKUP($A42,List!$A$1:$B$29,2,FALSE))=FALSE,"",IF(ISNUMBER(E42),VLOOKUP($A42,List!$A$1:$B$29,2,FALSE)))</f>
        <v/>
      </c>
      <c r="R42" s="13" t="str">
        <f>IF(IF(ISNUMBER(F42),VLOOKUP($A42,List!$A$1:$B$29,2,FALSE))=FALSE,"",IF(ISNUMBER(F42),VLOOKUP($A42,List!$A$1:$B$29,2,FALSE)))</f>
        <v/>
      </c>
      <c r="S42" s="13" t="str">
        <f>IF(IF(ISNUMBER(G42),VLOOKUP($A42,List!$A$1:$B$29,2,FALSE))=FALSE,"",IF(ISNUMBER(G42),VLOOKUP($A42,List!$A$1:$B$29,2,FALSE)))</f>
        <v/>
      </c>
      <c r="T42" s="13" t="str">
        <f>IF(IF(ISNUMBER(H42),VLOOKUP($A42,List!$A$1:$B$29,2,FALSE))=FALSE,"",IF(ISNUMBER(H42),VLOOKUP($A42,List!$A$1:$B$29,2,FALSE)))</f>
        <v/>
      </c>
      <c r="X42" s="4">
        <v>29</v>
      </c>
      <c r="Y42" s="5"/>
      <c r="Z42" s="5"/>
      <c r="AA42" s="5" t="str">
        <f>IF(ISNUMBER(D42),"include","")</f>
        <v/>
      </c>
      <c r="AB42" s="5" t="str">
        <f>IF(ISNUMBER(E42),"include","")</f>
        <v/>
      </c>
      <c r="AC42" s="5" t="str">
        <f>IF(ISNUMBER(F42),"include","")</f>
        <v/>
      </c>
      <c r="AD42" s="5" t="str">
        <f>IF(ISNUMBER(G42),"include","")</f>
        <v/>
      </c>
      <c r="AE42" s="5" t="str">
        <f>IF(ISNUMBER(H42),"include","")</f>
        <v/>
      </c>
    </row>
    <row r="43" spans="1:31" ht="15" thickBot="1" x14ac:dyDescent="0.35">
      <c r="A43" s="21">
        <v>25</v>
      </c>
      <c r="B43" s="6" t="s">
        <v>79</v>
      </c>
      <c r="C43" s="6" t="s">
        <v>79</v>
      </c>
      <c r="D43" s="6" t="s">
        <v>79</v>
      </c>
      <c r="E43" s="5" t="s">
        <v>79</v>
      </c>
      <c r="F43" s="6" t="s">
        <v>79</v>
      </c>
      <c r="G43" s="7" t="s">
        <v>79</v>
      </c>
      <c r="H43" s="7" t="s">
        <v>79</v>
      </c>
      <c r="I43" s="7"/>
      <c r="J43" s="7"/>
      <c r="K43" s="7"/>
      <c r="L43" s="7"/>
      <c r="M43" s="7"/>
      <c r="N43" s="13" t="str">
        <f>IF(IF(ISNUMBER(B43),VLOOKUP($A43,List!$A$1:$B$29,2,FALSE))=FALSE,"",IF(ISNUMBER(B43),VLOOKUP($A43,List!$A$1:$B$29,2,FALSE)))</f>
        <v/>
      </c>
      <c r="O43" s="13" t="str">
        <f>IF(IF(ISNUMBER(C43),VLOOKUP($A43,List!$A$1:$B$29,2,FALSE))=FALSE,"",IF(ISNUMBER(C43),VLOOKUP($A43,List!$A$1:$B$29,2,FALSE)))</f>
        <v/>
      </c>
      <c r="P43" s="13" t="str">
        <f>IF(IF(ISNUMBER(D43),VLOOKUP($A43,List!$A$1:$B$29,2,FALSE))=FALSE,"",IF(ISNUMBER(D43),VLOOKUP($A43,List!$A$1:$B$29,2,FALSE)))</f>
        <v/>
      </c>
      <c r="Q43" s="13" t="str">
        <f>IF(IF(ISNUMBER(E43),VLOOKUP($A43,List!$A$1:$B$29,2,FALSE))=FALSE,"",IF(ISNUMBER(E43),VLOOKUP($A43,List!$A$1:$B$29,2,FALSE)))</f>
        <v/>
      </c>
      <c r="R43" s="13" t="str">
        <f>IF(IF(ISNUMBER(F43),VLOOKUP($A43,List!$A$1:$B$29,2,FALSE))=FALSE,"",IF(ISNUMBER(F43),VLOOKUP($A43,List!$A$1:$B$29,2,FALSE)))</f>
        <v/>
      </c>
      <c r="S43" s="13" t="str">
        <f>IF(IF(ISNUMBER(G43),VLOOKUP($A43,List!$A$1:$B$29,2,FALSE))=FALSE,"",IF(ISNUMBER(G43),VLOOKUP($A43,List!$A$1:$B$29,2,FALSE)))</f>
        <v/>
      </c>
      <c r="T43" s="13" t="str">
        <f>IF(IF(ISNUMBER(H43),VLOOKUP($A43,List!$A$1:$B$29,2,FALSE))=FALSE,"",IF(ISNUMBER(H43),VLOOKUP($A43,List!$A$1:$B$29,2,FALSE)))</f>
        <v/>
      </c>
      <c r="X43" s="4">
        <v>25</v>
      </c>
      <c r="Y43" s="5"/>
      <c r="Z43" s="5" t="str">
        <f t="shared" ref="Z43:Z63" si="9">IF(ISNUMBER(C43),"include","")</f>
        <v/>
      </c>
      <c r="AA43" s="5" t="s">
        <v>145</v>
      </c>
      <c r="AB43" s="5" t="str">
        <f t="shared" ref="AB43:AB63" si="10">IF(ISNUMBER(E43),"include","")</f>
        <v/>
      </c>
      <c r="AC43" s="5" t="str">
        <f t="shared" ref="AC43:AC63" si="11">IF(ISNUMBER(F43),"include","")</f>
        <v/>
      </c>
      <c r="AD43" s="5" t="s">
        <v>145</v>
      </c>
      <c r="AE43" s="5" t="str">
        <f t="shared" ref="AE43:AE63" si="12">IF(ISNUMBER(H43),"include","")</f>
        <v/>
      </c>
    </row>
    <row r="44" spans="1:31" ht="15" thickBot="1" x14ac:dyDescent="0.35">
      <c r="A44" s="4">
        <v>8</v>
      </c>
      <c r="B44" s="6" t="s">
        <v>79</v>
      </c>
      <c r="C44" s="6" t="s">
        <v>79</v>
      </c>
      <c r="D44" s="6" t="s">
        <v>79</v>
      </c>
      <c r="E44" s="5" t="s">
        <v>79</v>
      </c>
      <c r="F44" s="6">
        <v>0.77</v>
      </c>
      <c r="G44" s="7" t="s">
        <v>79</v>
      </c>
      <c r="H44" s="7" t="s">
        <v>79</v>
      </c>
      <c r="I44" s="7"/>
      <c r="J44" s="7"/>
      <c r="K44" s="7"/>
      <c r="L44" s="7"/>
      <c r="M44" s="7"/>
      <c r="N44" s="13" t="str">
        <f>IF(IF(ISNUMBER(B44),VLOOKUP($A44,List!$A$1:$B$29,2,FALSE))=FALSE,"",IF(ISNUMBER(B44),VLOOKUP($A44,List!$A$1:$B$29,2,FALSE)))</f>
        <v/>
      </c>
      <c r="O44" s="13" t="str">
        <f>IF(IF(ISNUMBER(C44),VLOOKUP($A44,List!$A$1:$B$29,2,FALSE))=FALSE,"",IF(ISNUMBER(C44),VLOOKUP($A44,List!$A$1:$B$29,2,FALSE)))</f>
        <v/>
      </c>
      <c r="P44" s="13" t="str">
        <f>IF(IF(ISNUMBER(D44),VLOOKUP($A44,List!$A$1:$B$29,2,FALSE))=FALSE,"",IF(ISNUMBER(D44),VLOOKUP($A44,List!$A$1:$B$29,2,FALSE)))</f>
        <v/>
      </c>
      <c r="Q44" s="13" t="str">
        <f>IF(IF(ISNUMBER(E44),VLOOKUP($A44,List!$A$1:$B$29,2,FALSE))=FALSE,"",IF(ISNUMBER(E44),VLOOKUP($A44,List!$A$1:$B$29,2,FALSE)))</f>
        <v/>
      </c>
      <c r="R44" s="13" t="str">
        <f>IF(IF(ISNUMBER(F44),VLOOKUP($A44,List!$A$1:$B$29,2,FALSE))=FALSE,"",IF(ISNUMBER(F44),VLOOKUP($A44,List!$A$1:$B$29,2,FALSE)))</f>
        <v>When buying a boat, functionality is more important than style</v>
      </c>
      <c r="S44" s="13" t="str">
        <f>IF(IF(ISNUMBER(G44),VLOOKUP($A44,List!$A$1:$B$29,2,FALSE))=FALSE,"",IF(ISNUMBER(G44),VLOOKUP($A44,List!$A$1:$B$29,2,FALSE)))</f>
        <v/>
      </c>
      <c r="T44" s="13" t="str">
        <f>IF(IF(ISNUMBER(H44),VLOOKUP($A44,List!$A$1:$B$29,2,FALSE))=FALSE,"",IF(ISNUMBER(H44),VLOOKUP($A44,List!$A$1:$B$29,2,FALSE)))</f>
        <v/>
      </c>
      <c r="X44" s="4">
        <v>1</v>
      </c>
      <c r="Y44" s="5" t="str">
        <f t="shared" ref="Y44:Y63" si="13">IF(ISNUMBER(B44),"include","")</f>
        <v/>
      </c>
      <c r="Z44" s="5" t="str">
        <f t="shared" si="9"/>
        <v/>
      </c>
      <c r="AA44" s="5" t="str">
        <f t="shared" ref="AA44:AA58" si="14">IF(ISNUMBER(D44),"include","")</f>
        <v/>
      </c>
      <c r="AB44" s="5" t="str">
        <f t="shared" si="10"/>
        <v/>
      </c>
      <c r="AC44" s="5" t="str">
        <f t="shared" si="11"/>
        <v>include</v>
      </c>
      <c r="AD44" s="5" t="str">
        <f t="shared" ref="AD44:AD63" si="15">IF(ISNUMBER(G44),"include","")</f>
        <v/>
      </c>
      <c r="AE44" s="5" t="str">
        <f t="shared" si="12"/>
        <v/>
      </c>
    </row>
    <row r="45" spans="1:31" ht="15" thickBot="1" x14ac:dyDescent="0.35">
      <c r="A45" s="4">
        <v>23</v>
      </c>
      <c r="B45" s="6" t="s">
        <v>79</v>
      </c>
      <c r="C45" s="5" t="s">
        <v>79</v>
      </c>
      <c r="D45" s="6">
        <v>0.53</v>
      </c>
      <c r="E45" s="6" t="s">
        <v>79</v>
      </c>
      <c r="F45" s="6" t="s">
        <v>79</v>
      </c>
      <c r="G45" s="7" t="s">
        <v>79</v>
      </c>
      <c r="H45" s="7" t="s">
        <v>79</v>
      </c>
      <c r="I45" s="7"/>
      <c r="J45" s="7"/>
      <c r="K45" s="7"/>
      <c r="L45" s="7"/>
      <c r="M45" s="7"/>
      <c r="N45" s="13" t="str">
        <f>IF(IF(ISNUMBER(B45),VLOOKUP($A45,List!$A$1:$B$29,2,FALSE))=FALSE,"",IF(ISNUMBER(B45),VLOOKUP($A45,List!$A$1:$B$29,2,FALSE)))</f>
        <v/>
      </c>
      <c r="O45" s="13" t="str">
        <f>IF(IF(ISNUMBER(C45),VLOOKUP($A45,List!$A$1:$B$29,2,FALSE))=FALSE,"",IF(ISNUMBER(C45),VLOOKUP($A45,List!$A$1:$B$29,2,FALSE)))</f>
        <v/>
      </c>
      <c r="P45" s="13" t="str">
        <f>IF(IF(ISNUMBER(D45),VLOOKUP($A45,List!$A$1:$B$29,2,FALSE))=FALSE,"",IF(ISNUMBER(D45),VLOOKUP($A45,List!$A$1:$B$29,2,FALSE)))</f>
        <v>Boating allows me to excel in the sports that I am passionate about</v>
      </c>
      <c r="Q45" s="13" t="str">
        <f>IF(IF(ISNUMBER(E45),VLOOKUP($A45,List!$A$1:$B$29,2,FALSE))=FALSE,"",IF(ISNUMBER(E45),VLOOKUP($A45,List!$A$1:$B$29,2,FALSE)))</f>
        <v/>
      </c>
      <c r="R45" s="13" t="str">
        <f>IF(IF(ISNUMBER(F45),VLOOKUP($A45,List!$A$1:$B$29,2,FALSE))=FALSE,"",IF(ISNUMBER(F45),VLOOKUP($A45,List!$A$1:$B$29,2,FALSE)))</f>
        <v/>
      </c>
      <c r="S45" s="13" t="str">
        <f>IF(IF(ISNUMBER(G45),VLOOKUP($A45,List!$A$1:$B$29,2,FALSE))=FALSE,"",IF(ISNUMBER(G45),VLOOKUP($A45,List!$A$1:$B$29,2,FALSE)))</f>
        <v/>
      </c>
      <c r="T45" s="13" t="str">
        <f>IF(IF(ISNUMBER(H45),VLOOKUP($A45,List!$A$1:$B$29,2,FALSE))=FALSE,"",IF(ISNUMBER(H45),VLOOKUP($A45,List!$A$1:$B$29,2,FALSE)))</f>
        <v/>
      </c>
      <c r="X45" s="4">
        <v>23</v>
      </c>
      <c r="Y45" s="5" t="str">
        <f t="shared" si="13"/>
        <v/>
      </c>
      <c r="Z45" s="5" t="str">
        <f t="shared" si="9"/>
        <v/>
      </c>
      <c r="AA45" s="5" t="str">
        <f t="shared" si="14"/>
        <v>include</v>
      </c>
      <c r="AB45" s="5" t="str">
        <f t="shared" si="10"/>
        <v/>
      </c>
      <c r="AC45" s="5" t="str">
        <f t="shared" si="11"/>
        <v/>
      </c>
      <c r="AD45" s="5" t="str">
        <f t="shared" si="15"/>
        <v/>
      </c>
      <c r="AE45" s="5" t="str">
        <f t="shared" si="12"/>
        <v/>
      </c>
    </row>
    <row r="46" spans="1:31" ht="15" thickBot="1" x14ac:dyDescent="0.35">
      <c r="A46" s="4">
        <v>28</v>
      </c>
      <c r="B46" s="6" t="s">
        <v>79</v>
      </c>
      <c r="C46" s="5" t="s">
        <v>79</v>
      </c>
      <c r="D46" s="6">
        <v>0.71</v>
      </c>
      <c r="E46" s="6" t="s">
        <v>79</v>
      </c>
      <c r="F46" s="6" t="s">
        <v>79</v>
      </c>
      <c r="G46" s="7" t="s">
        <v>79</v>
      </c>
      <c r="H46" s="7" t="s">
        <v>79</v>
      </c>
      <c r="I46" s="7"/>
      <c r="J46" s="7"/>
      <c r="K46" s="7"/>
      <c r="L46" s="7"/>
      <c r="M46" s="7"/>
      <c r="N46" s="13" t="str">
        <f>IF(IF(ISNUMBER(B46),VLOOKUP($A46,List!$A$1:$B$29,2,FALSE))=FALSE,"",IF(ISNUMBER(B46),VLOOKUP($A46,List!$A$1:$B$29,2,FALSE)))</f>
        <v/>
      </c>
      <c r="O46" s="13" t="str">
        <f>IF(IF(ISNUMBER(C46),VLOOKUP($A46,List!$A$1:$B$29,2,FALSE))=FALSE,"",IF(ISNUMBER(C46),VLOOKUP($A46,List!$A$1:$B$29,2,FALSE)))</f>
        <v/>
      </c>
      <c r="P46" s="13" t="str">
        <f>IF(IF(ISNUMBER(D46),VLOOKUP($A46,List!$A$1:$B$29,2,FALSE))=FALSE,"",IF(ISNUMBER(D46),VLOOKUP($A46,List!$A$1:$B$29,2,FALSE)))</f>
        <v>Boating is my true passion in life</v>
      </c>
      <c r="Q46" s="13" t="str">
        <f>IF(IF(ISNUMBER(E46),VLOOKUP($A46,List!$A$1:$B$29,2,FALSE))=FALSE,"",IF(ISNUMBER(E46),VLOOKUP($A46,List!$A$1:$B$29,2,FALSE)))</f>
        <v/>
      </c>
      <c r="R46" s="13" t="str">
        <f>IF(IF(ISNUMBER(F46),VLOOKUP($A46,List!$A$1:$B$29,2,FALSE))=FALSE,"",IF(ISNUMBER(F46),VLOOKUP($A46,List!$A$1:$B$29,2,FALSE)))</f>
        <v/>
      </c>
      <c r="S46" s="13" t="str">
        <f>IF(IF(ISNUMBER(G46),VLOOKUP($A46,List!$A$1:$B$29,2,FALSE))=FALSE,"",IF(ISNUMBER(G46),VLOOKUP($A46,List!$A$1:$B$29,2,FALSE)))</f>
        <v/>
      </c>
      <c r="T46" s="13" t="str">
        <f>IF(IF(ISNUMBER(H46),VLOOKUP($A46,List!$A$1:$B$29,2,FALSE))=FALSE,"",IF(ISNUMBER(H46),VLOOKUP($A46,List!$A$1:$B$29,2,FALSE)))</f>
        <v/>
      </c>
      <c r="X46" s="4">
        <v>28</v>
      </c>
      <c r="Y46" s="5" t="str">
        <f t="shared" si="13"/>
        <v/>
      </c>
      <c r="Z46" s="5" t="str">
        <f t="shared" si="9"/>
        <v/>
      </c>
      <c r="AA46" s="5" t="str">
        <f t="shared" si="14"/>
        <v>include</v>
      </c>
      <c r="AB46" s="5" t="str">
        <f t="shared" si="10"/>
        <v/>
      </c>
      <c r="AC46" s="5" t="str">
        <f t="shared" si="11"/>
        <v/>
      </c>
      <c r="AD46" s="5" t="str">
        <f t="shared" si="15"/>
        <v/>
      </c>
      <c r="AE46" s="5" t="str">
        <f t="shared" si="12"/>
        <v/>
      </c>
    </row>
    <row r="47" spans="1:31" ht="15" thickBot="1" x14ac:dyDescent="0.35">
      <c r="A47" s="4">
        <v>1</v>
      </c>
      <c r="B47" s="6" t="s">
        <v>79</v>
      </c>
      <c r="C47" s="6" t="s">
        <v>79</v>
      </c>
      <c r="D47" s="6" t="s">
        <v>79</v>
      </c>
      <c r="E47" s="6" t="s">
        <v>79</v>
      </c>
      <c r="F47" s="6" t="s">
        <v>79</v>
      </c>
      <c r="G47" s="7" t="s">
        <v>79</v>
      </c>
      <c r="H47" s="7">
        <v>0.88</v>
      </c>
      <c r="I47" s="7"/>
      <c r="J47" s="7"/>
      <c r="K47" s="7"/>
      <c r="L47" s="7"/>
      <c r="M47" s="7"/>
      <c r="N47" s="13" t="str">
        <f>IF(IF(ISNUMBER(B47),VLOOKUP($A47,List!$A$1:$B$29,2,FALSE))=FALSE,"",IF(ISNUMBER(B47),VLOOKUP($A47,List!$A$1:$B$29,2,FALSE)))</f>
        <v/>
      </c>
      <c r="O47" s="13" t="str">
        <f>IF(IF(ISNUMBER(C47),VLOOKUP($A47,List!$A$1:$B$29,2,FALSE))=FALSE,"",IF(ISNUMBER(C47),VLOOKUP($A47,List!$A$1:$B$29,2,FALSE)))</f>
        <v/>
      </c>
      <c r="P47" s="13" t="str">
        <f>IF(IF(ISNUMBER(D47),VLOOKUP($A47,List!$A$1:$B$29,2,FALSE))=FALSE,"",IF(ISNUMBER(D47),VLOOKUP($A47,List!$A$1:$B$29,2,FALSE)))</f>
        <v/>
      </c>
      <c r="Q47" s="13" t="str">
        <f>IF(IF(ISNUMBER(E47),VLOOKUP($A47,List!$A$1:$B$29,2,FALSE))=FALSE,"",IF(ISNUMBER(E47),VLOOKUP($A47,List!$A$1:$B$29,2,FALSE)))</f>
        <v/>
      </c>
      <c r="R47" s="13" t="str">
        <f>IF(IF(ISNUMBER(F47),VLOOKUP($A47,List!$A$1:$B$29,2,FALSE))=FALSE,"",IF(ISNUMBER(F47),VLOOKUP($A47,List!$A$1:$B$29,2,FALSE)))</f>
        <v/>
      </c>
      <c r="S47" s="13" t="str">
        <f>IF(IF(ISNUMBER(G47),VLOOKUP($A47,List!$A$1:$B$29,2,FALSE))=FALSE,"",IF(ISNUMBER(G47),VLOOKUP($A47,List!$A$1:$B$29,2,FALSE)))</f>
        <v/>
      </c>
      <c r="T47" s="13" t="str">
        <f>IF(IF(ISNUMBER(H47),VLOOKUP($A47,List!$A$1:$B$29,2,FALSE))=FALSE,"",IF(ISNUMBER(H47),VLOOKUP($A47,List!$A$1:$B$29,2,FALSE)))</f>
        <v>When buying a boat, I do a lot of shopping around and visit multiple dealers</v>
      </c>
      <c r="X47" s="4">
        <v>8</v>
      </c>
      <c r="Y47" s="5" t="str">
        <f t="shared" si="13"/>
        <v/>
      </c>
      <c r="Z47" s="5" t="str">
        <f t="shared" si="9"/>
        <v/>
      </c>
      <c r="AA47" s="5" t="str">
        <f t="shared" si="14"/>
        <v/>
      </c>
      <c r="AB47" s="5" t="str">
        <f t="shared" si="10"/>
        <v/>
      </c>
      <c r="AC47" s="5" t="str">
        <f t="shared" si="11"/>
        <v/>
      </c>
      <c r="AD47" s="5" t="str">
        <f t="shared" si="15"/>
        <v/>
      </c>
      <c r="AE47" s="5" t="str">
        <f t="shared" si="12"/>
        <v>include</v>
      </c>
    </row>
    <row r="48" spans="1:31" ht="15" thickBot="1" x14ac:dyDescent="0.35">
      <c r="A48" s="4">
        <v>27</v>
      </c>
      <c r="B48" s="6" t="s">
        <v>79</v>
      </c>
      <c r="C48" s="6" t="s">
        <v>79</v>
      </c>
      <c r="D48" s="6">
        <v>0.75</v>
      </c>
      <c r="E48" s="6" t="s">
        <v>79</v>
      </c>
      <c r="F48" s="6" t="s">
        <v>79</v>
      </c>
      <c r="G48" s="7" t="s">
        <v>79</v>
      </c>
      <c r="H48" s="7" t="s">
        <v>79</v>
      </c>
      <c r="I48" s="7"/>
      <c r="J48" s="7"/>
      <c r="K48" s="7"/>
      <c r="L48" s="7"/>
      <c r="M48" s="7"/>
      <c r="N48" s="13" t="str">
        <f>IF(IF(ISNUMBER(B48),VLOOKUP($A48,List!$A$1:$B$29,2,FALSE))=FALSE,"",IF(ISNUMBER(B48),VLOOKUP($A48,List!$A$1:$B$29,2,FALSE)))</f>
        <v/>
      </c>
      <c r="O48" s="13" t="str">
        <f>IF(IF(ISNUMBER(C48),VLOOKUP($A48,List!$A$1:$B$29,2,FALSE))=FALSE,"",IF(ISNUMBER(C48),VLOOKUP($A48,List!$A$1:$B$29,2,FALSE)))</f>
        <v/>
      </c>
      <c r="P48" s="13" t="str">
        <f>IF(IF(ISNUMBER(D48),VLOOKUP($A48,List!$A$1:$B$29,2,FALSE))=FALSE,"",IF(ISNUMBER(D48),VLOOKUP($A48,List!$A$1:$B$29,2,FALSE)))</f>
        <v>Boating is the number one thing I do with my spare time</v>
      </c>
      <c r="Q48" s="13" t="str">
        <f>IF(IF(ISNUMBER(E48),VLOOKUP($A48,List!$A$1:$B$29,2,FALSE))=FALSE,"",IF(ISNUMBER(E48),VLOOKUP($A48,List!$A$1:$B$29,2,FALSE)))</f>
        <v/>
      </c>
      <c r="R48" s="13" t="str">
        <f>IF(IF(ISNUMBER(F48),VLOOKUP($A48,List!$A$1:$B$29,2,FALSE))=FALSE,"",IF(ISNUMBER(F48),VLOOKUP($A48,List!$A$1:$B$29,2,FALSE)))</f>
        <v/>
      </c>
      <c r="S48" s="13" t="str">
        <f>IF(IF(ISNUMBER(G48),VLOOKUP($A48,List!$A$1:$B$29,2,FALSE))=FALSE,"",IF(ISNUMBER(G48),VLOOKUP($A48,List!$A$1:$B$29,2,FALSE)))</f>
        <v/>
      </c>
      <c r="T48" s="13" t="str">
        <f>IF(IF(ISNUMBER(H48),VLOOKUP($A48,List!$A$1:$B$29,2,FALSE))=FALSE,"",IF(ISNUMBER(H48),VLOOKUP($A48,List!$A$1:$B$29,2,FALSE)))</f>
        <v/>
      </c>
      <c r="X48" s="4">
        <v>27</v>
      </c>
      <c r="Y48" s="5" t="str">
        <f t="shared" si="13"/>
        <v/>
      </c>
      <c r="Z48" s="5" t="str">
        <f t="shared" si="9"/>
        <v/>
      </c>
      <c r="AA48" s="5" t="str">
        <f t="shared" si="14"/>
        <v>include</v>
      </c>
      <c r="AB48" s="5" t="str">
        <f t="shared" si="10"/>
        <v/>
      </c>
      <c r="AC48" s="5" t="str">
        <f t="shared" si="11"/>
        <v/>
      </c>
      <c r="AD48" s="5" t="str">
        <f t="shared" si="15"/>
        <v/>
      </c>
      <c r="AE48" s="5" t="str">
        <f t="shared" si="12"/>
        <v/>
      </c>
    </row>
    <row r="49" spans="1:31" ht="15" thickBot="1" x14ac:dyDescent="0.35">
      <c r="A49" s="4">
        <v>11</v>
      </c>
      <c r="B49" s="6" t="s">
        <v>79</v>
      </c>
      <c r="C49" s="5" t="s">
        <v>79</v>
      </c>
      <c r="D49" s="6" t="s">
        <v>79</v>
      </c>
      <c r="E49" s="6" t="s">
        <v>79</v>
      </c>
      <c r="F49" s="6" t="s">
        <v>79</v>
      </c>
      <c r="G49" s="7">
        <v>-0.65</v>
      </c>
      <c r="H49" s="7" t="s">
        <v>79</v>
      </c>
      <c r="I49" s="7"/>
      <c r="J49" s="7"/>
      <c r="K49" s="7"/>
      <c r="L49" s="7"/>
      <c r="M49" s="7"/>
      <c r="N49" s="13" t="str">
        <f>IF(IF(ISNUMBER(B49),VLOOKUP($A49,List!$A$1:$B$29,2,FALSE))=FALSE,"",IF(ISNUMBER(B49),VLOOKUP($A49,List!$A$1:$B$29,2,FALSE)))</f>
        <v/>
      </c>
      <c r="O49" s="13" t="str">
        <f>IF(IF(ISNUMBER(C49),VLOOKUP($A49,List!$A$1:$B$29,2,FALSE))=FALSE,"",IF(ISNUMBER(C49),VLOOKUP($A49,List!$A$1:$B$29,2,FALSE)))</f>
        <v/>
      </c>
      <c r="P49" s="13" t="str">
        <f>IF(IF(ISNUMBER(D49),VLOOKUP($A49,List!$A$1:$B$29,2,FALSE))=FALSE,"",IF(ISNUMBER(D49),VLOOKUP($A49,List!$A$1:$B$29,2,FALSE)))</f>
        <v/>
      </c>
      <c r="Q49" s="13" t="str">
        <f>IF(IF(ISNUMBER(E49),VLOOKUP($A49,List!$A$1:$B$29,2,FALSE))=FALSE,"",IF(ISNUMBER(E49),VLOOKUP($A49,List!$A$1:$B$29,2,FALSE)))</f>
        <v/>
      </c>
      <c r="R49" s="13" t="str">
        <f>IF(IF(ISNUMBER(F49),VLOOKUP($A49,List!$A$1:$B$29,2,FALSE))=FALSE,"",IF(ISNUMBER(F49),VLOOKUP($A49,List!$A$1:$B$29,2,FALSE)))</f>
        <v/>
      </c>
      <c r="S49" s="13" t="str">
        <f>IF(IF(ISNUMBER(G49),VLOOKUP($A49,List!$A$1:$B$29,2,FALSE))=FALSE,"",IF(ISNUMBER(G49),VLOOKUP($A49,List!$A$1:$B$29,2,FALSE)))</f>
        <v>I tend to perform minor boat repairs and maintenance on my own</v>
      </c>
      <c r="T49" s="13" t="str">
        <f>IF(IF(ISNUMBER(H49),VLOOKUP($A49,List!$A$1:$B$29,2,FALSE))=FALSE,"",IF(ISNUMBER(H49),VLOOKUP($A49,List!$A$1:$B$29,2,FALSE)))</f>
        <v/>
      </c>
      <c r="X49" s="4">
        <v>10</v>
      </c>
      <c r="Y49" s="5" t="str">
        <f t="shared" si="13"/>
        <v/>
      </c>
      <c r="Z49" s="5" t="str">
        <f t="shared" si="9"/>
        <v/>
      </c>
      <c r="AA49" s="5" t="str">
        <f t="shared" si="14"/>
        <v/>
      </c>
      <c r="AB49" s="5" t="str">
        <f t="shared" si="10"/>
        <v/>
      </c>
      <c r="AC49" s="5" t="str">
        <f t="shared" si="11"/>
        <v/>
      </c>
      <c r="AD49" s="5" t="str">
        <f t="shared" si="15"/>
        <v>include</v>
      </c>
      <c r="AE49" s="5" t="str">
        <f t="shared" si="12"/>
        <v/>
      </c>
    </row>
    <row r="50" spans="1:31" ht="15" thickBot="1" x14ac:dyDescent="0.35">
      <c r="A50" s="4">
        <v>20</v>
      </c>
      <c r="B50" s="6" t="s">
        <v>79</v>
      </c>
      <c r="C50" s="6" t="s">
        <v>79</v>
      </c>
      <c r="D50" s="6">
        <v>0.61</v>
      </c>
      <c r="E50" s="5" t="s">
        <v>79</v>
      </c>
      <c r="F50" s="6" t="s">
        <v>79</v>
      </c>
      <c r="G50" s="7" t="s">
        <v>79</v>
      </c>
      <c r="H50" s="7" t="s">
        <v>79</v>
      </c>
      <c r="I50" s="7"/>
      <c r="J50" s="7"/>
      <c r="K50" s="7"/>
      <c r="L50" s="7"/>
      <c r="M50" s="7"/>
      <c r="N50" s="13" t="str">
        <f>IF(IF(ISNUMBER(B50),VLOOKUP($A50,List!$A$1:$B$29,2,FALSE))=FALSE,"",IF(ISNUMBER(B50),VLOOKUP($A50,List!$A$1:$B$29,2,FALSE)))</f>
        <v/>
      </c>
      <c r="O50" s="13" t="str">
        <f>IF(IF(ISNUMBER(C50),VLOOKUP($A50,List!$A$1:$B$29,2,FALSE))=FALSE,"",IF(ISNUMBER(C50),VLOOKUP($A50,List!$A$1:$B$29,2,FALSE)))</f>
        <v/>
      </c>
      <c r="P50" s="13" t="str">
        <f>IF(IF(ISNUMBER(D50),VLOOKUP($A50,List!$A$1:$B$29,2,FALSE))=FALSE,"",IF(ISNUMBER(D50),VLOOKUP($A50,List!$A$1:$B$29,2,FALSE)))</f>
        <v>When not on my boat, I often find myself doing boating related activities</v>
      </c>
      <c r="Q50" s="19" t="str">
        <f>IF(IF(ISNUMBER(E50),VLOOKUP($A50,List!$A$1:$B$29,2,FALSE))=FALSE,"",IF(ISNUMBER(E50),VLOOKUP($A50,List!$A$1:$B$29,2,FALSE)))</f>
        <v/>
      </c>
      <c r="R50" s="13" t="str">
        <f>IF(IF(ISNUMBER(F50),VLOOKUP($A50,List!$A$1:$B$29,2,FALSE))=FALSE,"",IF(ISNUMBER(F50),VLOOKUP($A50,List!$A$1:$B$29,2,FALSE)))</f>
        <v/>
      </c>
      <c r="S50" s="13" t="str">
        <f>IF(IF(ISNUMBER(G50),VLOOKUP($A50,List!$A$1:$B$29,2,FALSE))=FALSE,"",IF(ISNUMBER(G50),VLOOKUP($A50,List!$A$1:$B$29,2,FALSE)))</f>
        <v/>
      </c>
      <c r="T50" s="13" t="str">
        <f>IF(IF(ISNUMBER(H50),VLOOKUP($A50,List!$A$1:$B$29,2,FALSE))=FALSE,"",IF(ISNUMBER(H50),VLOOKUP($A50,List!$A$1:$B$29,2,FALSE)))</f>
        <v/>
      </c>
      <c r="X50" s="4">
        <v>20</v>
      </c>
      <c r="Y50" s="5" t="str">
        <f t="shared" si="13"/>
        <v/>
      </c>
      <c r="Z50" s="5" t="str">
        <f t="shared" si="9"/>
        <v/>
      </c>
      <c r="AA50" s="5" t="str">
        <f t="shared" si="14"/>
        <v>include</v>
      </c>
      <c r="AB50" s="5" t="str">
        <f t="shared" si="10"/>
        <v/>
      </c>
      <c r="AC50" s="5" t="str">
        <f t="shared" si="11"/>
        <v/>
      </c>
      <c r="AD50" s="5" t="str">
        <f t="shared" si="15"/>
        <v/>
      </c>
      <c r="AE50" s="5" t="str">
        <f t="shared" si="12"/>
        <v/>
      </c>
    </row>
    <row r="51" spans="1:31" ht="15" thickBot="1" x14ac:dyDescent="0.35">
      <c r="A51" s="4">
        <v>4</v>
      </c>
      <c r="B51" s="6" t="s">
        <v>79</v>
      </c>
      <c r="C51" s="6" t="s">
        <v>79</v>
      </c>
      <c r="D51" s="6" t="s">
        <v>79</v>
      </c>
      <c r="E51" s="5">
        <v>0.72</v>
      </c>
      <c r="F51" s="6" t="s">
        <v>79</v>
      </c>
      <c r="G51" s="7" t="s">
        <v>79</v>
      </c>
      <c r="H51" s="7" t="s">
        <v>79</v>
      </c>
      <c r="I51" s="7"/>
      <c r="J51" s="7"/>
      <c r="K51" s="7"/>
      <c r="L51" s="7"/>
      <c r="M51" s="7"/>
      <c r="N51" s="13" t="str">
        <f>IF(IF(ISNUMBER(B51),VLOOKUP($A51,List!$A$1:$B$29,2,FALSE))=FALSE,"",IF(ISNUMBER(B51),VLOOKUP($A51,List!$A$1:$B$29,2,FALSE)))</f>
        <v/>
      </c>
      <c r="O51" s="13" t="str">
        <f>IF(IF(ISNUMBER(C51),VLOOKUP($A51,List!$A$1:$B$29,2,FALSE))=FALSE,"",IF(ISNUMBER(C51),VLOOKUP($A51,List!$A$1:$B$29,2,FALSE)))</f>
        <v/>
      </c>
      <c r="P51" s="13" t="str">
        <f>IF(IF(ISNUMBER(D51),VLOOKUP($A51,List!$A$1:$B$29,2,FALSE))=FALSE,"",IF(ISNUMBER(D51),VLOOKUP($A51,List!$A$1:$B$29,2,FALSE)))</f>
        <v/>
      </c>
      <c r="Q51" s="19" t="str">
        <f>IF(IF(ISNUMBER(E51),VLOOKUP($A51,List!$A$1:$B$29,2,FALSE))=FALSE,"",IF(ISNUMBER(E51),VLOOKUP($A51,List!$A$1:$B$29,2,FALSE)))</f>
        <v>I only consider buying a boat from a reputable brand</v>
      </c>
      <c r="R51" s="13" t="str">
        <f>IF(IF(ISNUMBER(F51),VLOOKUP($A51,List!$A$1:$B$29,2,FALSE))=FALSE,"",IF(ISNUMBER(F51),VLOOKUP($A51,List!$A$1:$B$29,2,FALSE)))</f>
        <v/>
      </c>
      <c r="S51" s="13" t="str">
        <f>IF(IF(ISNUMBER(G51),VLOOKUP($A51,List!$A$1:$B$29,2,FALSE))=FALSE,"",IF(ISNUMBER(G51),VLOOKUP($A51,List!$A$1:$B$29,2,FALSE)))</f>
        <v/>
      </c>
      <c r="T51" s="13" t="str">
        <f>IF(IF(ISNUMBER(H51),VLOOKUP($A51,List!$A$1:$B$29,2,FALSE))=FALSE,"",IF(ISNUMBER(H51),VLOOKUP($A51,List!$A$1:$B$29,2,FALSE)))</f>
        <v/>
      </c>
      <c r="X51" s="4">
        <v>4</v>
      </c>
      <c r="Y51" s="5" t="str">
        <f t="shared" si="13"/>
        <v/>
      </c>
      <c r="Z51" s="5" t="str">
        <f t="shared" si="9"/>
        <v/>
      </c>
      <c r="AA51" s="5" t="str">
        <f t="shared" si="14"/>
        <v/>
      </c>
      <c r="AB51" s="5" t="str">
        <f t="shared" si="10"/>
        <v>include</v>
      </c>
      <c r="AC51" s="5" t="str">
        <f t="shared" si="11"/>
        <v/>
      </c>
      <c r="AD51" s="5" t="str">
        <f t="shared" si="15"/>
        <v/>
      </c>
      <c r="AE51" s="5" t="str">
        <f t="shared" si="12"/>
        <v/>
      </c>
    </row>
    <row r="52" spans="1:31" ht="15" thickBot="1" x14ac:dyDescent="0.35">
      <c r="A52" s="21">
        <v>15</v>
      </c>
      <c r="B52" s="6" t="s">
        <v>79</v>
      </c>
      <c r="C52" s="6" t="s">
        <v>79</v>
      </c>
      <c r="D52" s="6" t="s">
        <v>79</v>
      </c>
      <c r="E52" s="6" t="s">
        <v>79</v>
      </c>
      <c r="F52" s="5" t="s">
        <v>79</v>
      </c>
      <c r="G52" s="7" t="s">
        <v>79</v>
      </c>
      <c r="H52" s="7" t="s">
        <v>79</v>
      </c>
      <c r="I52" s="7"/>
      <c r="J52" s="7"/>
      <c r="K52" s="7"/>
      <c r="L52" s="7"/>
      <c r="M52" s="7"/>
      <c r="N52" s="13" t="str">
        <f>IF(IF(ISNUMBER(B52),VLOOKUP($A52,List!$A$1:$B$29,2,FALSE))=FALSE,"",IF(ISNUMBER(B52),VLOOKUP($A52,List!$A$1:$B$29,2,FALSE)))</f>
        <v/>
      </c>
      <c r="O52" s="13" t="str">
        <f>IF(IF(ISNUMBER(C52),VLOOKUP($A52,List!$A$1:$B$29,2,FALSE))=FALSE,"",IF(ISNUMBER(C52),VLOOKUP($A52,List!$A$1:$B$29,2,FALSE)))</f>
        <v/>
      </c>
      <c r="P52" s="13" t="str">
        <f>IF(IF(ISNUMBER(D52),VLOOKUP($A52,List!$A$1:$B$29,2,FALSE))=FALSE,"",IF(ISNUMBER(D52),VLOOKUP($A52,List!$A$1:$B$29,2,FALSE)))</f>
        <v/>
      </c>
      <c r="Q52" s="13" t="str">
        <f>IF(IF(ISNUMBER(E52),VLOOKUP($A52,List!$A$1:$B$29,2,FALSE))=FALSE,"",IF(ISNUMBER(E52),VLOOKUP($A52,List!$A$1:$B$29,2,FALSE)))</f>
        <v/>
      </c>
      <c r="R52" s="13" t="str">
        <f>IF(IF(ISNUMBER(F52),VLOOKUP($A52,List!$A$1:$B$29,2,FALSE))=FALSE,"",IF(ISNUMBER(F52),VLOOKUP($A52,List!$A$1:$B$29,2,FALSE)))</f>
        <v/>
      </c>
      <c r="S52" s="13" t="str">
        <f>IF(IF(ISNUMBER(G52),VLOOKUP($A52,List!$A$1:$B$29,2,FALSE))=FALSE,"",IF(ISNUMBER(G52),VLOOKUP($A52,List!$A$1:$B$29,2,FALSE)))</f>
        <v/>
      </c>
      <c r="T52" s="13" t="str">
        <f>IF(IF(ISNUMBER(H52),VLOOKUP($A52,List!$A$1:$B$29,2,FALSE))=FALSE,"",IF(ISNUMBER(H52),VLOOKUP($A52,List!$A$1:$B$29,2,FALSE)))</f>
        <v/>
      </c>
      <c r="X52" s="4">
        <v>3</v>
      </c>
      <c r="Y52" s="5" t="str">
        <f t="shared" si="13"/>
        <v/>
      </c>
      <c r="Z52" s="5" t="str">
        <f t="shared" si="9"/>
        <v/>
      </c>
      <c r="AA52" s="5" t="str">
        <f t="shared" si="14"/>
        <v/>
      </c>
      <c r="AB52" s="5" t="str">
        <f t="shared" si="10"/>
        <v/>
      </c>
      <c r="AC52" s="5" t="str">
        <f t="shared" si="11"/>
        <v/>
      </c>
      <c r="AD52" s="5" t="str">
        <f t="shared" si="15"/>
        <v/>
      </c>
      <c r="AE52" s="5" t="str">
        <f t="shared" si="12"/>
        <v/>
      </c>
    </row>
    <row r="53" spans="1:31" ht="15" thickBot="1" x14ac:dyDescent="0.35">
      <c r="A53" s="4">
        <v>10</v>
      </c>
      <c r="B53" s="6" t="s">
        <v>79</v>
      </c>
      <c r="C53" s="6" t="s">
        <v>79</v>
      </c>
      <c r="D53" s="6" t="s">
        <v>79</v>
      </c>
      <c r="E53" s="6" t="s">
        <v>79</v>
      </c>
      <c r="F53" s="6" t="s">
        <v>79</v>
      </c>
      <c r="G53" s="7">
        <v>0.7</v>
      </c>
      <c r="H53" s="7" t="s">
        <v>79</v>
      </c>
      <c r="I53" s="7"/>
      <c r="J53" s="7"/>
      <c r="K53" s="7"/>
      <c r="L53" s="7"/>
      <c r="M53" s="8"/>
      <c r="N53" s="13" t="str">
        <f>IF(IF(ISNUMBER(B53),VLOOKUP($A53,List!$A$1:$B$29,2,FALSE))=FALSE,"",IF(ISNUMBER(B53),VLOOKUP($A53,List!$A$1:$B$29,2,FALSE)))</f>
        <v/>
      </c>
      <c r="O53" s="13" t="str">
        <f>IF(IF(ISNUMBER(C53),VLOOKUP($A53,List!$A$1:$B$29,2,FALSE))=FALSE,"",IF(ISNUMBER(C53),VLOOKUP($A53,List!$A$1:$B$29,2,FALSE)))</f>
        <v/>
      </c>
      <c r="P53" s="13" t="str">
        <f>IF(IF(ISNUMBER(D53),VLOOKUP($A53,List!$A$1:$B$29,2,FALSE))=FALSE,"",IF(ISNUMBER(D53),VLOOKUP($A53,List!$A$1:$B$29,2,FALSE)))</f>
        <v/>
      </c>
      <c r="Q53" s="13" t="str">
        <f>IF(IF(ISNUMBER(E53),VLOOKUP($A53,List!$A$1:$B$29,2,FALSE))=FALSE,"",IF(ISNUMBER(E53),VLOOKUP($A53,List!$A$1:$B$29,2,FALSE)))</f>
        <v/>
      </c>
      <c r="R53" s="13" t="str">
        <f>IF(IF(ISNUMBER(F53),VLOOKUP($A53,List!$A$1:$B$29,2,FALSE))=FALSE,"",IF(ISNUMBER(F53),VLOOKUP($A53,List!$A$1:$B$29,2,FALSE)))</f>
        <v/>
      </c>
      <c r="S53" s="13" t="str">
        <f>IF(IF(ISNUMBER(G53),VLOOKUP($A53,List!$A$1:$B$29,2,FALSE))=FALSE,"",IF(ISNUMBER(G53),VLOOKUP($A53,List!$A$1:$B$29,2,FALSE)))</f>
        <v>When buying a boat, I rely more on expert opinion than my own</v>
      </c>
      <c r="T53" s="13" t="str">
        <f>IF(IF(ISNUMBER(H53),VLOOKUP($A53,List!$A$1:$B$29,2,FALSE))=FALSE,"",IF(ISNUMBER(H53),VLOOKUP($A53,List!$A$1:$B$29,2,FALSE)))</f>
        <v/>
      </c>
      <c r="X53" s="4">
        <v>9</v>
      </c>
      <c r="Y53" s="5" t="str">
        <f t="shared" si="13"/>
        <v/>
      </c>
      <c r="Z53" s="5" t="str">
        <f t="shared" si="9"/>
        <v/>
      </c>
      <c r="AA53" s="5" t="str">
        <f t="shared" si="14"/>
        <v/>
      </c>
      <c r="AB53" s="5" t="str">
        <f t="shared" si="10"/>
        <v/>
      </c>
      <c r="AC53" s="5" t="str">
        <f t="shared" si="11"/>
        <v/>
      </c>
      <c r="AD53" s="5" t="str">
        <f t="shared" si="15"/>
        <v>include</v>
      </c>
      <c r="AE53" s="5" t="str">
        <f t="shared" si="12"/>
        <v/>
      </c>
    </row>
    <row r="54" spans="1:31" ht="15" thickBot="1" x14ac:dyDescent="0.35">
      <c r="A54" s="4">
        <v>3</v>
      </c>
      <c r="B54" s="6" t="s">
        <v>79</v>
      </c>
      <c r="C54" s="6">
        <v>0.72</v>
      </c>
      <c r="D54" s="6" t="s">
        <v>79</v>
      </c>
      <c r="E54" s="6" t="s">
        <v>79</v>
      </c>
      <c r="F54" s="6" t="s">
        <v>79</v>
      </c>
      <c r="G54" s="8" t="s">
        <v>79</v>
      </c>
      <c r="H54" s="7" t="s">
        <v>79</v>
      </c>
      <c r="I54" s="7"/>
      <c r="J54" s="7"/>
      <c r="K54" s="7"/>
      <c r="L54" s="7"/>
      <c r="M54" s="7"/>
      <c r="N54" s="13" t="str">
        <f>IF(IF(ISNUMBER(B54),VLOOKUP($A54,List!$A$1:$B$29,2,FALSE))=FALSE,"",IF(ISNUMBER(B54),VLOOKUP($A54,List!$A$1:$B$29,2,FALSE)))</f>
        <v/>
      </c>
      <c r="O54" s="13" t="str">
        <f>IF(IF(ISNUMBER(C54),VLOOKUP($A54,List!$A$1:$B$29,2,FALSE))=FALSE,"",IF(ISNUMBER(C54),VLOOKUP($A54,List!$A$1:$B$29,2,FALSE)))</f>
        <v>The brand of the boat I buy says a lot about who I am</v>
      </c>
      <c r="P54" s="13" t="str">
        <f>IF(IF(ISNUMBER(D54),VLOOKUP($A54,List!$A$1:$B$29,2,FALSE))=FALSE,"",IF(ISNUMBER(D54),VLOOKUP($A54,List!$A$1:$B$29,2,FALSE)))</f>
        <v/>
      </c>
      <c r="Q54" s="13" t="str">
        <f>IF(IF(ISNUMBER(E54),VLOOKUP($A54,List!$A$1:$B$29,2,FALSE))=FALSE,"",IF(ISNUMBER(E54),VLOOKUP($A54,List!$A$1:$B$29,2,FALSE)))</f>
        <v/>
      </c>
      <c r="R54" s="13" t="str">
        <f>IF(IF(ISNUMBER(F54),VLOOKUP($A54,List!$A$1:$B$29,2,FALSE))=FALSE,"",IF(ISNUMBER(F54),VLOOKUP($A54,List!$A$1:$B$29,2,FALSE)))</f>
        <v/>
      </c>
      <c r="S54" s="13" t="str">
        <f>IF(IF(ISNUMBER(G54),VLOOKUP($A54,List!$A$1:$B$29,2,FALSE))=FALSE,"",IF(ISNUMBER(G54),VLOOKUP($A54,List!$A$1:$B$29,2,FALSE)))</f>
        <v/>
      </c>
      <c r="T54" s="13" t="str">
        <f>IF(IF(ISNUMBER(H54),VLOOKUP($A54,List!$A$1:$B$29,2,FALSE))=FALSE,"",IF(ISNUMBER(H54),VLOOKUP($A54,List!$A$1:$B$29,2,FALSE)))</f>
        <v/>
      </c>
      <c r="X54" s="4">
        <v>11</v>
      </c>
      <c r="Y54" s="5" t="str">
        <f t="shared" si="13"/>
        <v/>
      </c>
      <c r="Z54" s="5" t="str">
        <f t="shared" si="9"/>
        <v>include</v>
      </c>
      <c r="AA54" s="5" t="str">
        <f t="shared" si="14"/>
        <v/>
      </c>
      <c r="AB54" s="5" t="str">
        <f t="shared" si="10"/>
        <v/>
      </c>
      <c r="AC54" s="5" t="str">
        <f t="shared" si="11"/>
        <v/>
      </c>
      <c r="AD54" s="5" t="str">
        <f t="shared" si="15"/>
        <v/>
      </c>
      <c r="AE54" s="5" t="str">
        <f t="shared" si="12"/>
        <v/>
      </c>
    </row>
    <row r="55" spans="1:31" ht="15" thickBot="1" x14ac:dyDescent="0.35">
      <c r="A55" s="4">
        <v>5</v>
      </c>
      <c r="B55" s="6" t="s">
        <v>79</v>
      </c>
      <c r="C55" s="6" t="s">
        <v>79</v>
      </c>
      <c r="D55" s="5" t="s">
        <v>79</v>
      </c>
      <c r="E55" s="6">
        <v>0.6</v>
      </c>
      <c r="F55" s="6" t="s">
        <v>79</v>
      </c>
      <c r="G55" s="7" t="s">
        <v>79</v>
      </c>
      <c r="H55" s="7" t="s">
        <v>79</v>
      </c>
      <c r="I55" s="7"/>
      <c r="J55" s="7"/>
      <c r="K55" s="7"/>
      <c r="L55" s="7"/>
      <c r="M55" s="7"/>
      <c r="N55" s="13" t="str">
        <f>IF(IF(ISNUMBER(B55),VLOOKUP($A55,List!$A$1:$B$29,2,FALSE))=FALSE,"",IF(ISNUMBER(B55),VLOOKUP($A55,List!$A$1:$B$29,2,FALSE)))</f>
        <v/>
      </c>
      <c r="O55" s="13" t="str">
        <f>IF(IF(ISNUMBER(C55),VLOOKUP($A55,List!$A$1:$B$29,2,FALSE))=FALSE,"",IF(ISNUMBER(C55),VLOOKUP($A55,List!$A$1:$B$29,2,FALSE)))</f>
        <v/>
      </c>
      <c r="P55" s="13" t="str">
        <f>IF(IF(ISNUMBER(D55),VLOOKUP($A55,List!$A$1:$B$29,2,FALSE))=FALSE,"",IF(ISNUMBER(D55),VLOOKUP($A55,List!$A$1:$B$29,2,FALSE)))</f>
        <v/>
      </c>
      <c r="Q55" s="13" t="str">
        <f>IF(IF(ISNUMBER(E55),VLOOKUP($A55,List!$A$1:$B$29,2,FALSE))=FALSE,"",IF(ISNUMBER(E55),VLOOKUP($A55,List!$A$1:$B$29,2,FALSE)))</f>
        <v>I am willing to pay a premium for a brand with a reputation for high quality</v>
      </c>
      <c r="R55" s="13" t="str">
        <f>IF(IF(ISNUMBER(F55),VLOOKUP($A55,List!$A$1:$B$29,2,FALSE))=FALSE,"",IF(ISNUMBER(F55),VLOOKUP($A55,List!$A$1:$B$29,2,FALSE)))</f>
        <v/>
      </c>
      <c r="S55" s="13" t="str">
        <f>IF(IF(ISNUMBER(G55),VLOOKUP($A55,List!$A$1:$B$29,2,FALSE))=FALSE,"",IF(ISNUMBER(G55),VLOOKUP($A55,List!$A$1:$B$29,2,FALSE)))</f>
        <v/>
      </c>
      <c r="T55" s="13" t="str">
        <f>IF(IF(ISNUMBER(H55),VLOOKUP($A55,List!$A$1:$B$29,2,FALSE))=FALSE,"",IF(ISNUMBER(H55),VLOOKUP($A55,List!$A$1:$B$29,2,FALSE)))</f>
        <v/>
      </c>
      <c r="X55" s="4">
        <v>15</v>
      </c>
      <c r="Y55" s="5" t="str">
        <f t="shared" si="13"/>
        <v/>
      </c>
      <c r="Z55" s="5" t="str">
        <f t="shared" si="9"/>
        <v/>
      </c>
      <c r="AA55" s="5" t="str">
        <f t="shared" si="14"/>
        <v/>
      </c>
      <c r="AB55" s="5" t="str">
        <f t="shared" si="10"/>
        <v>include</v>
      </c>
      <c r="AC55" s="5" t="str">
        <f t="shared" si="11"/>
        <v/>
      </c>
      <c r="AD55" s="5" t="str">
        <f t="shared" si="15"/>
        <v/>
      </c>
      <c r="AE55" s="5" t="str">
        <f t="shared" si="12"/>
        <v/>
      </c>
    </row>
    <row r="56" spans="1:31" ht="15" thickBot="1" x14ac:dyDescent="0.35">
      <c r="A56" s="4">
        <v>9</v>
      </c>
      <c r="B56" s="6" t="s">
        <v>79</v>
      </c>
      <c r="C56" s="6">
        <v>0.85</v>
      </c>
      <c r="D56" s="5" t="s">
        <v>79</v>
      </c>
      <c r="E56" s="6" t="s">
        <v>79</v>
      </c>
      <c r="F56" s="6" t="s">
        <v>79</v>
      </c>
      <c r="G56" s="7" t="s">
        <v>79</v>
      </c>
      <c r="H56" s="7" t="s">
        <v>79</v>
      </c>
      <c r="I56" s="7"/>
      <c r="J56" s="7"/>
      <c r="K56" s="7"/>
      <c r="L56" s="7"/>
      <c r="M56" s="7"/>
      <c r="N56" s="13" t="str">
        <f>IF(IF(ISNUMBER(B56),VLOOKUP($A56,List!$A$1:$B$29,2,FALSE))=FALSE,"",IF(ISNUMBER(B56),VLOOKUP($A56,List!$A$1:$B$29,2,FALSE)))</f>
        <v/>
      </c>
      <c r="O56" s="13" t="str">
        <f>IF(IF(ISNUMBER(C56),VLOOKUP($A56,List!$A$1:$B$29,2,FALSE))=FALSE,"",IF(ISNUMBER(C56),VLOOKUP($A56,List!$A$1:$B$29,2,FALSE)))</f>
        <v>I see my boat as status symbol</v>
      </c>
      <c r="P56" s="13" t="str">
        <f>IF(IF(ISNUMBER(D56),VLOOKUP($A56,List!$A$1:$B$29,2,FALSE))=FALSE,"",IF(ISNUMBER(D56),VLOOKUP($A56,List!$A$1:$B$29,2,FALSE)))</f>
        <v/>
      </c>
      <c r="Q56" s="13" t="str">
        <f>IF(IF(ISNUMBER(E56),VLOOKUP($A56,List!$A$1:$B$29,2,FALSE))=FALSE,"",IF(ISNUMBER(E56),VLOOKUP($A56,List!$A$1:$B$29,2,FALSE)))</f>
        <v/>
      </c>
      <c r="R56" s="13" t="str">
        <f>IF(IF(ISNUMBER(F56),VLOOKUP($A56,List!$A$1:$B$29,2,FALSE))=FALSE,"",IF(ISNUMBER(F56),VLOOKUP($A56,List!$A$1:$B$29,2,FALSE)))</f>
        <v/>
      </c>
      <c r="S56" s="13" t="str">
        <f>IF(IF(ISNUMBER(G56),VLOOKUP($A56,List!$A$1:$B$29,2,FALSE))=FALSE,"",IF(ISNUMBER(G56),VLOOKUP($A56,List!$A$1:$B$29,2,FALSE)))</f>
        <v/>
      </c>
      <c r="T56" s="13" t="str">
        <f>IF(IF(ISNUMBER(H56),VLOOKUP($A56,List!$A$1:$B$29,2,FALSE))=FALSE,"",IF(ISNUMBER(H56),VLOOKUP($A56,List!$A$1:$B$29,2,FALSE)))</f>
        <v/>
      </c>
      <c r="X56" s="4">
        <v>26</v>
      </c>
      <c r="Y56" s="5" t="str">
        <f t="shared" si="13"/>
        <v/>
      </c>
      <c r="Z56" s="5" t="str">
        <f t="shared" si="9"/>
        <v>include</v>
      </c>
      <c r="AA56" s="5" t="str">
        <f t="shared" si="14"/>
        <v/>
      </c>
      <c r="AB56" s="5" t="str">
        <f t="shared" si="10"/>
        <v/>
      </c>
      <c r="AC56" s="5" t="str">
        <f t="shared" si="11"/>
        <v/>
      </c>
      <c r="AD56" s="5" t="str">
        <f t="shared" si="15"/>
        <v/>
      </c>
      <c r="AE56" s="5" t="str">
        <f t="shared" si="12"/>
        <v/>
      </c>
    </row>
    <row r="57" spans="1:31" ht="15" thickBot="1" x14ac:dyDescent="0.35">
      <c r="A57" s="4">
        <v>26</v>
      </c>
      <c r="B57" s="6" t="s">
        <v>79</v>
      </c>
      <c r="C57" s="6">
        <v>0.56999999999999995</v>
      </c>
      <c r="D57" s="6" t="s">
        <v>79</v>
      </c>
      <c r="E57" s="6" t="s">
        <v>79</v>
      </c>
      <c r="F57" s="6" t="s">
        <v>79</v>
      </c>
      <c r="G57" s="7" t="s">
        <v>79</v>
      </c>
      <c r="H57" s="7" t="s">
        <v>79</v>
      </c>
      <c r="I57" s="7"/>
      <c r="J57" s="7"/>
      <c r="K57" s="7"/>
      <c r="L57" s="8"/>
      <c r="M57" s="7"/>
      <c r="N57" s="13" t="str">
        <f>IF(IF(ISNUMBER(B57),VLOOKUP($A57,List!$A$1:$B$29,2,FALSE))=FALSE,"",IF(ISNUMBER(B57),VLOOKUP($A57,List!$A$1:$B$29,2,FALSE)))</f>
        <v/>
      </c>
      <c r="O57" s="13" t="str">
        <f>IF(IF(ISNUMBER(C57),VLOOKUP($A57,List!$A$1:$B$29,2,FALSE))=FALSE,"",IF(ISNUMBER(C57),VLOOKUP($A57,List!$A$1:$B$29,2,FALSE)))</f>
        <v>Having a powerful boat is what is most important to me</v>
      </c>
      <c r="P57" s="13" t="str">
        <f>IF(IF(ISNUMBER(D57),VLOOKUP($A57,List!$A$1:$B$29,2,FALSE))=FALSE,"",IF(ISNUMBER(D57),VLOOKUP($A57,List!$A$1:$B$29,2,FALSE)))</f>
        <v/>
      </c>
      <c r="Q57" s="13" t="str">
        <f>IF(IF(ISNUMBER(E57),VLOOKUP($A57,List!$A$1:$B$29,2,FALSE))=FALSE,"",IF(ISNUMBER(E57),VLOOKUP($A57,List!$A$1:$B$29,2,FALSE)))</f>
        <v/>
      </c>
      <c r="R57" s="13" t="str">
        <f>IF(IF(ISNUMBER(F57),VLOOKUP($A57,List!$A$1:$B$29,2,FALSE))=FALSE,"",IF(ISNUMBER(F57),VLOOKUP($A57,List!$A$1:$B$29,2,FALSE)))</f>
        <v/>
      </c>
      <c r="S57" s="13" t="str">
        <f>IF(IF(ISNUMBER(G57),VLOOKUP($A57,List!$A$1:$B$29,2,FALSE))=FALSE,"",IF(ISNUMBER(G57),VLOOKUP($A57,List!$A$1:$B$29,2,FALSE)))</f>
        <v/>
      </c>
      <c r="T57" s="13" t="str">
        <f>IF(IF(ISNUMBER(H57),VLOOKUP($A57,List!$A$1:$B$29,2,FALSE))=FALSE,"",IF(ISNUMBER(H57),VLOOKUP($A57,List!$A$1:$B$29,2,FALSE)))</f>
        <v/>
      </c>
      <c r="X57" s="4">
        <v>5</v>
      </c>
      <c r="Y57" s="5" t="str">
        <f t="shared" si="13"/>
        <v/>
      </c>
      <c r="Z57" s="5" t="str">
        <f t="shared" si="9"/>
        <v>include</v>
      </c>
      <c r="AA57" s="5" t="str">
        <f t="shared" si="14"/>
        <v/>
      </c>
      <c r="AB57" s="5" t="str">
        <f t="shared" si="10"/>
        <v/>
      </c>
      <c r="AC57" s="5" t="str">
        <f t="shared" si="11"/>
        <v/>
      </c>
      <c r="AD57" s="5" t="str">
        <f t="shared" si="15"/>
        <v/>
      </c>
      <c r="AE57" s="5" t="str">
        <f t="shared" si="12"/>
        <v/>
      </c>
    </row>
    <row r="58" spans="1:31" ht="15" thickBot="1" x14ac:dyDescent="0.35">
      <c r="A58" s="4">
        <v>16</v>
      </c>
      <c r="B58" s="6" t="s">
        <v>79</v>
      </c>
      <c r="C58" s="6" t="s">
        <v>79</v>
      </c>
      <c r="D58" s="6">
        <v>0.63</v>
      </c>
      <c r="E58" s="6" t="s">
        <v>79</v>
      </c>
      <c r="F58" s="6" t="s">
        <v>79</v>
      </c>
      <c r="G58" s="7" t="s">
        <v>79</v>
      </c>
      <c r="H58" s="7" t="s">
        <v>79</v>
      </c>
      <c r="I58" s="7"/>
      <c r="J58" s="7"/>
      <c r="K58" s="8"/>
      <c r="L58" s="7"/>
      <c r="M58" s="7"/>
      <c r="N58" s="13" t="str">
        <f>IF(IF(ISNUMBER(B58),VLOOKUP($A58,List!$A$1:$B$29,2,FALSE))=FALSE,"",IF(ISNUMBER(B58),VLOOKUP($A58,List!$A$1:$B$29,2,FALSE)))</f>
        <v/>
      </c>
      <c r="O58" s="13" t="str">
        <f>IF(IF(ISNUMBER(C58),VLOOKUP($A58,List!$A$1:$B$29,2,FALSE))=FALSE,"",IF(ISNUMBER(C58),VLOOKUP($A58,List!$A$1:$B$29,2,FALSE)))</f>
        <v/>
      </c>
      <c r="P58" s="13" t="str">
        <f>IF(IF(ISNUMBER(D58),VLOOKUP($A58,List!$A$1:$B$29,2,FALSE))=FALSE,"",IF(ISNUMBER(D58),VLOOKUP($A58,List!$A$1:$B$29,2,FALSE)))</f>
        <v>People tend to come to me for advice about boating</v>
      </c>
      <c r="Q58" s="13" t="str">
        <f>IF(IF(ISNUMBER(E58),VLOOKUP($A58,List!$A$1:$B$29,2,FALSE))=FALSE,"",IF(ISNUMBER(E58),VLOOKUP($A58,List!$A$1:$B$29,2,FALSE)))</f>
        <v/>
      </c>
      <c r="R58" s="13" t="str">
        <f>IF(IF(ISNUMBER(F58),VLOOKUP($A58,List!$A$1:$B$29,2,FALSE))=FALSE,"",IF(ISNUMBER(F58),VLOOKUP($A58,List!$A$1:$B$29,2,FALSE)))</f>
        <v/>
      </c>
      <c r="S58" s="13" t="str">
        <f>IF(IF(ISNUMBER(G58),VLOOKUP($A58,List!$A$1:$B$29,2,FALSE))=FALSE,"",IF(ISNUMBER(G58),VLOOKUP($A58,List!$A$1:$B$29,2,FALSE)))</f>
        <v/>
      </c>
      <c r="T58" s="13" t="str">
        <f>IF(IF(ISNUMBER(H58),VLOOKUP($A58,List!$A$1:$B$29,2,FALSE))=FALSE,"",IF(ISNUMBER(H58),VLOOKUP($A58,List!$A$1:$B$29,2,FALSE)))</f>
        <v/>
      </c>
      <c r="X58" s="4">
        <v>2</v>
      </c>
      <c r="Y58" s="5" t="str">
        <f t="shared" si="13"/>
        <v/>
      </c>
      <c r="Z58" s="5" t="str">
        <f t="shared" si="9"/>
        <v/>
      </c>
      <c r="AA58" s="5" t="str">
        <f t="shared" si="14"/>
        <v>include</v>
      </c>
      <c r="AB58" s="5" t="str">
        <f t="shared" si="10"/>
        <v/>
      </c>
      <c r="AC58" s="5" t="str">
        <f t="shared" si="11"/>
        <v/>
      </c>
      <c r="AD58" s="5" t="str">
        <f t="shared" si="15"/>
        <v/>
      </c>
      <c r="AE58" s="5" t="str">
        <f t="shared" si="12"/>
        <v/>
      </c>
    </row>
    <row r="59" spans="1:31" ht="15" thickBot="1" x14ac:dyDescent="0.35">
      <c r="A59" s="4">
        <v>14</v>
      </c>
      <c r="B59" s="6" t="s">
        <v>79</v>
      </c>
      <c r="C59" s="6">
        <v>0.51</v>
      </c>
      <c r="D59" s="6" t="s">
        <v>79</v>
      </c>
      <c r="E59" s="6" t="s">
        <v>79</v>
      </c>
      <c r="F59" s="6" t="s">
        <v>79</v>
      </c>
      <c r="G59" s="7" t="s">
        <v>79</v>
      </c>
      <c r="H59" s="8" t="s">
        <v>79</v>
      </c>
      <c r="I59" s="7"/>
      <c r="J59" s="7"/>
      <c r="K59" s="7"/>
      <c r="L59" s="7"/>
      <c r="M59" s="7"/>
      <c r="N59" s="13" t="str">
        <f>IF(IF(ISNUMBER(B59),VLOOKUP($A59,List!$A$1:$B$29,2,FALSE))=FALSE,"",IF(ISNUMBER(B59),VLOOKUP($A59,List!$A$1:$B$29,2,FALSE)))</f>
        <v/>
      </c>
      <c r="O59" s="13" t="str">
        <f>IF(IF(ISNUMBER(C59),VLOOKUP($A59,List!$A$1:$B$29,2,FALSE))=FALSE,"",IF(ISNUMBER(C59),VLOOKUP($A59,List!$A$1:$B$29,2,FALSE)))</f>
        <v>When buying accessories for my boat, I tend to buy the latest and greatest</v>
      </c>
      <c r="P59" s="13" t="str">
        <f>IF(IF(ISNUMBER(D59),VLOOKUP($A59,List!$A$1:$B$29,2,FALSE))=FALSE,"",IF(ISNUMBER(D59),VLOOKUP($A59,List!$A$1:$B$29,2,FALSE)))</f>
        <v/>
      </c>
      <c r="Q59" s="13" t="str">
        <f>IF(IF(ISNUMBER(E59),VLOOKUP($A59,List!$A$1:$B$29,2,FALSE))=FALSE,"",IF(ISNUMBER(E59),VLOOKUP($A59,List!$A$1:$B$29,2,FALSE)))</f>
        <v/>
      </c>
      <c r="R59" s="13" t="str">
        <f>IF(IF(ISNUMBER(F59),VLOOKUP($A59,List!$A$1:$B$29,2,FALSE))=FALSE,"",IF(ISNUMBER(F59),VLOOKUP($A59,List!$A$1:$B$29,2,FALSE)))</f>
        <v/>
      </c>
      <c r="S59" s="13" t="str">
        <f>IF(IF(ISNUMBER(G59),VLOOKUP($A59,List!$A$1:$B$29,2,FALSE))=FALSE,"",IF(ISNUMBER(G59),VLOOKUP($A59,List!$A$1:$B$29,2,FALSE)))</f>
        <v/>
      </c>
      <c r="T59" s="13" t="str">
        <f>IF(IF(ISNUMBER(H59),VLOOKUP($A59,List!$A$1:$B$29,2,FALSE))=FALSE,"",IF(ISNUMBER(H59),VLOOKUP($A59,List!$A$1:$B$29,2,FALSE)))</f>
        <v/>
      </c>
      <c r="X59" s="4">
        <v>14</v>
      </c>
      <c r="Y59" s="5" t="str">
        <f t="shared" si="13"/>
        <v/>
      </c>
      <c r="Z59" s="5" t="str">
        <f t="shared" si="9"/>
        <v>include</v>
      </c>
      <c r="AA59" s="5" t="s">
        <v>145</v>
      </c>
      <c r="AB59" s="5" t="str">
        <f t="shared" si="10"/>
        <v/>
      </c>
      <c r="AC59" s="5" t="str">
        <f t="shared" si="11"/>
        <v/>
      </c>
      <c r="AD59" s="5" t="str">
        <f t="shared" si="15"/>
        <v/>
      </c>
      <c r="AE59" s="5" t="str">
        <f t="shared" si="12"/>
        <v/>
      </c>
    </row>
    <row r="60" spans="1:31" ht="15" thickBot="1" x14ac:dyDescent="0.35">
      <c r="A60" s="4">
        <v>2</v>
      </c>
      <c r="B60" s="6" t="s">
        <v>79</v>
      </c>
      <c r="C60" s="6" t="s">
        <v>79</v>
      </c>
      <c r="D60" s="5" t="s">
        <v>79</v>
      </c>
      <c r="E60" s="6" t="s">
        <v>79</v>
      </c>
      <c r="F60" s="6">
        <v>0.61</v>
      </c>
      <c r="G60" s="7" t="s">
        <v>79</v>
      </c>
      <c r="H60" s="7" t="s">
        <v>79</v>
      </c>
      <c r="I60" s="7"/>
      <c r="J60" s="7"/>
      <c r="K60" s="7"/>
      <c r="L60" s="7"/>
      <c r="M60" s="7"/>
      <c r="N60" s="13" t="str">
        <f>IF(IF(ISNUMBER(B60),VLOOKUP($A60,List!$A$1:$B$29,2,FALSE))=FALSE,"",IF(ISNUMBER(B60),VLOOKUP($A60,List!$A$1:$B$29,2,FALSE)))</f>
        <v/>
      </c>
      <c r="O60" s="13" t="str">
        <f>IF(IF(ISNUMBER(C60),VLOOKUP($A60,List!$A$1:$B$29,2,FALSE))=FALSE,"",IF(ISNUMBER(C60),VLOOKUP($A60,List!$A$1:$B$29,2,FALSE)))</f>
        <v/>
      </c>
      <c r="P60" s="13" t="str">
        <f>IF(IF(ISNUMBER(D60),VLOOKUP($A60,List!$A$1:$B$29,2,FALSE))=FALSE,"",IF(ISNUMBER(D60),VLOOKUP($A60,List!$A$1:$B$29,2,FALSE)))</f>
        <v/>
      </c>
      <c r="Q60" s="13" t="str">
        <f>IF(IF(ISNUMBER(E60),VLOOKUP($A60,List!$A$1:$B$29,2,FALSE))=FALSE,"",IF(ISNUMBER(E60),VLOOKUP($A60,List!$A$1:$B$29,2,FALSE)))</f>
        <v/>
      </c>
      <c r="R60" s="13" t="str">
        <f>IF(IF(ISNUMBER(F60),VLOOKUP($A60,List!$A$1:$B$29,2,FALSE))=FALSE,"",IF(ISNUMBER(F60),VLOOKUP($A60,List!$A$1:$B$29,2,FALSE)))</f>
        <v>When buying a bot, getting the lowest P is more important than brand</v>
      </c>
      <c r="S60" s="13" t="str">
        <f>IF(IF(ISNUMBER(G60),VLOOKUP($A60,List!$A$1:$B$29,2,FALSE))=FALSE,"",IF(ISNUMBER(G60),VLOOKUP($A60,List!$A$1:$B$29,2,FALSE)))</f>
        <v/>
      </c>
      <c r="T60" s="13" t="str">
        <f>IF(IF(ISNUMBER(H60),VLOOKUP($A60,List!$A$1:$B$29,2,FALSE))=FALSE,"",IF(ISNUMBER(H60),VLOOKUP($A60,List!$A$1:$B$29,2,FALSE)))</f>
        <v/>
      </c>
      <c r="X60" s="4">
        <v>16</v>
      </c>
      <c r="Y60" s="5" t="str">
        <f t="shared" si="13"/>
        <v/>
      </c>
      <c r="Z60" s="5" t="str">
        <f t="shared" si="9"/>
        <v/>
      </c>
      <c r="AA60" s="5" t="str">
        <f>IF(ISNUMBER(D60),"include","")</f>
        <v/>
      </c>
      <c r="AB60" s="5" t="str">
        <f t="shared" si="10"/>
        <v/>
      </c>
      <c r="AC60" s="5" t="str">
        <f t="shared" si="11"/>
        <v>include</v>
      </c>
      <c r="AD60" s="5" t="str">
        <f t="shared" si="15"/>
        <v/>
      </c>
      <c r="AE60" s="5" t="str">
        <f t="shared" si="12"/>
        <v/>
      </c>
    </row>
    <row r="61" spans="1:31" ht="15" thickBot="1" x14ac:dyDescent="0.35">
      <c r="A61" s="4">
        <v>17</v>
      </c>
      <c r="B61" s="6" t="s">
        <v>79</v>
      </c>
      <c r="C61" s="6" t="s">
        <v>79</v>
      </c>
      <c r="D61" s="6">
        <v>0.57999999999999996</v>
      </c>
      <c r="E61" s="6" t="s">
        <v>79</v>
      </c>
      <c r="F61" s="6" t="s">
        <v>79</v>
      </c>
      <c r="G61" s="7" t="s">
        <v>79</v>
      </c>
      <c r="H61" s="7" t="s">
        <v>79</v>
      </c>
      <c r="I61" s="7"/>
      <c r="J61" s="8"/>
      <c r="K61" s="7"/>
      <c r="L61" s="7"/>
      <c r="M61" s="7"/>
      <c r="N61" s="13" t="str">
        <f>IF(IF(ISNUMBER(B61),VLOOKUP($A61,List!$A$1:$B$29,2,FALSE))=FALSE,"",IF(ISNUMBER(B61),VLOOKUP($A61,List!$A$1:$B$29,2,FALSE)))</f>
        <v/>
      </c>
      <c r="O61" s="13" t="str">
        <f>IF(IF(ISNUMBER(C61),VLOOKUP($A61,List!$A$1:$B$29,2,FALSE))=FALSE,"",IF(ISNUMBER(C61),VLOOKUP($A61,List!$A$1:$B$29,2,FALSE)))</f>
        <v/>
      </c>
      <c r="P61" s="13" t="str">
        <f>IF(IF(ISNUMBER(D61),VLOOKUP($A61,List!$A$1:$B$29,2,FALSE))=FALSE,"",IF(ISNUMBER(D61),VLOOKUP($A61,List!$A$1:$B$29,2,FALSE)))</f>
        <v>I consider myself more knowledgeable about boating than the rest of my boating peers</v>
      </c>
      <c r="Q61" s="13" t="str">
        <f>IF(IF(ISNUMBER(E61),VLOOKUP($A61,List!$A$1:$B$29,2,FALSE))=FALSE,"",IF(ISNUMBER(E61),VLOOKUP($A61,List!$A$1:$B$29,2,FALSE)))</f>
        <v/>
      </c>
      <c r="R61" s="13" t="str">
        <f>IF(IF(ISNUMBER(F61),VLOOKUP($A61,List!$A$1:$B$29,2,FALSE))=FALSE,"",IF(ISNUMBER(F61),VLOOKUP($A61,List!$A$1:$B$29,2,FALSE)))</f>
        <v/>
      </c>
      <c r="S61" s="13" t="str">
        <f>IF(IF(ISNUMBER(G61),VLOOKUP($A61,List!$A$1:$B$29,2,FALSE))=FALSE,"",IF(ISNUMBER(G61),VLOOKUP($A61,List!$A$1:$B$29,2,FALSE)))</f>
        <v/>
      </c>
      <c r="T61" s="13" t="str">
        <f>IF(IF(ISNUMBER(H61),VLOOKUP($A61,List!$A$1:$B$29,2,FALSE))=FALSE,"",IF(ISNUMBER(H61),VLOOKUP($A61,List!$A$1:$B$29,2,FALSE)))</f>
        <v/>
      </c>
      <c r="X61" s="4">
        <v>12</v>
      </c>
      <c r="Y61" s="5" t="str">
        <f t="shared" si="13"/>
        <v/>
      </c>
      <c r="Z61" s="5" t="str">
        <f t="shared" si="9"/>
        <v/>
      </c>
      <c r="AA61" s="5" t="str">
        <f>IF(ISNUMBER(D61),"include","")</f>
        <v>include</v>
      </c>
      <c r="AB61" s="5" t="str">
        <f t="shared" si="10"/>
        <v/>
      </c>
      <c r="AC61" s="5" t="str">
        <f t="shared" si="11"/>
        <v/>
      </c>
      <c r="AD61" s="5" t="str">
        <f t="shared" si="15"/>
        <v/>
      </c>
      <c r="AE61" s="5" t="str">
        <f t="shared" si="12"/>
        <v/>
      </c>
    </row>
    <row r="62" spans="1:31" ht="15" thickBot="1" x14ac:dyDescent="0.35">
      <c r="A62" s="4">
        <v>12</v>
      </c>
      <c r="B62" s="6" t="s">
        <v>79</v>
      </c>
      <c r="C62" s="6" t="s">
        <v>79</v>
      </c>
      <c r="D62" s="6" t="s">
        <v>79</v>
      </c>
      <c r="E62" s="6" t="s">
        <v>79</v>
      </c>
      <c r="F62" s="5">
        <v>0.7</v>
      </c>
      <c r="G62" s="7" t="s">
        <v>79</v>
      </c>
      <c r="H62" s="7" t="s">
        <v>79</v>
      </c>
      <c r="I62" s="7"/>
      <c r="J62" s="7"/>
      <c r="K62" s="7"/>
      <c r="L62" s="7"/>
      <c r="M62" s="7"/>
      <c r="N62" s="13" t="str">
        <f>IF(IF(ISNUMBER(B62),VLOOKUP($A62,List!$A$1:$B$29,2,FALSE))=FALSE,"",IF(ISNUMBER(B62),VLOOKUP($A62,List!$A$1:$B$29,2,FALSE)))</f>
        <v/>
      </c>
      <c r="O62" s="13" t="str">
        <f>IF(IF(ISNUMBER(C62),VLOOKUP($A62,List!$A$1:$B$29,2,FALSE))=FALSE,"",IF(ISNUMBER(C62),VLOOKUP($A62,List!$A$1:$B$29,2,FALSE)))</f>
        <v/>
      </c>
      <c r="P62" s="13" t="str">
        <f>IF(IF(ISNUMBER(D62),VLOOKUP($A62,List!$A$1:$B$29,2,FALSE))=FALSE,"",IF(ISNUMBER(D62),VLOOKUP($A62,List!$A$1:$B$29,2,FALSE)))</f>
        <v/>
      </c>
      <c r="Q62" s="13" t="str">
        <f>IF(IF(ISNUMBER(E62),VLOOKUP($A62,List!$A$1:$B$29,2,FALSE))=FALSE,"",IF(ISNUMBER(E62),VLOOKUP($A62,List!$A$1:$B$29,2,FALSE)))</f>
        <v/>
      </c>
      <c r="R62" s="13" t="str">
        <f>IF(IF(ISNUMBER(F62),VLOOKUP($A62,List!$A$1:$B$29,2,FALSE))=FALSE,"",IF(ISNUMBER(F62),VLOOKUP($A62,List!$A$1:$B$29,2,FALSE)))</f>
        <v>When it comes to boating, I tend to prefer a basic boat with little to no frills</v>
      </c>
      <c r="S62" s="13" t="str">
        <f>IF(IF(ISNUMBER(G62),VLOOKUP($A62,List!$A$1:$B$29,2,FALSE))=FALSE,"",IF(ISNUMBER(G62),VLOOKUP($A62,List!$A$1:$B$29,2,FALSE)))</f>
        <v/>
      </c>
      <c r="T62" s="13" t="str">
        <f>IF(IF(ISNUMBER(H62),VLOOKUP($A62,List!$A$1:$B$29,2,FALSE))=FALSE,"",IF(ISNUMBER(H62),VLOOKUP($A62,List!$A$1:$B$29,2,FALSE)))</f>
        <v/>
      </c>
      <c r="X62" s="4">
        <v>17</v>
      </c>
      <c r="Y62" s="5" t="str">
        <f t="shared" si="13"/>
        <v/>
      </c>
      <c r="Z62" s="5" t="str">
        <f t="shared" si="9"/>
        <v/>
      </c>
      <c r="AA62" s="5" t="str">
        <f>IF(ISNUMBER(D62),"include","")</f>
        <v/>
      </c>
      <c r="AB62" s="5" t="str">
        <f t="shared" si="10"/>
        <v/>
      </c>
      <c r="AC62" s="5" t="str">
        <f t="shared" si="11"/>
        <v>include</v>
      </c>
      <c r="AD62" s="5" t="str">
        <f t="shared" si="15"/>
        <v/>
      </c>
      <c r="AE62" s="5" t="str">
        <f t="shared" si="12"/>
        <v/>
      </c>
    </row>
    <row r="63" spans="1:31" ht="15" thickBot="1" x14ac:dyDescent="0.35">
      <c r="A63" s="4">
        <v>13</v>
      </c>
      <c r="B63" s="6" t="s">
        <v>79</v>
      </c>
      <c r="C63" s="6">
        <v>0.6</v>
      </c>
      <c r="D63" s="6" t="s">
        <v>79</v>
      </c>
      <c r="E63" s="6" t="s">
        <v>79</v>
      </c>
      <c r="F63" s="6" t="s">
        <v>79</v>
      </c>
      <c r="G63" s="7" t="s">
        <v>79</v>
      </c>
      <c r="H63" s="7" t="s">
        <v>79</v>
      </c>
      <c r="I63" s="8"/>
      <c r="J63" s="7"/>
      <c r="K63" s="7"/>
      <c r="L63" s="7"/>
      <c r="M63" s="7"/>
      <c r="N63" s="13" t="str">
        <f>IF(IF(ISNUMBER(B63),VLOOKUP($A63,List!$A$1:$B$29,2,FALSE))=FALSE,"",IF(ISNUMBER(B63),VLOOKUP($A63,List!$A$1:$B$29,2,FALSE)))</f>
        <v/>
      </c>
      <c r="O63" s="13" t="str">
        <f>IF(IF(ISNUMBER(C63),VLOOKUP($A63,List!$A$1:$B$29,2,FALSE))=FALSE,"",IF(ISNUMBER(C63),VLOOKUP($A63,List!$A$1:$B$29,2,FALSE)))</f>
        <v>When buying a boat, I tend to buy the latest and greatest</v>
      </c>
      <c r="P63" s="13" t="str">
        <f>IF(IF(ISNUMBER(D63),VLOOKUP($A63,List!$A$1:$B$29,2,FALSE))=FALSE,"",IF(ISNUMBER(D63),VLOOKUP($A63,List!$A$1:$B$29,2,FALSE)))</f>
        <v/>
      </c>
      <c r="Q63" s="13" t="str">
        <f>IF(IF(ISNUMBER(E63),VLOOKUP($A63,List!$A$1:$B$29,2,FALSE))=FALSE,"",IF(ISNUMBER(E63),VLOOKUP($A63,List!$A$1:$B$29,2,FALSE)))</f>
        <v/>
      </c>
      <c r="R63" s="13" t="str">
        <f>IF(IF(ISNUMBER(F63),VLOOKUP($A63,List!$A$1:$B$29,2,FALSE))=FALSE,"",IF(ISNUMBER(F63),VLOOKUP($A63,List!$A$1:$B$29,2,FALSE)))</f>
        <v/>
      </c>
      <c r="S63" s="13" t="str">
        <f>IF(IF(ISNUMBER(G63),VLOOKUP($A63,List!$A$1:$B$29,2,FALSE))=FALSE,"",IF(ISNUMBER(G63),VLOOKUP($A63,List!$A$1:$B$29,2,FALSE)))</f>
        <v/>
      </c>
      <c r="T63" s="13" t="str">
        <f>IF(IF(ISNUMBER(H63),VLOOKUP($A63,List!$A$1:$B$29,2,FALSE))=FALSE,"",IF(ISNUMBER(H63),VLOOKUP($A63,List!$A$1:$B$29,2,FALSE)))</f>
        <v/>
      </c>
      <c r="X63" s="4">
        <v>13</v>
      </c>
      <c r="Y63" s="5" t="str">
        <f t="shared" si="13"/>
        <v/>
      </c>
      <c r="Z63" s="5" t="str">
        <f t="shared" si="9"/>
        <v>include</v>
      </c>
      <c r="AA63" s="5" t="s">
        <v>145</v>
      </c>
      <c r="AB63" s="5" t="str">
        <f t="shared" si="10"/>
        <v/>
      </c>
      <c r="AC63" s="5" t="str">
        <f t="shared" si="11"/>
        <v/>
      </c>
      <c r="AD63" s="5" t="str">
        <f t="shared" si="15"/>
        <v/>
      </c>
      <c r="AE63" s="5" t="str">
        <f t="shared" si="12"/>
        <v/>
      </c>
    </row>
    <row r="66" spans="1:1" x14ac:dyDescent="0.3">
      <c r="A66" s="9">
        <v>21</v>
      </c>
    </row>
    <row r="67" spans="1:1" x14ac:dyDescent="0.3">
      <c r="A67" s="9">
        <v>9</v>
      </c>
    </row>
    <row r="68" spans="1:1" x14ac:dyDescent="0.3">
      <c r="A68" s="9">
        <v>27</v>
      </c>
    </row>
    <row r="69" spans="1:1" x14ac:dyDescent="0.3">
      <c r="A69" s="9">
        <v>4</v>
      </c>
    </row>
    <row r="70" spans="1:1" x14ac:dyDescent="0.3">
      <c r="A70" s="9">
        <v>8</v>
      </c>
    </row>
    <row r="71" spans="1:1" x14ac:dyDescent="0.3">
      <c r="A71" s="9">
        <v>10</v>
      </c>
    </row>
    <row r="72" spans="1:1" x14ac:dyDescent="0.3">
      <c r="A72" s="9">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67D95-0F1A-4840-B6F0-B883CA682DAD}">
  <dimension ref="A1:AG83"/>
  <sheetViews>
    <sheetView workbookViewId="0">
      <selection activeCell="L3" sqref="L3"/>
    </sheetView>
  </sheetViews>
  <sheetFormatPr defaultRowHeight="14.4" x14ac:dyDescent="0.3"/>
  <cols>
    <col min="11" max="15" width="8.88671875" customWidth="1"/>
    <col min="16" max="21" width="8.88671875" hidden="1" customWidth="1"/>
  </cols>
  <sheetData>
    <row r="1" spans="1:33" ht="21" x14ac:dyDescent="0.4">
      <c r="B1" s="15" t="s">
        <v>205</v>
      </c>
      <c r="H1" s="25" t="s">
        <v>246</v>
      </c>
      <c r="J1" s="15" t="s">
        <v>205</v>
      </c>
    </row>
    <row r="2" spans="1:33" x14ac:dyDescent="0.3">
      <c r="B2" s="12" t="s">
        <v>199</v>
      </c>
      <c r="C2" s="12" t="s">
        <v>200</v>
      </c>
      <c r="D2" s="12" t="s">
        <v>201</v>
      </c>
      <c r="E2" s="12" t="s">
        <v>202</v>
      </c>
      <c r="F2" s="12" t="s">
        <v>203</v>
      </c>
      <c r="G2" s="12" t="s">
        <v>204</v>
      </c>
      <c r="H2" s="12"/>
      <c r="J2" s="12" t="str">
        <f>B2</f>
        <v>Segment1</v>
      </c>
      <c r="K2" s="12" t="str">
        <f t="shared" ref="K2:N2" si="0">C2</f>
        <v>Segment2</v>
      </c>
      <c r="L2" s="12" t="str">
        <f t="shared" si="0"/>
        <v>Segment3</v>
      </c>
      <c r="M2" s="12" t="str">
        <f t="shared" si="0"/>
        <v>Segment4</v>
      </c>
      <c r="N2" s="12" t="str">
        <f t="shared" si="0"/>
        <v>Segment5</v>
      </c>
      <c r="O2" s="12" t="str">
        <f>G2</f>
        <v>Segment6</v>
      </c>
      <c r="P2" s="12" t="str">
        <f>J2</f>
        <v>Segment1</v>
      </c>
      <c r="Q2" s="12" t="str">
        <f t="shared" ref="Q2:U2" si="1">K2</f>
        <v>Segment2</v>
      </c>
      <c r="R2" s="12" t="str">
        <f t="shared" si="1"/>
        <v>Segment3</v>
      </c>
      <c r="S2" s="12" t="str">
        <f t="shared" si="1"/>
        <v>Segment4</v>
      </c>
      <c r="T2" s="12" t="str">
        <f t="shared" si="1"/>
        <v>Segment5</v>
      </c>
      <c r="U2" s="12" t="str">
        <f t="shared" si="1"/>
        <v>Segment6</v>
      </c>
      <c r="AD2" s="12" t="s">
        <v>241</v>
      </c>
    </row>
    <row r="3" spans="1:33" ht="15" thickBot="1" x14ac:dyDescent="0.35">
      <c r="A3" s="4" t="s">
        <v>115</v>
      </c>
      <c r="B3" s="22" t="s">
        <v>79</v>
      </c>
      <c r="C3" s="22" t="s">
        <v>79</v>
      </c>
      <c r="D3" s="22">
        <v>-0.33</v>
      </c>
      <c r="E3" s="22" t="s">
        <v>79</v>
      </c>
      <c r="F3" s="22" t="s">
        <v>79</v>
      </c>
      <c r="G3" s="22" t="s">
        <v>79</v>
      </c>
      <c r="H3" s="23"/>
      <c r="I3" t="str">
        <f>A3</f>
        <v>Q1.1</v>
      </c>
      <c r="J3" t="str">
        <f>IF(ISNUMBER(B3),B3,"")</f>
        <v/>
      </c>
      <c r="K3" t="str">
        <f t="shared" ref="K3:O18" si="2">IF(ISNUMBER(C3),C3,"")</f>
        <v/>
      </c>
      <c r="L3">
        <f t="shared" si="2"/>
        <v>-0.33</v>
      </c>
      <c r="M3" t="str">
        <f t="shared" si="2"/>
        <v/>
      </c>
      <c r="N3" t="str">
        <f t="shared" si="2"/>
        <v/>
      </c>
      <c r="O3" t="str">
        <f t="shared" si="2"/>
        <v/>
      </c>
      <c r="V3" t="s">
        <v>0</v>
      </c>
      <c r="AD3" t="s">
        <v>234</v>
      </c>
    </row>
    <row r="4" spans="1:33" ht="15" thickBot="1" x14ac:dyDescent="0.35">
      <c r="A4" s="4" t="s">
        <v>119</v>
      </c>
      <c r="B4" s="22" t="s">
        <v>79</v>
      </c>
      <c r="C4" s="22" t="s">
        <v>79</v>
      </c>
      <c r="D4" s="22" t="s">
        <v>79</v>
      </c>
      <c r="E4" s="22" t="s">
        <v>79</v>
      </c>
      <c r="F4" s="22" t="s">
        <v>79</v>
      </c>
      <c r="G4" s="22" t="s">
        <v>79</v>
      </c>
      <c r="H4" s="23"/>
      <c r="I4" t="str">
        <f t="shared" ref="I4:I67" si="3">A4</f>
        <v>Q1.2</v>
      </c>
      <c r="J4" t="str">
        <f t="shared" ref="J4:J67" si="4">IF(ISNUMBER(B4),B4,"")</f>
        <v/>
      </c>
      <c r="K4" t="str">
        <f t="shared" si="2"/>
        <v/>
      </c>
      <c r="L4" t="str">
        <f t="shared" si="2"/>
        <v/>
      </c>
      <c r="M4" t="str">
        <f t="shared" si="2"/>
        <v/>
      </c>
      <c r="N4" t="str">
        <f t="shared" si="2"/>
        <v/>
      </c>
      <c r="O4" t="str">
        <f t="shared" si="2"/>
        <v/>
      </c>
      <c r="V4" t="s">
        <v>1</v>
      </c>
      <c r="AD4" t="s">
        <v>235</v>
      </c>
    </row>
    <row r="5" spans="1:33" ht="15" thickBot="1" x14ac:dyDescent="0.35">
      <c r="A5" s="4" t="s">
        <v>96</v>
      </c>
      <c r="B5" s="22">
        <v>0.25</v>
      </c>
      <c r="C5" s="22" t="s">
        <v>79</v>
      </c>
      <c r="D5" s="22" t="s">
        <v>79</v>
      </c>
      <c r="E5" s="22" t="s">
        <v>79</v>
      </c>
      <c r="F5" s="22">
        <v>-0.22</v>
      </c>
      <c r="G5" s="22">
        <v>-0.16</v>
      </c>
      <c r="H5" s="23"/>
      <c r="I5" t="str">
        <f t="shared" si="3"/>
        <v>Q1.3</v>
      </c>
      <c r="J5">
        <f t="shared" si="4"/>
        <v>0.25</v>
      </c>
      <c r="K5" t="str">
        <f t="shared" si="2"/>
        <v/>
      </c>
      <c r="L5" t="str">
        <f t="shared" si="2"/>
        <v/>
      </c>
      <c r="M5" t="str">
        <f t="shared" si="2"/>
        <v/>
      </c>
      <c r="N5">
        <f t="shared" si="2"/>
        <v>-0.22</v>
      </c>
      <c r="O5">
        <f t="shared" si="2"/>
        <v>-0.16</v>
      </c>
      <c r="V5" t="s">
        <v>2</v>
      </c>
      <c r="AD5" t="s">
        <v>236</v>
      </c>
    </row>
    <row r="6" spans="1:33" ht="15" thickBot="1" x14ac:dyDescent="0.35">
      <c r="A6" s="4" t="s">
        <v>114</v>
      </c>
      <c r="B6" s="22" t="s">
        <v>79</v>
      </c>
      <c r="C6" s="22" t="s">
        <v>79</v>
      </c>
      <c r="D6" s="22" t="s">
        <v>79</v>
      </c>
      <c r="E6" s="22" t="s">
        <v>79</v>
      </c>
      <c r="F6" s="22" t="s">
        <v>79</v>
      </c>
      <c r="G6" s="22" t="s">
        <v>79</v>
      </c>
      <c r="H6" s="23"/>
      <c r="I6" t="str">
        <f t="shared" si="3"/>
        <v>Q1.4</v>
      </c>
      <c r="J6" t="str">
        <f t="shared" si="4"/>
        <v/>
      </c>
      <c r="K6" t="str">
        <f t="shared" si="2"/>
        <v/>
      </c>
      <c r="L6" t="str">
        <f t="shared" si="2"/>
        <v/>
      </c>
      <c r="M6" t="str">
        <f t="shared" si="2"/>
        <v/>
      </c>
      <c r="N6" t="str">
        <f t="shared" si="2"/>
        <v/>
      </c>
      <c r="O6" t="str">
        <f t="shared" si="2"/>
        <v/>
      </c>
      <c r="V6" t="s">
        <v>3</v>
      </c>
      <c r="AD6" t="s">
        <v>237</v>
      </c>
    </row>
    <row r="7" spans="1:33" ht="15" thickBot="1" x14ac:dyDescent="0.35">
      <c r="A7" s="4" t="s">
        <v>108</v>
      </c>
      <c r="B7" s="22">
        <v>0.14000000000000001</v>
      </c>
      <c r="C7" s="22" t="s">
        <v>79</v>
      </c>
      <c r="D7" s="22">
        <v>-0.1</v>
      </c>
      <c r="E7" s="22" t="s">
        <v>79</v>
      </c>
      <c r="F7" s="22" t="s">
        <v>79</v>
      </c>
      <c r="G7" s="22" t="s">
        <v>79</v>
      </c>
      <c r="H7" s="23"/>
      <c r="I7" t="str">
        <f t="shared" si="3"/>
        <v>Q1.5</v>
      </c>
      <c r="J7">
        <f t="shared" si="4"/>
        <v>0.14000000000000001</v>
      </c>
      <c r="K7" t="str">
        <f t="shared" si="2"/>
        <v/>
      </c>
      <c r="L7">
        <f t="shared" si="2"/>
        <v>-0.1</v>
      </c>
      <c r="M7" t="str">
        <f t="shared" si="2"/>
        <v/>
      </c>
      <c r="N7" t="str">
        <f t="shared" si="2"/>
        <v/>
      </c>
      <c r="O7" t="str">
        <f t="shared" si="2"/>
        <v/>
      </c>
      <c r="V7" t="s">
        <v>4</v>
      </c>
      <c r="AD7" t="s">
        <v>238</v>
      </c>
    </row>
    <row r="8" spans="1:33" ht="15" thickBot="1" x14ac:dyDescent="0.35">
      <c r="A8" s="4" t="s">
        <v>102</v>
      </c>
      <c r="B8" s="22">
        <v>0.13</v>
      </c>
      <c r="C8" s="22" t="s">
        <v>79</v>
      </c>
      <c r="D8" s="22">
        <v>-0.13</v>
      </c>
      <c r="E8" s="22" t="s">
        <v>79</v>
      </c>
      <c r="F8" s="22" t="s">
        <v>79</v>
      </c>
      <c r="G8" s="22" t="s">
        <v>79</v>
      </c>
      <c r="H8" s="23"/>
      <c r="I8" t="str">
        <f t="shared" si="3"/>
        <v>Q1.6</v>
      </c>
      <c r="J8">
        <f t="shared" si="4"/>
        <v>0.13</v>
      </c>
      <c r="K8" t="str">
        <f t="shared" si="2"/>
        <v/>
      </c>
      <c r="L8">
        <f t="shared" si="2"/>
        <v>-0.13</v>
      </c>
      <c r="M8" t="str">
        <f t="shared" si="2"/>
        <v/>
      </c>
      <c r="N8" t="str">
        <f t="shared" si="2"/>
        <v/>
      </c>
      <c r="O8" t="str">
        <f t="shared" si="2"/>
        <v/>
      </c>
      <c r="V8" t="s">
        <v>5</v>
      </c>
      <c r="AD8" t="s">
        <v>239</v>
      </c>
    </row>
    <row r="9" spans="1:33" ht="15" thickBot="1" x14ac:dyDescent="0.35">
      <c r="A9" s="4" t="s">
        <v>97</v>
      </c>
      <c r="B9" s="22">
        <v>0.18</v>
      </c>
      <c r="C9" s="22" t="s">
        <v>79</v>
      </c>
      <c r="D9" s="22">
        <v>-0.11</v>
      </c>
      <c r="E9" s="22" t="s">
        <v>79</v>
      </c>
      <c r="F9" s="22">
        <v>-0.14000000000000001</v>
      </c>
      <c r="G9" s="22" t="s">
        <v>79</v>
      </c>
      <c r="H9" s="23"/>
      <c r="I9" t="str">
        <f t="shared" si="3"/>
        <v>Q1.7</v>
      </c>
      <c r="J9">
        <f t="shared" si="4"/>
        <v>0.18</v>
      </c>
      <c r="K9" t="str">
        <f t="shared" si="2"/>
        <v/>
      </c>
      <c r="L9">
        <f t="shared" si="2"/>
        <v>-0.11</v>
      </c>
      <c r="M9" t="str">
        <f t="shared" si="2"/>
        <v/>
      </c>
      <c r="N9">
        <f t="shared" si="2"/>
        <v>-0.14000000000000001</v>
      </c>
      <c r="O9" t="str">
        <f t="shared" si="2"/>
        <v/>
      </c>
      <c r="V9" t="s">
        <v>6</v>
      </c>
      <c r="AD9" t="s">
        <v>240</v>
      </c>
    </row>
    <row r="10" spans="1:33" ht="15" thickBot="1" x14ac:dyDescent="0.35">
      <c r="A10" s="4" t="s">
        <v>118</v>
      </c>
      <c r="B10" s="22" t="s">
        <v>79</v>
      </c>
      <c r="C10" s="22" t="s">
        <v>79</v>
      </c>
      <c r="D10" s="22" t="s">
        <v>79</v>
      </c>
      <c r="E10" s="22">
        <v>-0.13</v>
      </c>
      <c r="F10" s="22" t="s">
        <v>79</v>
      </c>
      <c r="G10" s="22" t="s">
        <v>79</v>
      </c>
      <c r="H10" s="23"/>
      <c r="I10" t="str">
        <f t="shared" si="3"/>
        <v>Q1.8</v>
      </c>
      <c r="J10" t="str">
        <f t="shared" si="4"/>
        <v/>
      </c>
      <c r="K10" t="str">
        <f t="shared" si="2"/>
        <v/>
      </c>
      <c r="L10" t="str">
        <f t="shared" si="2"/>
        <v/>
      </c>
      <c r="M10">
        <f t="shared" si="2"/>
        <v>-0.13</v>
      </c>
      <c r="N10" t="str">
        <f t="shared" si="2"/>
        <v/>
      </c>
      <c r="O10" t="str">
        <f t="shared" si="2"/>
        <v/>
      </c>
      <c r="V10" t="s">
        <v>7</v>
      </c>
    </row>
    <row r="11" spans="1:33" ht="15" thickBot="1" x14ac:dyDescent="0.35">
      <c r="A11" s="4" t="s">
        <v>104</v>
      </c>
      <c r="B11" s="22">
        <v>0.37</v>
      </c>
      <c r="C11" s="22" t="s">
        <v>79</v>
      </c>
      <c r="D11" s="22" t="s">
        <v>79</v>
      </c>
      <c r="E11" s="22">
        <v>0.13</v>
      </c>
      <c r="F11" s="22">
        <v>-0.39</v>
      </c>
      <c r="G11" s="22">
        <v>-0.31</v>
      </c>
      <c r="H11" s="23"/>
      <c r="I11" t="str">
        <f t="shared" si="3"/>
        <v>Q1.9</v>
      </c>
      <c r="J11">
        <f t="shared" si="4"/>
        <v>0.37</v>
      </c>
      <c r="K11" t="str">
        <f t="shared" si="2"/>
        <v/>
      </c>
      <c r="L11" t="str">
        <f t="shared" si="2"/>
        <v/>
      </c>
      <c r="M11">
        <f t="shared" si="2"/>
        <v>0.13</v>
      </c>
      <c r="N11">
        <f t="shared" si="2"/>
        <v>-0.39</v>
      </c>
      <c r="O11">
        <f t="shared" si="2"/>
        <v>-0.31</v>
      </c>
      <c r="V11" t="s">
        <v>8</v>
      </c>
      <c r="AG11" s="12" t="s">
        <v>244</v>
      </c>
    </row>
    <row r="12" spans="1:33" ht="15" thickBot="1" x14ac:dyDescent="0.35">
      <c r="A12" s="4" t="s">
        <v>117</v>
      </c>
      <c r="B12" s="22" t="s">
        <v>79</v>
      </c>
      <c r="C12" s="22">
        <v>0.19</v>
      </c>
      <c r="D12" s="22">
        <v>-0.13</v>
      </c>
      <c r="E12" s="22">
        <v>-0.12</v>
      </c>
      <c r="F12" s="22">
        <v>0.14000000000000001</v>
      </c>
      <c r="G12" s="22">
        <v>-0.31</v>
      </c>
      <c r="H12" s="23"/>
      <c r="I12" t="str">
        <f t="shared" si="3"/>
        <v>Q1.10</v>
      </c>
      <c r="J12" t="str">
        <f t="shared" si="4"/>
        <v/>
      </c>
      <c r="K12">
        <f t="shared" si="2"/>
        <v>0.19</v>
      </c>
      <c r="L12">
        <f t="shared" si="2"/>
        <v>-0.13</v>
      </c>
      <c r="M12">
        <f t="shared" si="2"/>
        <v>-0.12</v>
      </c>
      <c r="N12">
        <f t="shared" si="2"/>
        <v>0.14000000000000001</v>
      </c>
      <c r="O12">
        <f t="shared" si="2"/>
        <v>-0.31</v>
      </c>
      <c r="V12" t="s">
        <v>9</v>
      </c>
      <c r="AD12">
        <v>21</v>
      </c>
      <c r="AE12" s="24" t="s">
        <v>20</v>
      </c>
      <c r="AG12" t="s">
        <v>128</v>
      </c>
    </row>
    <row r="13" spans="1:33" ht="15" thickBot="1" x14ac:dyDescent="0.35">
      <c r="A13" s="4" t="s">
        <v>116</v>
      </c>
      <c r="B13" s="22" t="s">
        <v>79</v>
      </c>
      <c r="C13" s="22" t="s">
        <v>79</v>
      </c>
      <c r="D13" s="22" t="s">
        <v>79</v>
      </c>
      <c r="E13" s="22" t="s">
        <v>79</v>
      </c>
      <c r="F13" s="22" t="s">
        <v>79</v>
      </c>
      <c r="G13" s="22" t="s">
        <v>79</v>
      </c>
      <c r="H13" s="23"/>
      <c r="I13" t="str">
        <f t="shared" si="3"/>
        <v>Q1.11</v>
      </c>
      <c r="J13" t="str">
        <f t="shared" si="4"/>
        <v/>
      </c>
      <c r="K13" t="str">
        <f t="shared" si="2"/>
        <v/>
      </c>
      <c r="L13" t="str">
        <f t="shared" si="2"/>
        <v/>
      </c>
      <c r="M13" t="str">
        <f t="shared" si="2"/>
        <v/>
      </c>
      <c r="N13" t="str">
        <f t="shared" si="2"/>
        <v/>
      </c>
      <c r="O13" t="str">
        <f t="shared" si="2"/>
        <v/>
      </c>
      <c r="V13" t="s">
        <v>10</v>
      </c>
      <c r="AD13">
        <v>9</v>
      </c>
      <c r="AE13" s="24" t="s">
        <v>8</v>
      </c>
      <c r="AG13" t="s">
        <v>242</v>
      </c>
    </row>
    <row r="14" spans="1:33" ht="15" thickBot="1" x14ac:dyDescent="0.35">
      <c r="A14" s="4" t="s">
        <v>120</v>
      </c>
      <c r="B14" s="22" t="s">
        <v>79</v>
      </c>
      <c r="C14" s="22" t="s">
        <v>79</v>
      </c>
      <c r="D14" s="22" t="s">
        <v>79</v>
      </c>
      <c r="E14" s="22">
        <v>-0.11</v>
      </c>
      <c r="F14" s="22" t="s">
        <v>79</v>
      </c>
      <c r="G14" s="22" t="s">
        <v>79</v>
      </c>
      <c r="H14" s="23"/>
      <c r="I14" t="str">
        <f t="shared" si="3"/>
        <v>Q1.12</v>
      </c>
      <c r="J14" t="str">
        <f t="shared" si="4"/>
        <v/>
      </c>
      <c r="K14" t="str">
        <f t="shared" si="2"/>
        <v/>
      </c>
      <c r="L14" t="str">
        <f t="shared" si="2"/>
        <v/>
      </c>
      <c r="M14">
        <f t="shared" si="2"/>
        <v>-0.11</v>
      </c>
      <c r="N14" t="str">
        <f t="shared" si="2"/>
        <v/>
      </c>
      <c r="O14" t="str">
        <f t="shared" si="2"/>
        <v/>
      </c>
      <c r="V14" t="s">
        <v>11</v>
      </c>
      <c r="AD14">
        <v>27</v>
      </c>
      <c r="AE14" s="24" t="s">
        <v>26</v>
      </c>
      <c r="AG14" t="s">
        <v>129</v>
      </c>
    </row>
    <row r="15" spans="1:33" ht="15" thickBot="1" x14ac:dyDescent="0.35">
      <c r="A15" s="4" t="s">
        <v>100</v>
      </c>
      <c r="B15" s="22">
        <v>0.24</v>
      </c>
      <c r="C15" s="22" t="s">
        <v>79</v>
      </c>
      <c r="D15" s="22">
        <v>-0.1</v>
      </c>
      <c r="E15" s="22" t="s">
        <v>79</v>
      </c>
      <c r="F15" s="22">
        <v>-0.18</v>
      </c>
      <c r="G15" s="22">
        <v>-0.15</v>
      </c>
      <c r="H15" s="23"/>
      <c r="I15" t="str">
        <f t="shared" si="3"/>
        <v>Q1.13</v>
      </c>
      <c r="J15">
        <f t="shared" si="4"/>
        <v>0.24</v>
      </c>
      <c r="K15" t="str">
        <f t="shared" si="2"/>
        <v/>
      </c>
      <c r="L15">
        <f t="shared" si="2"/>
        <v>-0.1</v>
      </c>
      <c r="M15" t="str">
        <f t="shared" si="2"/>
        <v/>
      </c>
      <c r="N15">
        <f t="shared" si="2"/>
        <v>-0.18</v>
      </c>
      <c r="O15">
        <f t="shared" si="2"/>
        <v>-0.15</v>
      </c>
      <c r="V15" t="s">
        <v>13</v>
      </c>
      <c r="AD15">
        <v>4</v>
      </c>
      <c r="AE15" s="24" t="s">
        <v>3</v>
      </c>
      <c r="AG15" t="s">
        <v>243</v>
      </c>
    </row>
    <row r="16" spans="1:33" ht="15" thickBot="1" x14ac:dyDescent="0.35">
      <c r="A16" s="4" t="s">
        <v>93</v>
      </c>
      <c r="B16" s="22">
        <v>0.21</v>
      </c>
      <c r="C16" s="22" t="s">
        <v>79</v>
      </c>
      <c r="D16" s="22">
        <v>-0.12</v>
      </c>
      <c r="E16" s="22" t="s">
        <v>79</v>
      </c>
      <c r="F16" s="22">
        <v>-0.15</v>
      </c>
      <c r="G16" s="22">
        <v>-0.11</v>
      </c>
      <c r="H16" s="23"/>
      <c r="I16" t="str">
        <f t="shared" si="3"/>
        <v>Q1.14</v>
      </c>
      <c r="J16">
        <f t="shared" si="4"/>
        <v>0.21</v>
      </c>
      <c r="K16" t="str">
        <f t="shared" si="2"/>
        <v/>
      </c>
      <c r="L16">
        <f t="shared" si="2"/>
        <v>-0.12</v>
      </c>
      <c r="M16" t="str">
        <f t="shared" si="2"/>
        <v/>
      </c>
      <c r="N16">
        <f t="shared" si="2"/>
        <v>-0.15</v>
      </c>
      <c r="O16">
        <f t="shared" si="2"/>
        <v>-0.11</v>
      </c>
      <c r="V16" t="s">
        <v>12</v>
      </c>
      <c r="AD16">
        <v>8</v>
      </c>
      <c r="AE16" s="24" t="s">
        <v>7</v>
      </c>
      <c r="AF16" t="s">
        <v>11</v>
      </c>
      <c r="AG16" t="s">
        <v>89</v>
      </c>
    </row>
    <row r="17" spans="1:33" ht="15" thickBot="1" x14ac:dyDescent="0.35">
      <c r="A17" s="4" t="s">
        <v>98</v>
      </c>
      <c r="B17" s="22">
        <v>0.15</v>
      </c>
      <c r="C17" s="22" t="s">
        <v>79</v>
      </c>
      <c r="D17" s="22">
        <v>-0.12</v>
      </c>
      <c r="E17" s="22" t="s">
        <v>79</v>
      </c>
      <c r="F17" s="22" t="s">
        <v>79</v>
      </c>
      <c r="G17" s="22" t="s">
        <v>79</v>
      </c>
      <c r="H17" s="23"/>
      <c r="I17" t="str">
        <f t="shared" si="3"/>
        <v>Q1.15</v>
      </c>
      <c r="J17">
        <f t="shared" si="4"/>
        <v>0.15</v>
      </c>
      <c r="K17" t="str">
        <f t="shared" si="2"/>
        <v/>
      </c>
      <c r="L17">
        <f t="shared" si="2"/>
        <v>-0.12</v>
      </c>
      <c r="M17" t="str">
        <f t="shared" si="2"/>
        <v/>
      </c>
      <c r="N17" t="str">
        <f t="shared" si="2"/>
        <v/>
      </c>
      <c r="O17" t="str">
        <f t="shared" si="2"/>
        <v/>
      </c>
      <c r="V17" t="s">
        <v>14</v>
      </c>
      <c r="AD17">
        <v>10</v>
      </c>
      <c r="AE17" s="24" t="s">
        <v>9</v>
      </c>
      <c r="AG17" t="s">
        <v>141</v>
      </c>
    </row>
    <row r="18" spans="1:33" ht="15" thickBot="1" x14ac:dyDescent="0.35">
      <c r="A18" s="4" t="s">
        <v>99</v>
      </c>
      <c r="B18" s="22">
        <v>0.24</v>
      </c>
      <c r="C18" s="22" t="s">
        <v>79</v>
      </c>
      <c r="D18" s="22">
        <v>-0.13</v>
      </c>
      <c r="E18" s="22" t="s">
        <v>79</v>
      </c>
      <c r="F18" s="22">
        <v>-0.22</v>
      </c>
      <c r="G18" s="22" t="s">
        <v>79</v>
      </c>
      <c r="H18" s="23"/>
      <c r="I18" t="str">
        <f t="shared" si="3"/>
        <v>Q1.16</v>
      </c>
      <c r="J18">
        <f t="shared" si="4"/>
        <v>0.24</v>
      </c>
      <c r="K18" t="str">
        <f t="shared" si="2"/>
        <v/>
      </c>
      <c r="L18">
        <f t="shared" si="2"/>
        <v>-0.13</v>
      </c>
      <c r="M18" t="str">
        <f t="shared" si="2"/>
        <v/>
      </c>
      <c r="N18">
        <f t="shared" si="2"/>
        <v>-0.22</v>
      </c>
      <c r="O18" t="str">
        <f t="shared" si="2"/>
        <v/>
      </c>
      <c r="V18" t="s">
        <v>15</v>
      </c>
      <c r="AD18">
        <v>1</v>
      </c>
      <c r="AE18" s="24" t="s">
        <v>0</v>
      </c>
      <c r="AG18" t="s">
        <v>132</v>
      </c>
    </row>
    <row r="19" spans="1:33" ht="15" thickBot="1" x14ac:dyDescent="0.35">
      <c r="A19" s="4" t="s">
        <v>105</v>
      </c>
      <c r="B19" s="22">
        <v>0.2</v>
      </c>
      <c r="C19" s="22" t="s">
        <v>79</v>
      </c>
      <c r="D19" s="22">
        <v>-0.11</v>
      </c>
      <c r="E19" s="22" t="s">
        <v>79</v>
      </c>
      <c r="F19" s="22">
        <v>-0.18</v>
      </c>
      <c r="G19" s="22" t="s">
        <v>79</v>
      </c>
      <c r="H19" s="23"/>
      <c r="I19" t="str">
        <f t="shared" si="3"/>
        <v>Q1.17</v>
      </c>
      <c r="J19">
        <f t="shared" si="4"/>
        <v>0.2</v>
      </c>
      <c r="K19" t="str">
        <f t="shared" ref="K19:K82" si="5">IF(ISNUMBER(C19),C19,"")</f>
        <v/>
      </c>
      <c r="L19">
        <f t="shared" ref="L19:L82" si="6">IF(ISNUMBER(D19),D19,"")</f>
        <v>-0.11</v>
      </c>
      <c r="M19" t="str">
        <f t="shared" ref="M19:M82" si="7">IF(ISNUMBER(E19),E19,"")</f>
        <v/>
      </c>
      <c r="N19">
        <f t="shared" ref="N19:N82" si="8">IF(ISNUMBER(F19),F19,"")</f>
        <v>-0.18</v>
      </c>
      <c r="O19" t="str">
        <f t="shared" ref="O19:O82" si="9">IF(ISNUMBER(G19),G19,"")</f>
        <v/>
      </c>
      <c r="V19" t="s">
        <v>16</v>
      </c>
    </row>
    <row r="20" spans="1:33" ht="15" thickBot="1" x14ac:dyDescent="0.35">
      <c r="A20" s="4" t="s">
        <v>109</v>
      </c>
      <c r="B20" s="22" t="s">
        <v>79</v>
      </c>
      <c r="C20" s="22" t="s">
        <v>79</v>
      </c>
      <c r="D20" s="22">
        <v>-0.11</v>
      </c>
      <c r="E20" s="22" t="s">
        <v>79</v>
      </c>
      <c r="F20" s="22" t="s">
        <v>79</v>
      </c>
      <c r="G20" s="22" t="s">
        <v>79</v>
      </c>
      <c r="H20" s="23"/>
      <c r="I20" t="str">
        <f t="shared" si="3"/>
        <v>Q1.18</v>
      </c>
      <c r="J20" t="str">
        <f t="shared" si="4"/>
        <v/>
      </c>
      <c r="K20" t="str">
        <f t="shared" si="5"/>
        <v/>
      </c>
      <c r="L20">
        <f t="shared" si="6"/>
        <v>-0.11</v>
      </c>
      <c r="M20" t="str">
        <f t="shared" si="7"/>
        <v/>
      </c>
      <c r="N20" t="str">
        <f t="shared" si="8"/>
        <v/>
      </c>
      <c r="O20" t="str">
        <f t="shared" si="9"/>
        <v/>
      </c>
      <c r="V20" t="s">
        <v>17</v>
      </c>
    </row>
    <row r="21" spans="1:33" ht="15" thickBot="1" x14ac:dyDescent="0.35">
      <c r="A21" s="4" t="s">
        <v>112</v>
      </c>
      <c r="B21" s="22" t="s">
        <v>79</v>
      </c>
      <c r="C21" s="22" t="s">
        <v>79</v>
      </c>
      <c r="D21" s="22">
        <v>-0.1</v>
      </c>
      <c r="E21" s="22" t="s">
        <v>79</v>
      </c>
      <c r="F21" s="22" t="s">
        <v>79</v>
      </c>
      <c r="G21" s="22" t="s">
        <v>79</v>
      </c>
      <c r="H21" s="23"/>
      <c r="I21" t="str">
        <f t="shared" si="3"/>
        <v>Q1.19</v>
      </c>
      <c r="J21" t="str">
        <f t="shared" si="4"/>
        <v/>
      </c>
      <c r="K21" t="str">
        <f t="shared" si="5"/>
        <v/>
      </c>
      <c r="L21">
        <f t="shared" si="6"/>
        <v>-0.1</v>
      </c>
      <c r="M21" t="str">
        <f t="shared" si="7"/>
        <v/>
      </c>
      <c r="N21" t="str">
        <f t="shared" si="8"/>
        <v/>
      </c>
      <c r="O21" t="str">
        <f t="shared" si="9"/>
        <v/>
      </c>
      <c r="V21" t="s">
        <v>18</v>
      </c>
    </row>
    <row r="22" spans="1:33" ht="15" thickBot="1" x14ac:dyDescent="0.35">
      <c r="A22" s="4" t="s">
        <v>94</v>
      </c>
      <c r="B22" s="22">
        <v>0.21</v>
      </c>
      <c r="C22" s="22" t="s">
        <v>79</v>
      </c>
      <c r="D22" s="22">
        <v>-0.14000000000000001</v>
      </c>
      <c r="E22" s="22" t="s">
        <v>79</v>
      </c>
      <c r="F22" s="22">
        <v>-0.14000000000000001</v>
      </c>
      <c r="G22" s="22" t="s">
        <v>79</v>
      </c>
      <c r="H22" s="23"/>
      <c r="I22" t="str">
        <f t="shared" si="3"/>
        <v>Q1.20</v>
      </c>
      <c r="J22">
        <f t="shared" si="4"/>
        <v>0.21</v>
      </c>
      <c r="K22" t="str">
        <f t="shared" si="5"/>
        <v/>
      </c>
      <c r="L22">
        <f t="shared" si="6"/>
        <v>-0.14000000000000001</v>
      </c>
      <c r="M22" t="str">
        <f t="shared" si="7"/>
        <v/>
      </c>
      <c r="N22">
        <f t="shared" si="8"/>
        <v>-0.14000000000000001</v>
      </c>
      <c r="O22" t="str">
        <f t="shared" si="9"/>
        <v/>
      </c>
      <c r="V22" t="s">
        <v>19</v>
      </c>
    </row>
    <row r="23" spans="1:33" ht="15" thickBot="1" x14ac:dyDescent="0.35">
      <c r="A23" s="4" t="s">
        <v>111</v>
      </c>
      <c r="B23" s="22" t="s">
        <v>79</v>
      </c>
      <c r="C23" s="22" t="s">
        <v>79</v>
      </c>
      <c r="D23" s="22">
        <v>-0.14000000000000001</v>
      </c>
      <c r="E23" s="22" t="s">
        <v>79</v>
      </c>
      <c r="F23" s="22" t="s">
        <v>79</v>
      </c>
      <c r="G23" s="22" t="s">
        <v>79</v>
      </c>
      <c r="H23" s="23"/>
      <c r="I23" t="str">
        <f t="shared" si="3"/>
        <v>Q1.21</v>
      </c>
      <c r="J23" t="str">
        <f t="shared" si="4"/>
        <v/>
      </c>
      <c r="K23" t="str">
        <f t="shared" si="5"/>
        <v/>
      </c>
      <c r="L23">
        <f t="shared" si="6"/>
        <v>-0.14000000000000001</v>
      </c>
      <c r="M23" t="str">
        <f t="shared" si="7"/>
        <v/>
      </c>
      <c r="N23" t="str">
        <f t="shared" si="8"/>
        <v/>
      </c>
      <c r="O23" t="str">
        <f t="shared" si="9"/>
        <v/>
      </c>
      <c r="V23" t="s">
        <v>20</v>
      </c>
    </row>
    <row r="24" spans="1:33" ht="15" thickBot="1" x14ac:dyDescent="0.35">
      <c r="A24" s="4" t="s">
        <v>106</v>
      </c>
      <c r="B24" s="22">
        <v>0.1</v>
      </c>
      <c r="C24" s="22" t="s">
        <v>79</v>
      </c>
      <c r="D24" s="22">
        <v>-0.1</v>
      </c>
      <c r="E24" s="22" t="s">
        <v>79</v>
      </c>
      <c r="F24" s="22" t="s">
        <v>79</v>
      </c>
      <c r="G24" s="22" t="s">
        <v>79</v>
      </c>
      <c r="H24" s="23"/>
      <c r="I24" t="str">
        <f t="shared" si="3"/>
        <v>Q1.22</v>
      </c>
      <c r="J24">
        <f t="shared" si="4"/>
        <v>0.1</v>
      </c>
      <c r="K24" t="str">
        <f t="shared" si="5"/>
        <v/>
      </c>
      <c r="L24">
        <f t="shared" si="6"/>
        <v>-0.1</v>
      </c>
      <c r="M24" t="str">
        <f t="shared" si="7"/>
        <v/>
      </c>
      <c r="N24" t="str">
        <f t="shared" si="8"/>
        <v/>
      </c>
      <c r="O24" t="str">
        <f t="shared" si="9"/>
        <v/>
      </c>
      <c r="V24" t="s">
        <v>21</v>
      </c>
    </row>
    <row r="25" spans="1:33" ht="15" thickBot="1" x14ac:dyDescent="0.35">
      <c r="A25" s="4" t="s">
        <v>107</v>
      </c>
      <c r="B25" s="22">
        <v>0.15</v>
      </c>
      <c r="C25" s="22" t="s">
        <v>79</v>
      </c>
      <c r="D25" s="22">
        <v>-0.11</v>
      </c>
      <c r="E25" s="22" t="s">
        <v>79</v>
      </c>
      <c r="F25" s="22">
        <v>-0.11</v>
      </c>
      <c r="G25" s="22" t="s">
        <v>79</v>
      </c>
      <c r="H25" s="23"/>
      <c r="I25" t="str">
        <f t="shared" si="3"/>
        <v>Q1.23</v>
      </c>
      <c r="J25">
        <f t="shared" si="4"/>
        <v>0.15</v>
      </c>
      <c r="K25" t="str">
        <f t="shared" si="5"/>
        <v/>
      </c>
      <c r="L25">
        <f t="shared" si="6"/>
        <v>-0.11</v>
      </c>
      <c r="M25" t="str">
        <f t="shared" si="7"/>
        <v/>
      </c>
      <c r="N25">
        <f t="shared" si="8"/>
        <v>-0.11</v>
      </c>
      <c r="O25" t="str">
        <f t="shared" si="9"/>
        <v/>
      </c>
      <c r="V25" t="s">
        <v>22</v>
      </c>
    </row>
    <row r="26" spans="1:33" ht="15" thickBot="1" x14ac:dyDescent="0.35">
      <c r="A26" s="4" t="s">
        <v>110</v>
      </c>
      <c r="B26" s="22" t="s">
        <v>79</v>
      </c>
      <c r="C26" s="22" t="s">
        <v>79</v>
      </c>
      <c r="D26" s="22" t="s">
        <v>79</v>
      </c>
      <c r="E26" s="22" t="s">
        <v>79</v>
      </c>
      <c r="F26" s="22" t="s">
        <v>79</v>
      </c>
      <c r="G26" s="22" t="s">
        <v>79</v>
      </c>
      <c r="H26" s="23"/>
      <c r="I26" t="str">
        <f t="shared" si="3"/>
        <v>Q1.24</v>
      </c>
      <c r="J26" t="str">
        <f t="shared" si="4"/>
        <v/>
      </c>
      <c r="K26" t="str">
        <f t="shared" si="5"/>
        <v/>
      </c>
      <c r="L26" t="str">
        <f t="shared" si="6"/>
        <v/>
      </c>
      <c r="M26" t="str">
        <f t="shared" si="7"/>
        <v/>
      </c>
      <c r="N26" t="str">
        <f t="shared" si="8"/>
        <v/>
      </c>
      <c r="O26" t="str">
        <f t="shared" si="9"/>
        <v/>
      </c>
      <c r="V26" t="s">
        <v>23</v>
      </c>
    </row>
    <row r="27" spans="1:33" ht="15" thickBot="1" x14ac:dyDescent="0.35">
      <c r="A27" s="4" t="s">
        <v>101</v>
      </c>
      <c r="B27" s="22">
        <v>0.14000000000000001</v>
      </c>
      <c r="C27" s="22" t="s">
        <v>79</v>
      </c>
      <c r="D27" s="22">
        <v>-0.11</v>
      </c>
      <c r="E27" s="22" t="s">
        <v>79</v>
      </c>
      <c r="F27" s="22">
        <v>-0.1</v>
      </c>
      <c r="G27" s="22" t="s">
        <v>79</v>
      </c>
      <c r="H27" s="23"/>
      <c r="I27" t="str">
        <f t="shared" si="3"/>
        <v>Q1.25</v>
      </c>
      <c r="J27">
        <f t="shared" si="4"/>
        <v>0.14000000000000001</v>
      </c>
      <c r="K27" t="str">
        <f t="shared" si="5"/>
        <v/>
      </c>
      <c r="L27">
        <f t="shared" si="6"/>
        <v>-0.11</v>
      </c>
      <c r="M27" t="str">
        <f t="shared" si="7"/>
        <v/>
      </c>
      <c r="N27">
        <f t="shared" si="8"/>
        <v>-0.1</v>
      </c>
      <c r="O27" t="str">
        <f t="shared" si="9"/>
        <v/>
      </c>
      <c r="V27" t="s">
        <v>24</v>
      </c>
    </row>
    <row r="28" spans="1:33" ht="15" thickBot="1" x14ac:dyDescent="0.35">
      <c r="A28" s="4" t="s">
        <v>103</v>
      </c>
      <c r="B28" s="22">
        <v>0.27</v>
      </c>
      <c r="C28" s="22" t="s">
        <v>79</v>
      </c>
      <c r="D28" s="22" t="s">
        <v>79</v>
      </c>
      <c r="E28" s="22" t="s">
        <v>79</v>
      </c>
      <c r="F28" s="22">
        <v>-0.23</v>
      </c>
      <c r="G28" s="22">
        <v>-0.15</v>
      </c>
      <c r="H28" s="23"/>
      <c r="I28" t="str">
        <f t="shared" si="3"/>
        <v>Q1.26</v>
      </c>
      <c r="J28">
        <f t="shared" si="4"/>
        <v>0.27</v>
      </c>
      <c r="K28" t="str">
        <f t="shared" si="5"/>
        <v/>
      </c>
      <c r="L28" t="str">
        <f t="shared" si="6"/>
        <v/>
      </c>
      <c r="M28" t="str">
        <f t="shared" si="7"/>
        <v/>
      </c>
      <c r="N28">
        <f t="shared" si="8"/>
        <v>-0.23</v>
      </c>
      <c r="O28">
        <f t="shared" si="9"/>
        <v>-0.15</v>
      </c>
      <c r="V28" t="s">
        <v>25</v>
      </c>
    </row>
    <row r="29" spans="1:33" ht="15" thickBot="1" x14ac:dyDescent="0.35">
      <c r="A29" s="4" t="s">
        <v>95</v>
      </c>
      <c r="B29" s="22">
        <v>0.37</v>
      </c>
      <c r="C29" s="22" t="s">
        <v>79</v>
      </c>
      <c r="D29" s="22">
        <v>-0.11</v>
      </c>
      <c r="E29" s="22">
        <v>-0.14000000000000001</v>
      </c>
      <c r="F29" s="22">
        <v>-0.25</v>
      </c>
      <c r="G29" s="22">
        <v>-0.11</v>
      </c>
      <c r="H29" s="23"/>
      <c r="I29" t="str">
        <f t="shared" si="3"/>
        <v>Q1.27</v>
      </c>
      <c r="J29">
        <f t="shared" si="4"/>
        <v>0.37</v>
      </c>
      <c r="K29" t="str">
        <f t="shared" si="5"/>
        <v/>
      </c>
      <c r="L29">
        <f t="shared" si="6"/>
        <v>-0.11</v>
      </c>
      <c r="M29">
        <f t="shared" si="7"/>
        <v>-0.14000000000000001</v>
      </c>
      <c r="N29">
        <f t="shared" si="8"/>
        <v>-0.25</v>
      </c>
      <c r="O29">
        <f t="shared" si="9"/>
        <v>-0.11</v>
      </c>
      <c r="V29" t="s">
        <v>26</v>
      </c>
    </row>
    <row r="30" spans="1:33" ht="15" thickBot="1" x14ac:dyDescent="0.35">
      <c r="A30" s="4" t="s">
        <v>92</v>
      </c>
      <c r="B30" s="22">
        <v>0.24</v>
      </c>
      <c r="C30" s="22" t="s">
        <v>79</v>
      </c>
      <c r="D30" s="22">
        <v>-0.11</v>
      </c>
      <c r="E30" s="22" t="s">
        <v>79</v>
      </c>
      <c r="F30" s="22">
        <v>-0.19</v>
      </c>
      <c r="G30" s="22" t="s">
        <v>79</v>
      </c>
      <c r="H30" s="23"/>
      <c r="I30" t="str">
        <f t="shared" si="3"/>
        <v>Q1.28</v>
      </c>
      <c r="J30">
        <f t="shared" si="4"/>
        <v>0.24</v>
      </c>
      <c r="K30" t="str">
        <f t="shared" si="5"/>
        <v/>
      </c>
      <c r="L30">
        <f t="shared" si="6"/>
        <v>-0.11</v>
      </c>
      <c r="M30" t="str">
        <f t="shared" si="7"/>
        <v/>
      </c>
      <c r="N30">
        <f t="shared" si="8"/>
        <v>-0.19</v>
      </c>
      <c r="O30" t="str">
        <f t="shared" si="9"/>
        <v/>
      </c>
      <c r="V30" t="s">
        <v>27</v>
      </c>
    </row>
    <row r="31" spans="1:33" ht="15" thickBot="1" x14ac:dyDescent="0.35">
      <c r="A31" s="4" t="s">
        <v>113</v>
      </c>
      <c r="B31" s="22" t="s">
        <v>79</v>
      </c>
      <c r="C31" s="22" t="s">
        <v>79</v>
      </c>
      <c r="D31" s="22" t="s">
        <v>79</v>
      </c>
      <c r="E31" s="22" t="s">
        <v>79</v>
      </c>
      <c r="F31" s="22" t="s">
        <v>79</v>
      </c>
      <c r="G31" s="22" t="s">
        <v>79</v>
      </c>
      <c r="H31" s="23"/>
      <c r="I31" t="str">
        <f t="shared" si="3"/>
        <v>Q1.29</v>
      </c>
      <c r="J31" t="str">
        <f t="shared" si="4"/>
        <v/>
      </c>
      <c r="K31" t="str">
        <f t="shared" si="5"/>
        <v/>
      </c>
      <c r="L31" t="str">
        <f t="shared" si="6"/>
        <v/>
      </c>
      <c r="M31" t="str">
        <f t="shared" si="7"/>
        <v/>
      </c>
      <c r="N31" t="str">
        <f t="shared" si="8"/>
        <v/>
      </c>
      <c r="O31" t="str">
        <f t="shared" si="9"/>
        <v/>
      </c>
      <c r="V31" t="s">
        <v>28</v>
      </c>
    </row>
    <row r="32" spans="1:33" ht="15" thickBot="1" x14ac:dyDescent="0.35">
      <c r="A32" s="4" t="s">
        <v>147</v>
      </c>
      <c r="B32" s="22">
        <v>0.17</v>
      </c>
      <c r="C32" s="22">
        <v>-0.1</v>
      </c>
      <c r="D32" s="22" t="s">
        <v>79</v>
      </c>
      <c r="E32" s="22" t="s">
        <v>79</v>
      </c>
      <c r="F32" s="22">
        <v>-0.13</v>
      </c>
      <c r="G32" s="22" t="s">
        <v>79</v>
      </c>
      <c r="H32" s="23"/>
      <c r="I32" t="str">
        <f t="shared" si="3"/>
        <v>Q2</v>
      </c>
      <c r="J32">
        <f t="shared" si="4"/>
        <v>0.17</v>
      </c>
      <c r="K32">
        <f t="shared" si="5"/>
        <v>-0.1</v>
      </c>
      <c r="L32" t="str">
        <f t="shared" si="6"/>
        <v/>
      </c>
      <c r="M32" t="str">
        <f t="shared" si="7"/>
        <v/>
      </c>
      <c r="N32">
        <f t="shared" si="8"/>
        <v>-0.13</v>
      </c>
      <c r="O32" t="str">
        <f t="shared" si="9"/>
        <v/>
      </c>
      <c r="V32" t="s">
        <v>206</v>
      </c>
    </row>
    <row r="33" spans="1:22" ht="15" thickBot="1" x14ac:dyDescent="0.35">
      <c r="A33" s="4" t="s">
        <v>148</v>
      </c>
      <c r="B33" s="22" t="s">
        <v>79</v>
      </c>
      <c r="C33" s="22" t="s">
        <v>79</v>
      </c>
      <c r="D33" s="22" t="s">
        <v>79</v>
      </c>
      <c r="E33" s="22" t="s">
        <v>79</v>
      </c>
      <c r="F33" s="22" t="s">
        <v>79</v>
      </c>
      <c r="G33" s="22">
        <v>0.11</v>
      </c>
      <c r="H33" s="23"/>
      <c r="I33" t="str">
        <f t="shared" si="3"/>
        <v>Q2.Cluster</v>
      </c>
      <c r="J33" t="str">
        <f t="shared" si="4"/>
        <v/>
      </c>
      <c r="K33" t="str">
        <f t="shared" si="5"/>
        <v/>
      </c>
      <c r="L33" t="str">
        <f t="shared" si="6"/>
        <v/>
      </c>
      <c r="M33" t="str">
        <f t="shared" si="7"/>
        <v/>
      </c>
      <c r="N33" t="str">
        <f t="shared" si="8"/>
        <v/>
      </c>
      <c r="O33">
        <f t="shared" si="9"/>
        <v>0.11</v>
      </c>
      <c r="V33" t="s">
        <v>206</v>
      </c>
    </row>
    <row r="34" spans="1:22" ht="15" thickBot="1" x14ac:dyDescent="0.35">
      <c r="A34" s="4" t="s">
        <v>149</v>
      </c>
      <c r="B34" s="22" t="s">
        <v>79</v>
      </c>
      <c r="C34" s="22" t="s">
        <v>79</v>
      </c>
      <c r="D34" s="22" t="s">
        <v>79</v>
      </c>
      <c r="E34" s="22" t="s">
        <v>79</v>
      </c>
      <c r="F34" s="22" t="s">
        <v>79</v>
      </c>
      <c r="G34" s="22" t="s">
        <v>79</v>
      </c>
      <c r="H34" s="23"/>
      <c r="I34" t="str">
        <f t="shared" si="3"/>
        <v>Q3</v>
      </c>
      <c r="J34" t="str">
        <f t="shared" si="4"/>
        <v/>
      </c>
      <c r="K34" t="str">
        <f t="shared" si="5"/>
        <v/>
      </c>
      <c r="L34" t="str">
        <f t="shared" si="6"/>
        <v/>
      </c>
      <c r="M34" t="str">
        <f t="shared" si="7"/>
        <v/>
      </c>
      <c r="N34" t="str">
        <f t="shared" si="8"/>
        <v/>
      </c>
      <c r="O34" t="str">
        <f t="shared" si="9"/>
        <v/>
      </c>
      <c r="V34" t="s">
        <v>207</v>
      </c>
    </row>
    <row r="35" spans="1:22" ht="15" thickBot="1" x14ac:dyDescent="0.35">
      <c r="A35" s="4" t="s">
        <v>150</v>
      </c>
      <c r="B35" s="22">
        <v>0.14000000000000001</v>
      </c>
      <c r="C35" s="22" t="s">
        <v>79</v>
      </c>
      <c r="D35" s="22" t="s">
        <v>79</v>
      </c>
      <c r="E35" s="22" t="s">
        <v>79</v>
      </c>
      <c r="F35" s="22" t="s">
        <v>79</v>
      </c>
      <c r="G35" s="22">
        <v>-0.12</v>
      </c>
      <c r="H35" s="23"/>
      <c r="I35" t="str">
        <f t="shared" si="3"/>
        <v>Q4</v>
      </c>
      <c r="J35">
        <f t="shared" si="4"/>
        <v>0.14000000000000001</v>
      </c>
      <c r="K35" t="str">
        <f t="shared" si="5"/>
        <v/>
      </c>
      <c r="L35" t="str">
        <f t="shared" si="6"/>
        <v/>
      </c>
      <c r="M35" t="str">
        <f t="shared" si="7"/>
        <v/>
      </c>
      <c r="N35" t="str">
        <f t="shared" si="8"/>
        <v/>
      </c>
      <c r="O35">
        <f t="shared" si="9"/>
        <v>-0.12</v>
      </c>
      <c r="V35" t="s">
        <v>208</v>
      </c>
    </row>
    <row r="36" spans="1:22" ht="15" thickBot="1" x14ac:dyDescent="0.35">
      <c r="A36" s="4" t="s">
        <v>151</v>
      </c>
      <c r="B36" s="22">
        <v>0.26</v>
      </c>
      <c r="C36" s="22" t="s">
        <v>79</v>
      </c>
      <c r="D36" s="22" t="s">
        <v>79</v>
      </c>
      <c r="E36" s="22" t="s">
        <v>79</v>
      </c>
      <c r="F36" s="22">
        <v>-0.19</v>
      </c>
      <c r="G36" s="22">
        <v>-0.1</v>
      </c>
      <c r="H36" s="23"/>
      <c r="I36" t="str">
        <f t="shared" si="3"/>
        <v>Q5</v>
      </c>
      <c r="J36">
        <f t="shared" si="4"/>
        <v>0.26</v>
      </c>
      <c r="K36" t="str">
        <f t="shared" si="5"/>
        <v/>
      </c>
      <c r="L36" t="str">
        <f t="shared" si="6"/>
        <v/>
      </c>
      <c r="M36" t="str">
        <f t="shared" si="7"/>
        <v/>
      </c>
      <c r="N36">
        <f t="shared" si="8"/>
        <v>-0.19</v>
      </c>
      <c r="O36">
        <f t="shared" si="9"/>
        <v>-0.1</v>
      </c>
      <c r="V36" t="s">
        <v>209</v>
      </c>
    </row>
    <row r="37" spans="1:22" ht="15" thickBot="1" x14ac:dyDescent="0.35">
      <c r="A37" s="4" t="s">
        <v>152</v>
      </c>
      <c r="B37" s="22" t="s">
        <v>79</v>
      </c>
      <c r="C37" s="22" t="s">
        <v>79</v>
      </c>
      <c r="D37" s="22" t="s">
        <v>79</v>
      </c>
      <c r="E37" s="22" t="s">
        <v>79</v>
      </c>
      <c r="F37" s="22" t="s">
        <v>79</v>
      </c>
      <c r="G37" s="22" t="s">
        <v>79</v>
      </c>
      <c r="H37" s="23"/>
      <c r="I37" t="str">
        <f t="shared" si="3"/>
        <v>Q6</v>
      </c>
      <c r="J37" t="str">
        <f t="shared" si="4"/>
        <v/>
      </c>
      <c r="K37" t="str">
        <f t="shared" si="5"/>
        <v/>
      </c>
      <c r="L37" t="str">
        <f t="shared" si="6"/>
        <v/>
      </c>
      <c r="M37" t="str">
        <f t="shared" si="7"/>
        <v/>
      </c>
      <c r="N37" t="str">
        <f t="shared" si="8"/>
        <v/>
      </c>
      <c r="O37" t="str">
        <f t="shared" si="9"/>
        <v/>
      </c>
      <c r="V37" t="s">
        <v>210</v>
      </c>
    </row>
    <row r="38" spans="1:22" ht="15" thickBot="1" x14ac:dyDescent="0.35">
      <c r="A38" s="4" t="s">
        <v>153</v>
      </c>
      <c r="B38" s="22">
        <v>0.1</v>
      </c>
      <c r="C38" s="22" t="s">
        <v>79</v>
      </c>
      <c r="D38" s="22" t="s">
        <v>79</v>
      </c>
      <c r="E38" s="22" t="s">
        <v>79</v>
      </c>
      <c r="F38" s="22" t="s">
        <v>79</v>
      </c>
      <c r="G38" s="22" t="s">
        <v>79</v>
      </c>
      <c r="H38" s="23"/>
      <c r="I38" t="str">
        <f t="shared" si="3"/>
        <v>Q7.1</v>
      </c>
      <c r="J38">
        <f t="shared" si="4"/>
        <v>0.1</v>
      </c>
      <c r="K38" t="str">
        <f t="shared" si="5"/>
        <v/>
      </c>
      <c r="L38" t="str">
        <f t="shared" si="6"/>
        <v/>
      </c>
      <c r="M38" t="str">
        <f t="shared" si="7"/>
        <v/>
      </c>
      <c r="N38" t="str">
        <f t="shared" si="8"/>
        <v/>
      </c>
      <c r="O38" t="str">
        <f t="shared" si="9"/>
        <v/>
      </c>
      <c r="V38" t="s">
        <v>211</v>
      </c>
    </row>
    <row r="39" spans="1:22" ht="15" thickBot="1" x14ac:dyDescent="0.35">
      <c r="A39" s="4" t="s">
        <v>154</v>
      </c>
      <c r="B39" s="22" t="s">
        <v>79</v>
      </c>
      <c r="C39" s="22" t="s">
        <v>79</v>
      </c>
      <c r="D39" s="22" t="s">
        <v>79</v>
      </c>
      <c r="E39" s="22" t="s">
        <v>79</v>
      </c>
      <c r="F39" s="22" t="s">
        <v>79</v>
      </c>
      <c r="G39" s="22" t="s">
        <v>79</v>
      </c>
      <c r="H39" s="23"/>
      <c r="I39" t="str">
        <f t="shared" si="3"/>
        <v>Q7.2</v>
      </c>
      <c r="J39" t="str">
        <f t="shared" si="4"/>
        <v/>
      </c>
      <c r="K39" t="str">
        <f t="shared" si="5"/>
        <v/>
      </c>
      <c r="L39" t="str">
        <f t="shared" si="6"/>
        <v/>
      </c>
      <c r="M39" t="str">
        <f t="shared" si="7"/>
        <v/>
      </c>
      <c r="N39" t="str">
        <f t="shared" si="8"/>
        <v/>
      </c>
      <c r="O39" t="str">
        <f t="shared" si="9"/>
        <v/>
      </c>
      <c r="V39" t="s">
        <v>212</v>
      </c>
    </row>
    <row r="40" spans="1:22" ht="15" thickBot="1" x14ac:dyDescent="0.35">
      <c r="A40" s="4" t="s">
        <v>155</v>
      </c>
      <c r="B40" s="22" t="s">
        <v>79</v>
      </c>
      <c r="C40" s="22" t="s">
        <v>79</v>
      </c>
      <c r="D40" s="22" t="s">
        <v>79</v>
      </c>
      <c r="E40" s="22" t="s">
        <v>79</v>
      </c>
      <c r="F40" s="22" t="s">
        <v>79</v>
      </c>
      <c r="G40" s="22" t="s">
        <v>79</v>
      </c>
      <c r="H40" s="23"/>
      <c r="I40" t="str">
        <f t="shared" si="3"/>
        <v>Q7.3</v>
      </c>
      <c r="J40" t="str">
        <f t="shared" si="4"/>
        <v/>
      </c>
      <c r="K40" t="str">
        <f t="shared" si="5"/>
        <v/>
      </c>
      <c r="L40" t="str">
        <f t="shared" si="6"/>
        <v/>
      </c>
      <c r="M40" t="str">
        <f t="shared" si="7"/>
        <v/>
      </c>
      <c r="N40" t="str">
        <f t="shared" si="8"/>
        <v/>
      </c>
      <c r="O40" t="str">
        <f t="shared" si="9"/>
        <v/>
      </c>
      <c r="V40" t="s">
        <v>213</v>
      </c>
    </row>
    <row r="41" spans="1:22" ht="15" thickBot="1" x14ac:dyDescent="0.35">
      <c r="A41" s="4" t="s">
        <v>156</v>
      </c>
      <c r="B41" s="22" t="s">
        <v>79</v>
      </c>
      <c r="C41" s="22" t="s">
        <v>79</v>
      </c>
      <c r="D41" s="22" t="s">
        <v>79</v>
      </c>
      <c r="E41" s="22" t="s">
        <v>79</v>
      </c>
      <c r="F41" s="22" t="s">
        <v>79</v>
      </c>
      <c r="G41" s="22" t="s">
        <v>79</v>
      </c>
      <c r="H41" s="23"/>
      <c r="I41" t="str">
        <f t="shared" si="3"/>
        <v>Q7.4</v>
      </c>
      <c r="J41" t="str">
        <f t="shared" si="4"/>
        <v/>
      </c>
      <c r="K41" t="str">
        <f t="shared" si="5"/>
        <v/>
      </c>
      <c r="L41" t="str">
        <f t="shared" si="6"/>
        <v/>
      </c>
      <c r="M41" t="str">
        <f t="shared" si="7"/>
        <v/>
      </c>
      <c r="N41" t="str">
        <f t="shared" si="8"/>
        <v/>
      </c>
      <c r="O41" t="str">
        <f t="shared" si="9"/>
        <v/>
      </c>
      <c r="V41" t="s">
        <v>214</v>
      </c>
    </row>
    <row r="42" spans="1:22" ht="15" thickBot="1" x14ac:dyDescent="0.35">
      <c r="A42" s="4" t="s">
        <v>157</v>
      </c>
      <c r="B42" s="22" t="s">
        <v>79</v>
      </c>
      <c r="C42" s="22" t="s">
        <v>79</v>
      </c>
      <c r="D42" s="22" t="s">
        <v>79</v>
      </c>
      <c r="E42" s="22" t="s">
        <v>79</v>
      </c>
      <c r="F42" s="22" t="s">
        <v>79</v>
      </c>
      <c r="G42" s="22" t="s">
        <v>79</v>
      </c>
      <c r="H42" s="23"/>
      <c r="I42" t="str">
        <f t="shared" si="3"/>
        <v>Q8</v>
      </c>
      <c r="J42" t="str">
        <f t="shared" si="4"/>
        <v/>
      </c>
      <c r="K42" t="str">
        <f t="shared" si="5"/>
        <v/>
      </c>
      <c r="L42" t="str">
        <f t="shared" si="6"/>
        <v/>
      </c>
      <c r="M42" t="str">
        <f t="shared" si="7"/>
        <v/>
      </c>
      <c r="N42" t="str">
        <f t="shared" si="8"/>
        <v/>
      </c>
      <c r="O42" t="str">
        <f t="shared" si="9"/>
        <v/>
      </c>
      <c r="V42" t="s">
        <v>215</v>
      </c>
    </row>
    <row r="43" spans="1:22" ht="15" thickBot="1" x14ac:dyDescent="0.35">
      <c r="A43" s="4" t="s">
        <v>158</v>
      </c>
      <c r="B43" s="22" t="s">
        <v>79</v>
      </c>
      <c r="C43" s="22" t="s">
        <v>79</v>
      </c>
      <c r="D43" s="22" t="s">
        <v>79</v>
      </c>
      <c r="E43" s="22" t="s">
        <v>79</v>
      </c>
      <c r="F43" s="22" t="s">
        <v>79</v>
      </c>
      <c r="G43" s="22" t="s">
        <v>79</v>
      </c>
      <c r="H43" s="23"/>
      <c r="I43" t="str">
        <f t="shared" si="3"/>
        <v>Q9.1</v>
      </c>
      <c r="J43" t="str">
        <f t="shared" si="4"/>
        <v/>
      </c>
      <c r="K43" t="str">
        <f t="shared" si="5"/>
        <v/>
      </c>
      <c r="L43" t="str">
        <f t="shared" si="6"/>
        <v/>
      </c>
      <c r="M43" t="str">
        <f t="shared" si="7"/>
        <v/>
      </c>
      <c r="N43" t="str">
        <f t="shared" si="8"/>
        <v/>
      </c>
      <c r="O43" t="str">
        <f t="shared" si="9"/>
        <v/>
      </c>
      <c r="V43" t="s">
        <v>216</v>
      </c>
    </row>
    <row r="44" spans="1:22" ht="15" thickBot="1" x14ac:dyDescent="0.35">
      <c r="A44" s="4" t="s">
        <v>159</v>
      </c>
      <c r="B44" s="22" t="s">
        <v>79</v>
      </c>
      <c r="C44" s="22" t="s">
        <v>79</v>
      </c>
      <c r="D44" s="22" t="s">
        <v>79</v>
      </c>
      <c r="E44" s="22" t="s">
        <v>79</v>
      </c>
      <c r="F44" s="22" t="s">
        <v>79</v>
      </c>
      <c r="G44" s="22" t="s">
        <v>79</v>
      </c>
      <c r="H44" s="23"/>
      <c r="I44" t="str">
        <f t="shared" si="3"/>
        <v>Q9.2</v>
      </c>
      <c r="J44" t="str">
        <f t="shared" si="4"/>
        <v/>
      </c>
      <c r="K44" t="str">
        <f t="shared" si="5"/>
        <v/>
      </c>
      <c r="L44" t="str">
        <f t="shared" si="6"/>
        <v/>
      </c>
      <c r="M44" t="str">
        <f t="shared" si="7"/>
        <v/>
      </c>
      <c r="N44" t="str">
        <f t="shared" si="8"/>
        <v/>
      </c>
      <c r="O44" t="str">
        <f t="shared" si="9"/>
        <v/>
      </c>
      <c r="V44" t="s">
        <v>217</v>
      </c>
    </row>
    <row r="45" spans="1:22" ht="15" thickBot="1" x14ac:dyDescent="0.35">
      <c r="A45" s="4" t="s">
        <v>160</v>
      </c>
      <c r="B45" s="22" t="s">
        <v>79</v>
      </c>
      <c r="C45" s="22" t="s">
        <v>79</v>
      </c>
      <c r="D45" s="22" t="s">
        <v>79</v>
      </c>
      <c r="E45" s="22" t="s">
        <v>79</v>
      </c>
      <c r="F45" s="22" t="s">
        <v>79</v>
      </c>
      <c r="G45" s="22" t="s">
        <v>79</v>
      </c>
      <c r="H45" s="23"/>
      <c r="I45" t="str">
        <f t="shared" si="3"/>
        <v>Q9.3</v>
      </c>
      <c r="J45" t="str">
        <f t="shared" si="4"/>
        <v/>
      </c>
      <c r="K45" t="str">
        <f t="shared" si="5"/>
        <v/>
      </c>
      <c r="L45" t="str">
        <f t="shared" si="6"/>
        <v/>
      </c>
      <c r="M45" t="str">
        <f t="shared" si="7"/>
        <v/>
      </c>
      <c r="N45" t="str">
        <f t="shared" si="8"/>
        <v/>
      </c>
      <c r="O45" t="str">
        <f t="shared" si="9"/>
        <v/>
      </c>
      <c r="V45" t="s">
        <v>218</v>
      </c>
    </row>
    <row r="46" spans="1:22" ht="15" thickBot="1" x14ac:dyDescent="0.35">
      <c r="A46" s="4" t="s">
        <v>161</v>
      </c>
      <c r="B46" s="22" t="s">
        <v>79</v>
      </c>
      <c r="C46" s="22" t="s">
        <v>79</v>
      </c>
      <c r="D46" s="22" t="s">
        <v>79</v>
      </c>
      <c r="E46" s="22" t="s">
        <v>79</v>
      </c>
      <c r="F46" s="22" t="s">
        <v>79</v>
      </c>
      <c r="G46" s="22" t="s">
        <v>79</v>
      </c>
      <c r="H46" s="23"/>
      <c r="I46" t="str">
        <f t="shared" si="3"/>
        <v>Q9.4</v>
      </c>
      <c r="J46" t="str">
        <f t="shared" si="4"/>
        <v/>
      </c>
      <c r="K46" t="str">
        <f t="shared" si="5"/>
        <v/>
      </c>
      <c r="L46" t="str">
        <f t="shared" si="6"/>
        <v/>
      </c>
      <c r="M46" t="str">
        <f t="shared" si="7"/>
        <v/>
      </c>
      <c r="N46" t="str">
        <f t="shared" si="8"/>
        <v/>
      </c>
      <c r="O46" t="str">
        <f t="shared" si="9"/>
        <v/>
      </c>
      <c r="V46" t="s">
        <v>219</v>
      </c>
    </row>
    <row r="47" spans="1:22" ht="15" thickBot="1" x14ac:dyDescent="0.35">
      <c r="A47" s="4" t="s">
        <v>162</v>
      </c>
      <c r="B47" s="22">
        <v>0.1</v>
      </c>
      <c r="C47" s="22" t="s">
        <v>79</v>
      </c>
      <c r="D47" s="22" t="s">
        <v>79</v>
      </c>
      <c r="E47" s="22" t="s">
        <v>79</v>
      </c>
      <c r="F47" s="22" t="s">
        <v>79</v>
      </c>
      <c r="G47" s="22">
        <v>-0.1</v>
      </c>
      <c r="H47" s="23"/>
      <c r="I47" t="str">
        <f t="shared" si="3"/>
        <v>Q9.5</v>
      </c>
      <c r="J47">
        <f t="shared" si="4"/>
        <v>0.1</v>
      </c>
      <c r="K47" t="str">
        <f t="shared" si="5"/>
        <v/>
      </c>
      <c r="L47" t="str">
        <f t="shared" si="6"/>
        <v/>
      </c>
      <c r="M47" t="str">
        <f t="shared" si="7"/>
        <v/>
      </c>
      <c r="N47" t="str">
        <f t="shared" si="8"/>
        <v/>
      </c>
      <c r="O47">
        <f t="shared" si="9"/>
        <v>-0.1</v>
      </c>
      <c r="V47" t="s">
        <v>220</v>
      </c>
    </row>
    <row r="48" spans="1:22" ht="15" thickBot="1" x14ac:dyDescent="0.35">
      <c r="A48" s="4" t="s">
        <v>163</v>
      </c>
      <c r="B48" s="22">
        <v>0.15</v>
      </c>
      <c r="C48" s="22" t="s">
        <v>79</v>
      </c>
      <c r="D48" s="22">
        <v>-0.19</v>
      </c>
      <c r="E48" s="22" t="s">
        <v>79</v>
      </c>
      <c r="F48" s="22" t="s">
        <v>79</v>
      </c>
      <c r="G48" s="22" t="s">
        <v>79</v>
      </c>
      <c r="H48" s="23"/>
      <c r="I48" t="str">
        <f t="shared" si="3"/>
        <v>Q10</v>
      </c>
      <c r="J48">
        <f t="shared" si="4"/>
        <v>0.15</v>
      </c>
      <c r="K48" t="str">
        <f t="shared" si="5"/>
        <v/>
      </c>
      <c r="L48">
        <f t="shared" si="6"/>
        <v>-0.19</v>
      </c>
      <c r="M48" t="str">
        <f t="shared" si="7"/>
        <v/>
      </c>
      <c r="N48" t="str">
        <f t="shared" si="8"/>
        <v/>
      </c>
      <c r="O48" t="str">
        <f t="shared" si="9"/>
        <v/>
      </c>
      <c r="V48" t="s">
        <v>221</v>
      </c>
    </row>
    <row r="49" spans="1:22" ht="15" thickBot="1" x14ac:dyDescent="0.35">
      <c r="A49" s="4" t="s">
        <v>164</v>
      </c>
      <c r="B49" s="22" t="s">
        <v>79</v>
      </c>
      <c r="C49" s="22" t="s">
        <v>79</v>
      </c>
      <c r="D49" s="22" t="s">
        <v>79</v>
      </c>
      <c r="E49" s="22" t="s">
        <v>79</v>
      </c>
      <c r="F49" s="22" t="s">
        <v>79</v>
      </c>
      <c r="G49" s="22" t="s">
        <v>79</v>
      </c>
      <c r="H49" s="23"/>
      <c r="I49" t="str">
        <f t="shared" si="3"/>
        <v>Q11</v>
      </c>
      <c r="J49" t="str">
        <f t="shared" si="4"/>
        <v/>
      </c>
      <c r="K49" t="str">
        <f t="shared" si="5"/>
        <v/>
      </c>
      <c r="L49" t="str">
        <f t="shared" si="6"/>
        <v/>
      </c>
      <c r="M49" t="str">
        <f t="shared" si="7"/>
        <v/>
      </c>
      <c r="N49" t="str">
        <f t="shared" si="8"/>
        <v/>
      </c>
      <c r="O49" t="str">
        <f t="shared" si="9"/>
        <v/>
      </c>
    </row>
    <row r="50" spans="1:22" ht="15" thickBot="1" x14ac:dyDescent="0.35">
      <c r="A50" s="4" t="s">
        <v>165</v>
      </c>
      <c r="B50" s="22" t="s">
        <v>79</v>
      </c>
      <c r="C50" s="22" t="s">
        <v>79</v>
      </c>
      <c r="D50" s="22" t="s">
        <v>79</v>
      </c>
      <c r="E50" s="22" t="s">
        <v>79</v>
      </c>
      <c r="F50" s="22" t="s">
        <v>79</v>
      </c>
      <c r="G50" s="22" t="s">
        <v>79</v>
      </c>
      <c r="H50" s="23"/>
      <c r="I50" t="str">
        <f t="shared" si="3"/>
        <v>Q12</v>
      </c>
      <c r="J50" t="str">
        <f t="shared" si="4"/>
        <v/>
      </c>
      <c r="K50" t="str">
        <f t="shared" si="5"/>
        <v/>
      </c>
      <c r="L50" t="str">
        <f t="shared" si="6"/>
        <v/>
      </c>
      <c r="M50" t="str">
        <f t="shared" si="7"/>
        <v/>
      </c>
      <c r="N50" t="str">
        <f t="shared" si="8"/>
        <v/>
      </c>
      <c r="O50" t="str">
        <f t="shared" si="9"/>
        <v/>
      </c>
      <c r="V50" t="s">
        <v>233</v>
      </c>
    </row>
    <row r="51" spans="1:22" ht="15" thickBot="1" x14ac:dyDescent="0.35">
      <c r="A51" s="4" t="s">
        <v>166</v>
      </c>
      <c r="B51" s="22">
        <v>0.11</v>
      </c>
      <c r="C51" s="22" t="s">
        <v>79</v>
      </c>
      <c r="D51" s="22" t="s">
        <v>79</v>
      </c>
      <c r="E51" s="22" t="s">
        <v>79</v>
      </c>
      <c r="F51" s="22">
        <v>-0.13</v>
      </c>
      <c r="G51" s="22" t="s">
        <v>79</v>
      </c>
      <c r="H51" s="23"/>
      <c r="I51" t="str">
        <f t="shared" si="3"/>
        <v>Q13</v>
      </c>
      <c r="J51">
        <f t="shared" si="4"/>
        <v>0.11</v>
      </c>
      <c r="K51" t="str">
        <f t="shared" si="5"/>
        <v/>
      </c>
      <c r="L51" t="str">
        <f t="shared" si="6"/>
        <v/>
      </c>
      <c r="M51" t="str">
        <f t="shared" si="7"/>
        <v/>
      </c>
      <c r="N51">
        <f t="shared" si="8"/>
        <v>-0.13</v>
      </c>
      <c r="O51" t="str">
        <f t="shared" si="9"/>
        <v/>
      </c>
      <c r="V51" t="s">
        <v>222</v>
      </c>
    </row>
    <row r="52" spans="1:22" ht="15" thickBot="1" x14ac:dyDescent="0.35">
      <c r="A52" s="4" t="s">
        <v>167</v>
      </c>
      <c r="B52" s="22">
        <v>-0.14000000000000001</v>
      </c>
      <c r="C52" s="22" t="s">
        <v>79</v>
      </c>
      <c r="D52" s="22" t="s">
        <v>79</v>
      </c>
      <c r="E52" s="22" t="s">
        <v>79</v>
      </c>
      <c r="F52" s="22" t="s">
        <v>79</v>
      </c>
      <c r="G52" s="22">
        <v>0.11</v>
      </c>
      <c r="H52" s="23"/>
      <c r="I52" t="str">
        <f t="shared" si="3"/>
        <v>Q14</v>
      </c>
      <c r="J52">
        <f t="shared" si="4"/>
        <v>-0.14000000000000001</v>
      </c>
      <c r="K52" t="str">
        <f t="shared" si="5"/>
        <v/>
      </c>
      <c r="L52" t="str">
        <f t="shared" si="6"/>
        <v/>
      </c>
      <c r="M52" t="str">
        <f t="shared" si="7"/>
        <v/>
      </c>
      <c r="N52" t="str">
        <f t="shared" si="8"/>
        <v/>
      </c>
      <c r="O52">
        <f t="shared" si="9"/>
        <v>0.11</v>
      </c>
      <c r="V52" t="s">
        <v>223</v>
      </c>
    </row>
    <row r="53" spans="1:22" ht="15" thickBot="1" x14ac:dyDescent="0.35">
      <c r="A53" s="4" t="s">
        <v>168</v>
      </c>
      <c r="B53" s="22">
        <v>-0.15</v>
      </c>
      <c r="C53" s="22" t="s">
        <v>79</v>
      </c>
      <c r="D53" s="22" t="s">
        <v>79</v>
      </c>
      <c r="E53" s="22" t="s">
        <v>79</v>
      </c>
      <c r="F53" s="22">
        <v>0.13</v>
      </c>
      <c r="G53" s="22">
        <v>0.15</v>
      </c>
      <c r="H53" s="23"/>
      <c r="I53" t="str">
        <f t="shared" si="3"/>
        <v>Q15</v>
      </c>
      <c r="J53">
        <f t="shared" si="4"/>
        <v>-0.15</v>
      </c>
      <c r="K53" t="str">
        <f t="shared" si="5"/>
        <v/>
      </c>
      <c r="L53" t="str">
        <f t="shared" si="6"/>
        <v/>
      </c>
      <c r="M53" t="str">
        <f t="shared" si="7"/>
        <v/>
      </c>
      <c r="N53">
        <f t="shared" si="8"/>
        <v>0.13</v>
      </c>
      <c r="O53">
        <f t="shared" si="9"/>
        <v>0.15</v>
      </c>
      <c r="V53" t="s">
        <v>224</v>
      </c>
    </row>
    <row r="54" spans="1:22" ht="15" thickBot="1" x14ac:dyDescent="0.35">
      <c r="A54" s="4" t="s">
        <v>169</v>
      </c>
      <c r="B54" s="22" t="s">
        <v>79</v>
      </c>
      <c r="C54" s="22" t="s">
        <v>79</v>
      </c>
      <c r="D54" s="22" t="s">
        <v>79</v>
      </c>
      <c r="E54" s="22" t="s">
        <v>79</v>
      </c>
      <c r="F54" s="22" t="s">
        <v>79</v>
      </c>
      <c r="G54" s="22" t="s">
        <v>79</v>
      </c>
      <c r="H54" s="23"/>
      <c r="I54" t="str">
        <f t="shared" si="3"/>
        <v>Q16</v>
      </c>
      <c r="J54" t="str">
        <f t="shared" si="4"/>
        <v/>
      </c>
      <c r="K54" t="str">
        <f t="shared" si="5"/>
        <v/>
      </c>
      <c r="L54" t="str">
        <f t="shared" si="6"/>
        <v/>
      </c>
      <c r="M54" t="str">
        <f t="shared" si="7"/>
        <v/>
      </c>
      <c r="N54" t="str">
        <f t="shared" si="8"/>
        <v/>
      </c>
      <c r="O54" t="str">
        <f t="shared" si="9"/>
        <v/>
      </c>
    </row>
    <row r="55" spans="1:22" ht="15" thickBot="1" x14ac:dyDescent="0.35">
      <c r="A55" s="4" t="s">
        <v>170</v>
      </c>
      <c r="B55" s="22" t="s">
        <v>79</v>
      </c>
      <c r="C55" s="22" t="s">
        <v>79</v>
      </c>
      <c r="D55" s="22" t="s">
        <v>79</v>
      </c>
      <c r="E55" s="22" t="s">
        <v>79</v>
      </c>
      <c r="F55" s="22" t="s">
        <v>79</v>
      </c>
      <c r="G55" s="22" t="s">
        <v>79</v>
      </c>
      <c r="H55" s="23"/>
      <c r="I55" t="str">
        <f t="shared" si="3"/>
        <v>Q16.1</v>
      </c>
      <c r="J55" t="str">
        <f t="shared" si="4"/>
        <v/>
      </c>
      <c r="K55" t="str">
        <f t="shared" si="5"/>
        <v/>
      </c>
      <c r="L55" t="str">
        <f t="shared" si="6"/>
        <v/>
      </c>
      <c r="M55" t="str">
        <f t="shared" si="7"/>
        <v/>
      </c>
      <c r="N55" t="str">
        <f t="shared" si="8"/>
        <v/>
      </c>
      <c r="O55" t="str">
        <f t="shared" si="9"/>
        <v/>
      </c>
    </row>
    <row r="56" spans="1:22" ht="15" thickBot="1" x14ac:dyDescent="0.35">
      <c r="A56" s="4" t="s">
        <v>171</v>
      </c>
      <c r="B56" s="22">
        <v>0.11</v>
      </c>
      <c r="C56" s="22" t="s">
        <v>79</v>
      </c>
      <c r="D56" s="22" t="s">
        <v>79</v>
      </c>
      <c r="E56" s="22" t="s">
        <v>79</v>
      </c>
      <c r="F56" s="22" t="s">
        <v>79</v>
      </c>
      <c r="G56" s="22" t="s">
        <v>79</v>
      </c>
      <c r="H56" s="23"/>
      <c r="I56" t="str">
        <f t="shared" si="3"/>
        <v>Q16.2</v>
      </c>
      <c r="J56">
        <f t="shared" si="4"/>
        <v>0.11</v>
      </c>
      <c r="K56" t="str">
        <f t="shared" si="5"/>
        <v/>
      </c>
      <c r="L56" t="str">
        <f t="shared" si="6"/>
        <v/>
      </c>
      <c r="M56" t="str">
        <f t="shared" si="7"/>
        <v/>
      </c>
      <c r="N56" t="str">
        <f t="shared" si="8"/>
        <v/>
      </c>
      <c r="O56" t="str">
        <f t="shared" si="9"/>
        <v/>
      </c>
      <c r="V56" t="s">
        <v>225</v>
      </c>
    </row>
    <row r="57" spans="1:22" ht="15" thickBot="1" x14ac:dyDescent="0.35">
      <c r="A57" s="4" t="s">
        <v>172</v>
      </c>
      <c r="B57" s="22" t="s">
        <v>79</v>
      </c>
      <c r="C57" s="22" t="s">
        <v>79</v>
      </c>
      <c r="D57" s="22" t="s">
        <v>79</v>
      </c>
      <c r="E57" s="22" t="s">
        <v>79</v>
      </c>
      <c r="F57" s="22" t="s">
        <v>79</v>
      </c>
      <c r="G57" s="22" t="s">
        <v>79</v>
      </c>
      <c r="H57" s="23"/>
      <c r="I57" t="str">
        <f t="shared" si="3"/>
        <v>Q16.3</v>
      </c>
      <c r="J57" t="str">
        <f t="shared" si="4"/>
        <v/>
      </c>
      <c r="K57" t="str">
        <f t="shared" si="5"/>
        <v/>
      </c>
      <c r="L57" t="str">
        <f t="shared" si="6"/>
        <v/>
      </c>
      <c r="M57" t="str">
        <f t="shared" si="7"/>
        <v/>
      </c>
      <c r="N57" t="str">
        <f t="shared" si="8"/>
        <v/>
      </c>
      <c r="O57" t="str">
        <f t="shared" si="9"/>
        <v/>
      </c>
    </row>
    <row r="58" spans="1:22" ht="15" thickBot="1" x14ac:dyDescent="0.35">
      <c r="A58" s="4" t="s">
        <v>173</v>
      </c>
      <c r="B58" s="22" t="s">
        <v>79</v>
      </c>
      <c r="C58" s="22" t="s">
        <v>79</v>
      </c>
      <c r="D58" s="22" t="s">
        <v>79</v>
      </c>
      <c r="E58" s="22" t="s">
        <v>79</v>
      </c>
      <c r="F58" s="22" t="s">
        <v>79</v>
      </c>
      <c r="G58" s="22" t="s">
        <v>79</v>
      </c>
      <c r="H58" s="23"/>
      <c r="I58" t="str">
        <f t="shared" si="3"/>
        <v>Q16.4</v>
      </c>
      <c r="J58" t="str">
        <f t="shared" si="4"/>
        <v/>
      </c>
      <c r="K58" t="str">
        <f t="shared" si="5"/>
        <v/>
      </c>
      <c r="L58" t="str">
        <f t="shared" si="6"/>
        <v/>
      </c>
      <c r="M58" t="str">
        <f t="shared" si="7"/>
        <v/>
      </c>
      <c r="N58" t="str">
        <f t="shared" si="8"/>
        <v/>
      </c>
      <c r="O58" t="str">
        <f t="shared" si="9"/>
        <v/>
      </c>
    </row>
    <row r="59" spans="1:22" ht="15" thickBot="1" x14ac:dyDescent="0.35">
      <c r="A59" s="4" t="s">
        <v>174</v>
      </c>
      <c r="B59" s="22" t="s">
        <v>79</v>
      </c>
      <c r="C59" s="22" t="s">
        <v>79</v>
      </c>
      <c r="D59" s="22" t="s">
        <v>79</v>
      </c>
      <c r="E59" s="22" t="s">
        <v>79</v>
      </c>
      <c r="F59" s="22" t="s">
        <v>79</v>
      </c>
      <c r="G59" s="22" t="s">
        <v>79</v>
      </c>
      <c r="H59" s="23"/>
      <c r="I59" t="str">
        <f t="shared" si="3"/>
        <v>Q16.5</v>
      </c>
      <c r="J59" t="str">
        <f t="shared" si="4"/>
        <v/>
      </c>
      <c r="K59" t="str">
        <f t="shared" si="5"/>
        <v/>
      </c>
      <c r="L59" t="str">
        <f t="shared" si="6"/>
        <v/>
      </c>
      <c r="M59" t="str">
        <f t="shared" si="7"/>
        <v/>
      </c>
      <c r="N59" t="str">
        <f t="shared" si="8"/>
        <v/>
      </c>
      <c r="O59" t="str">
        <f t="shared" si="9"/>
        <v/>
      </c>
    </row>
    <row r="60" spans="1:22" ht="15" thickBot="1" x14ac:dyDescent="0.35">
      <c r="A60" s="4" t="s">
        <v>175</v>
      </c>
      <c r="B60" s="22" t="s">
        <v>79</v>
      </c>
      <c r="C60" s="22" t="s">
        <v>79</v>
      </c>
      <c r="D60" s="22" t="s">
        <v>79</v>
      </c>
      <c r="E60" s="22" t="s">
        <v>79</v>
      </c>
      <c r="F60" s="22" t="s">
        <v>79</v>
      </c>
      <c r="G60" s="22" t="s">
        <v>79</v>
      </c>
      <c r="H60" s="23"/>
      <c r="I60" t="str">
        <f t="shared" si="3"/>
        <v>Q16.6</v>
      </c>
      <c r="J60" t="str">
        <f t="shared" si="4"/>
        <v/>
      </c>
      <c r="K60" t="str">
        <f t="shared" si="5"/>
        <v/>
      </c>
      <c r="L60" t="str">
        <f t="shared" si="6"/>
        <v/>
      </c>
      <c r="M60" t="str">
        <f t="shared" si="7"/>
        <v/>
      </c>
      <c r="N60" t="str">
        <f t="shared" si="8"/>
        <v/>
      </c>
      <c r="O60" t="str">
        <f t="shared" si="9"/>
        <v/>
      </c>
    </row>
    <row r="61" spans="1:22" ht="15" thickBot="1" x14ac:dyDescent="0.35">
      <c r="A61" s="4" t="s">
        <v>176</v>
      </c>
      <c r="B61" s="22" t="s">
        <v>79</v>
      </c>
      <c r="C61" s="22" t="s">
        <v>79</v>
      </c>
      <c r="D61" s="22" t="s">
        <v>79</v>
      </c>
      <c r="E61" s="22" t="s">
        <v>79</v>
      </c>
      <c r="F61" s="22" t="s">
        <v>79</v>
      </c>
      <c r="G61" s="22" t="s">
        <v>79</v>
      </c>
      <c r="H61" s="23"/>
      <c r="I61" t="str">
        <f t="shared" si="3"/>
        <v>Q16.7</v>
      </c>
      <c r="J61" t="str">
        <f t="shared" si="4"/>
        <v/>
      </c>
      <c r="K61" t="str">
        <f t="shared" si="5"/>
        <v/>
      </c>
      <c r="L61" t="str">
        <f t="shared" si="6"/>
        <v/>
      </c>
      <c r="M61" t="str">
        <f t="shared" si="7"/>
        <v/>
      </c>
      <c r="N61" t="str">
        <f t="shared" si="8"/>
        <v/>
      </c>
      <c r="O61" t="str">
        <f t="shared" si="9"/>
        <v/>
      </c>
    </row>
    <row r="62" spans="1:22" ht="15" thickBot="1" x14ac:dyDescent="0.35">
      <c r="A62" s="4" t="s">
        <v>177</v>
      </c>
      <c r="B62" s="22" t="s">
        <v>79</v>
      </c>
      <c r="C62" s="22" t="s">
        <v>79</v>
      </c>
      <c r="D62" s="22" t="s">
        <v>79</v>
      </c>
      <c r="E62" s="22" t="s">
        <v>79</v>
      </c>
      <c r="F62" s="22" t="s">
        <v>79</v>
      </c>
      <c r="G62" s="22" t="s">
        <v>79</v>
      </c>
      <c r="H62" s="23"/>
      <c r="I62" t="str">
        <f t="shared" si="3"/>
        <v>Q16.8</v>
      </c>
      <c r="J62" t="str">
        <f t="shared" si="4"/>
        <v/>
      </c>
      <c r="K62" t="str">
        <f t="shared" si="5"/>
        <v/>
      </c>
      <c r="L62" t="str">
        <f t="shared" si="6"/>
        <v/>
      </c>
      <c r="M62" t="str">
        <f t="shared" si="7"/>
        <v/>
      </c>
      <c r="N62" t="str">
        <f t="shared" si="8"/>
        <v/>
      </c>
      <c r="O62" t="str">
        <f t="shared" si="9"/>
        <v/>
      </c>
    </row>
    <row r="63" spans="1:22" ht="15" thickBot="1" x14ac:dyDescent="0.35">
      <c r="A63" s="4" t="s">
        <v>178</v>
      </c>
      <c r="B63" s="22" t="s">
        <v>79</v>
      </c>
      <c r="C63" s="22" t="s">
        <v>79</v>
      </c>
      <c r="D63" s="22" t="s">
        <v>79</v>
      </c>
      <c r="E63" s="22" t="s">
        <v>79</v>
      </c>
      <c r="F63" s="22" t="s">
        <v>79</v>
      </c>
      <c r="G63" s="22" t="s">
        <v>79</v>
      </c>
      <c r="H63" s="23"/>
      <c r="I63" t="str">
        <f t="shared" si="3"/>
        <v>Q16.9</v>
      </c>
      <c r="J63" t="str">
        <f t="shared" si="4"/>
        <v/>
      </c>
      <c r="K63" t="str">
        <f t="shared" si="5"/>
        <v/>
      </c>
      <c r="L63" t="str">
        <f t="shared" si="6"/>
        <v/>
      </c>
      <c r="M63" t="str">
        <f t="shared" si="7"/>
        <v/>
      </c>
      <c r="N63" t="str">
        <f t="shared" si="8"/>
        <v/>
      </c>
      <c r="O63" t="str">
        <f t="shared" si="9"/>
        <v/>
      </c>
    </row>
    <row r="64" spans="1:22" ht="15" thickBot="1" x14ac:dyDescent="0.35">
      <c r="A64" s="4" t="s">
        <v>179</v>
      </c>
      <c r="B64" s="22" t="s">
        <v>79</v>
      </c>
      <c r="C64" s="22" t="s">
        <v>79</v>
      </c>
      <c r="D64" s="22" t="s">
        <v>79</v>
      </c>
      <c r="E64" s="22" t="s">
        <v>79</v>
      </c>
      <c r="F64" s="22" t="s">
        <v>79</v>
      </c>
      <c r="G64" s="22" t="s">
        <v>79</v>
      </c>
      <c r="H64" s="23"/>
      <c r="I64" t="str">
        <f t="shared" si="3"/>
        <v>Q16.10</v>
      </c>
      <c r="J64" t="str">
        <f t="shared" si="4"/>
        <v/>
      </c>
      <c r="K64" t="str">
        <f t="shared" si="5"/>
        <v/>
      </c>
      <c r="L64" t="str">
        <f t="shared" si="6"/>
        <v/>
      </c>
      <c r="M64" t="str">
        <f t="shared" si="7"/>
        <v/>
      </c>
      <c r="N64" t="str">
        <f t="shared" si="8"/>
        <v/>
      </c>
      <c r="O64" t="str">
        <f t="shared" si="9"/>
        <v/>
      </c>
    </row>
    <row r="65" spans="1:22" ht="15" thickBot="1" x14ac:dyDescent="0.35">
      <c r="A65" s="4" t="s">
        <v>180</v>
      </c>
      <c r="B65" s="22" t="s">
        <v>79</v>
      </c>
      <c r="C65" s="22" t="s">
        <v>79</v>
      </c>
      <c r="D65" s="22" t="s">
        <v>79</v>
      </c>
      <c r="E65" s="22" t="s">
        <v>79</v>
      </c>
      <c r="F65" s="22" t="s">
        <v>79</v>
      </c>
      <c r="G65" s="22" t="s">
        <v>79</v>
      </c>
      <c r="H65" s="23"/>
      <c r="I65" t="str">
        <f t="shared" si="3"/>
        <v>Q16.11</v>
      </c>
      <c r="J65" t="str">
        <f t="shared" si="4"/>
        <v/>
      </c>
      <c r="K65" t="str">
        <f t="shared" si="5"/>
        <v/>
      </c>
      <c r="L65" t="str">
        <f t="shared" si="6"/>
        <v/>
      </c>
      <c r="M65" t="str">
        <f t="shared" si="7"/>
        <v/>
      </c>
      <c r="N65" t="str">
        <f t="shared" si="8"/>
        <v/>
      </c>
      <c r="O65" t="str">
        <f t="shared" si="9"/>
        <v/>
      </c>
    </row>
    <row r="66" spans="1:22" ht="15" thickBot="1" x14ac:dyDescent="0.35">
      <c r="A66" s="4" t="s">
        <v>181</v>
      </c>
      <c r="B66" s="22" t="s">
        <v>79</v>
      </c>
      <c r="C66" s="22" t="s">
        <v>79</v>
      </c>
      <c r="D66" s="22" t="s">
        <v>79</v>
      </c>
      <c r="E66" s="22" t="s">
        <v>79</v>
      </c>
      <c r="F66" s="22" t="s">
        <v>79</v>
      </c>
      <c r="G66" s="22" t="s">
        <v>79</v>
      </c>
      <c r="H66" s="23"/>
      <c r="I66" t="str">
        <f t="shared" si="3"/>
        <v>Q16.12</v>
      </c>
      <c r="J66" t="str">
        <f t="shared" si="4"/>
        <v/>
      </c>
      <c r="K66" t="str">
        <f t="shared" si="5"/>
        <v/>
      </c>
      <c r="L66" t="str">
        <f t="shared" si="6"/>
        <v/>
      </c>
      <c r="M66" t="str">
        <f t="shared" si="7"/>
        <v/>
      </c>
      <c r="N66" t="str">
        <f t="shared" si="8"/>
        <v/>
      </c>
      <c r="O66" t="str">
        <f t="shared" si="9"/>
        <v/>
      </c>
    </row>
    <row r="67" spans="1:22" ht="15" thickBot="1" x14ac:dyDescent="0.35">
      <c r="A67" s="4" t="s">
        <v>182</v>
      </c>
      <c r="B67" s="22">
        <v>0.1</v>
      </c>
      <c r="C67" s="22" t="s">
        <v>79</v>
      </c>
      <c r="D67" s="22" t="s">
        <v>79</v>
      </c>
      <c r="E67" s="22" t="s">
        <v>79</v>
      </c>
      <c r="F67" s="22" t="s">
        <v>79</v>
      </c>
      <c r="G67" s="22" t="s">
        <v>79</v>
      </c>
      <c r="H67" s="23"/>
      <c r="I67" t="str">
        <f t="shared" si="3"/>
        <v>Q16.13</v>
      </c>
      <c r="J67">
        <f t="shared" si="4"/>
        <v>0.1</v>
      </c>
      <c r="K67" t="str">
        <f t="shared" si="5"/>
        <v/>
      </c>
      <c r="L67" t="str">
        <f t="shared" si="6"/>
        <v/>
      </c>
      <c r="M67" t="str">
        <f t="shared" si="7"/>
        <v/>
      </c>
      <c r="N67" t="str">
        <f t="shared" si="8"/>
        <v/>
      </c>
      <c r="O67" t="str">
        <f t="shared" si="9"/>
        <v/>
      </c>
      <c r="V67" t="s">
        <v>226</v>
      </c>
    </row>
    <row r="68" spans="1:22" ht="15" thickBot="1" x14ac:dyDescent="0.35">
      <c r="A68" s="4" t="s">
        <v>183</v>
      </c>
      <c r="B68" s="22">
        <v>0.1</v>
      </c>
      <c r="C68" s="22" t="s">
        <v>79</v>
      </c>
      <c r="D68" s="22" t="s">
        <v>79</v>
      </c>
      <c r="E68" s="22" t="s">
        <v>79</v>
      </c>
      <c r="F68" s="22" t="s">
        <v>79</v>
      </c>
      <c r="G68" s="22" t="s">
        <v>79</v>
      </c>
      <c r="H68" s="23"/>
      <c r="I68" t="str">
        <f t="shared" ref="I68:I83" si="10">A68</f>
        <v>Q16.14</v>
      </c>
      <c r="J68">
        <f t="shared" ref="J68:J83" si="11">IF(ISNUMBER(B68),B68,"")</f>
        <v>0.1</v>
      </c>
      <c r="K68" t="str">
        <f t="shared" si="5"/>
        <v/>
      </c>
      <c r="L68" t="str">
        <f t="shared" si="6"/>
        <v/>
      </c>
      <c r="M68" t="str">
        <f t="shared" si="7"/>
        <v/>
      </c>
      <c r="N68" t="str">
        <f t="shared" si="8"/>
        <v/>
      </c>
      <c r="O68" t="str">
        <f t="shared" si="9"/>
        <v/>
      </c>
      <c r="V68" t="s">
        <v>227</v>
      </c>
    </row>
    <row r="69" spans="1:22" ht="15" thickBot="1" x14ac:dyDescent="0.35">
      <c r="A69" s="4" t="s">
        <v>184</v>
      </c>
      <c r="B69" s="22" t="s">
        <v>79</v>
      </c>
      <c r="C69" s="22" t="s">
        <v>79</v>
      </c>
      <c r="D69" s="22" t="s">
        <v>79</v>
      </c>
      <c r="E69" s="22" t="s">
        <v>79</v>
      </c>
      <c r="F69" s="22" t="s">
        <v>79</v>
      </c>
      <c r="G69" s="22" t="s">
        <v>79</v>
      </c>
      <c r="H69" s="23"/>
      <c r="I69" t="str">
        <f t="shared" si="10"/>
        <v>Q16.15</v>
      </c>
      <c r="J69" t="str">
        <f t="shared" si="11"/>
        <v/>
      </c>
      <c r="K69" t="str">
        <f t="shared" si="5"/>
        <v/>
      </c>
      <c r="L69" t="str">
        <f t="shared" si="6"/>
        <v/>
      </c>
      <c r="M69" t="str">
        <f t="shared" si="7"/>
        <v/>
      </c>
      <c r="N69" t="str">
        <f t="shared" si="8"/>
        <v/>
      </c>
      <c r="O69" t="str">
        <f t="shared" si="9"/>
        <v/>
      </c>
    </row>
    <row r="70" spans="1:22" ht="15" thickBot="1" x14ac:dyDescent="0.35">
      <c r="A70" s="4" t="s">
        <v>185</v>
      </c>
      <c r="B70" s="22">
        <v>0.11</v>
      </c>
      <c r="C70" s="22" t="s">
        <v>79</v>
      </c>
      <c r="D70" s="22" t="s">
        <v>79</v>
      </c>
      <c r="E70" s="22" t="s">
        <v>79</v>
      </c>
      <c r="F70" s="22" t="s">
        <v>79</v>
      </c>
      <c r="G70" s="22" t="s">
        <v>79</v>
      </c>
      <c r="H70" s="23"/>
      <c r="I70" t="str">
        <f t="shared" si="10"/>
        <v>Q16.16</v>
      </c>
      <c r="J70">
        <f t="shared" si="11"/>
        <v>0.11</v>
      </c>
      <c r="K70" t="str">
        <f t="shared" si="5"/>
        <v/>
      </c>
      <c r="L70" t="str">
        <f t="shared" si="6"/>
        <v/>
      </c>
      <c r="M70" t="str">
        <f t="shared" si="7"/>
        <v/>
      </c>
      <c r="N70" t="str">
        <f t="shared" si="8"/>
        <v/>
      </c>
      <c r="O70" t="str">
        <f t="shared" si="9"/>
        <v/>
      </c>
      <c r="V70" t="s">
        <v>228</v>
      </c>
    </row>
    <row r="71" spans="1:22" ht="15" thickBot="1" x14ac:dyDescent="0.35">
      <c r="A71" s="4" t="s">
        <v>186</v>
      </c>
      <c r="B71" s="22" t="s">
        <v>79</v>
      </c>
      <c r="C71" s="22" t="s">
        <v>79</v>
      </c>
      <c r="D71" s="22" t="s">
        <v>79</v>
      </c>
      <c r="E71" s="22" t="s">
        <v>79</v>
      </c>
      <c r="F71" s="22" t="s">
        <v>79</v>
      </c>
      <c r="G71" s="22" t="s">
        <v>79</v>
      </c>
      <c r="H71" s="23"/>
      <c r="I71" t="str">
        <f t="shared" si="10"/>
        <v>Q16.17</v>
      </c>
      <c r="J71" t="str">
        <f t="shared" si="11"/>
        <v/>
      </c>
      <c r="K71" t="str">
        <f t="shared" si="5"/>
        <v/>
      </c>
      <c r="L71" t="str">
        <f t="shared" si="6"/>
        <v/>
      </c>
      <c r="M71" t="str">
        <f t="shared" si="7"/>
        <v/>
      </c>
      <c r="N71" t="str">
        <f t="shared" si="8"/>
        <v/>
      </c>
      <c r="O71" t="str">
        <f t="shared" si="9"/>
        <v/>
      </c>
    </row>
    <row r="72" spans="1:22" ht="15" thickBot="1" x14ac:dyDescent="0.35">
      <c r="A72" s="4" t="s">
        <v>187</v>
      </c>
      <c r="B72" s="22" t="s">
        <v>79</v>
      </c>
      <c r="C72" s="22" t="s">
        <v>79</v>
      </c>
      <c r="D72" s="22" t="s">
        <v>79</v>
      </c>
      <c r="E72" s="22" t="s">
        <v>79</v>
      </c>
      <c r="F72" s="22" t="s">
        <v>79</v>
      </c>
      <c r="G72" s="22" t="s">
        <v>79</v>
      </c>
      <c r="H72" s="23"/>
      <c r="I72" t="str">
        <f t="shared" si="10"/>
        <v>Q16.18</v>
      </c>
      <c r="J72" t="str">
        <f t="shared" si="11"/>
        <v/>
      </c>
      <c r="K72" t="str">
        <f t="shared" si="5"/>
        <v/>
      </c>
      <c r="L72" t="str">
        <f t="shared" si="6"/>
        <v/>
      </c>
      <c r="M72" t="str">
        <f t="shared" si="7"/>
        <v/>
      </c>
      <c r="N72" t="str">
        <f t="shared" si="8"/>
        <v/>
      </c>
      <c r="O72" t="str">
        <f t="shared" si="9"/>
        <v/>
      </c>
    </row>
    <row r="73" spans="1:22" ht="15" thickBot="1" x14ac:dyDescent="0.35">
      <c r="A73" s="4" t="s">
        <v>188</v>
      </c>
      <c r="B73" s="22" t="s">
        <v>79</v>
      </c>
      <c r="C73" s="22" t="s">
        <v>79</v>
      </c>
      <c r="D73" s="22" t="s">
        <v>79</v>
      </c>
      <c r="E73" s="22" t="s">
        <v>79</v>
      </c>
      <c r="F73" s="22" t="s">
        <v>79</v>
      </c>
      <c r="G73" s="22" t="s">
        <v>79</v>
      </c>
      <c r="H73" s="23"/>
      <c r="I73" t="str">
        <f t="shared" si="10"/>
        <v>Q16.19</v>
      </c>
      <c r="J73" t="str">
        <f t="shared" si="11"/>
        <v/>
      </c>
      <c r="K73" t="str">
        <f t="shared" si="5"/>
        <v/>
      </c>
      <c r="L73" t="str">
        <f t="shared" si="6"/>
        <v/>
      </c>
      <c r="M73" t="str">
        <f t="shared" si="7"/>
        <v/>
      </c>
      <c r="N73" t="str">
        <f t="shared" si="8"/>
        <v/>
      </c>
      <c r="O73" t="str">
        <f t="shared" si="9"/>
        <v/>
      </c>
    </row>
    <row r="74" spans="1:22" ht="15" thickBot="1" x14ac:dyDescent="0.35">
      <c r="A74" s="4" t="s">
        <v>189</v>
      </c>
      <c r="B74" s="22" t="s">
        <v>79</v>
      </c>
      <c r="C74" s="22" t="s">
        <v>79</v>
      </c>
      <c r="D74" s="22" t="s">
        <v>79</v>
      </c>
      <c r="E74" s="22" t="s">
        <v>79</v>
      </c>
      <c r="F74" s="22" t="s">
        <v>79</v>
      </c>
      <c r="G74" s="22" t="s">
        <v>79</v>
      </c>
      <c r="H74" s="23"/>
      <c r="I74" t="str">
        <f t="shared" si="10"/>
        <v>Q16.20</v>
      </c>
      <c r="J74" t="str">
        <f t="shared" si="11"/>
        <v/>
      </c>
      <c r="K74" t="str">
        <f t="shared" si="5"/>
        <v/>
      </c>
      <c r="L74" t="str">
        <f t="shared" si="6"/>
        <v/>
      </c>
      <c r="M74" t="str">
        <f t="shared" si="7"/>
        <v/>
      </c>
      <c r="N74" t="str">
        <f t="shared" si="8"/>
        <v/>
      </c>
      <c r="O74" t="str">
        <f t="shared" si="9"/>
        <v/>
      </c>
    </row>
    <row r="75" spans="1:22" ht="15" thickBot="1" x14ac:dyDescent="0.35">
      <c r="A75" s="4" t="s">
        <v>190</v>
      </c>
      <c r="B75" s="22" t="s">
        <v>79</v>
      </c>
      <c r="C75" s="22" t="s">
        <v>79</v>
      </c>
      <c r="D75" s="22" t="s">
        <v>79</v>
      </c>
      <c r="E75" s="22" t="s">
        <v>79</v>
      </c>
      <c r="F75" s="22" t="s">
        <v>79</v>
      </c>
      <c r="G75" s="22" t="s">
        <v>79</v>
      </c>
      <c r="H75" s="23"/>
      <c r="I75" t="str">
        <f t="shared" si="10"/>
        <v>Q16.21</v>
      </c>
      <c r="J75" t="str">
        <f t="shared" si="11"/>
        <v/>
      </c>
      <c r="K75" t="str">
        <f t="shared" si="5"/>
        <v/>
      </c>
      <c r="L75" t="str">
        <f t="shared" si="6"/>
        <v/>
      </c>
      <c r="M75" t="str">
        <f t="shared" si="7"/>
        <v/>
      </c>
      <c r="N75" t="str">
        <f t="shared" si="8"/>
        <v/>
      </c>
      <c r="O75" t="str">
        <f t="shared" si="9"/>
        <v/>
      </c>
    </row>
    <row r="76" spans="1:22" ht="15" thickBot="1" x14ac:dyDescent="0.35">
      <c r="A76" s="4" t="s">
        <v>191</v>
      </c>
      <c r="B76" s="22" t="s">
        <v>79</v>
      </c>
      <c r="C76" s="22" t="s">
        <v>79</v>
      </c>
      <c r="D76" s="22" t="s">
        <v>79</v>
      </c>
      <c r="E76" s="22" t="s">
        <v>79</v>
      </c>
      <c r="F76" s="22" t="s">
        <v>79</v>
      </c>
      <c r="G76" s="22" t="s">
        <v>79</v>
      </c>
      <c r="H76" s="23"/>
      <c r="I76" t="str">
        <f t="shared" si="10"/>
        <v>Q16.22</v>
      </c>
      <c r="J76" t="str">
        <f t="shared" si="11"/>
        <v/>
      </c>
      <c r="K76" t="str">
        <f t="shared" si="5"/>
        <v/>
      </c>
      <c r="L76" t="str">
        <f t="shared" si="6"/>
        <v/>
      </c>
      <c r="M76" t="str">
        <f t="shared" si="7"/>
        <v/>
      </c>
      <c r="N76" t="str">
        <f t="shared" si="8"/>
        <v/>
      </c>
      <c r="O76" t="str">
        <f t="shared" si="9"/>
        <v/>
      </c>
    </row>
    <row r="77" spans="1:22" ht="15" thickBot="1" x14ac:dyDescent="0.35">
      <c r="A77" s="4" t="s">
        <v>192</v>
      </c>
      <c r="B77" s="22" t="s">
        <v>79</v>
      </c>
      <c r="C77" s="22" t="s">
        <v>79</v>
      </c>
      <c r="D77" s="22" t="s">
        <v>79</v>
      </c>
      <c r="E77" s="22" t="s">
        <v>79</v>
      </c>
      <c r="F77" s="22" t="s">
        <v>79</v>
      </c>
      <c r="G77" s="22" t="s">
        <v>79</v>
      </c>
      <c r="H77" s="23"/>
      <c r="I77" t="str">
        <f t="shared" si="10"/>
        <v>Q16.23</v>
      </c>
      <c r="J77" t="str">
        <f t="shared" si="11"/>
        <v/>
      </c>
      <c r="K77" t="str">
        <f t="shared" si="5"/>
        <v/>
      </c>
      <c r="L77" t="str">
        <f t="shared" si="6"/>
        <v/>
      </c>
      <c r="M77" t="str">
        <f t="shared" si="7"/>
        <v/>
      </c>
      <c r="N77" t="str">
        <f t="shared" si="8"/>
        <v/>
      </c>
      <c r="O77" t="str">
        <f t="shared" si="9"/>
        <v/>
      </c>
    </row>
    <row r="78" spans="1:22" ht="15" thickBot="1" x14ac:dyDescent="0.35">
      <c r="A78" s="4" t="s">
        <v>193</v>
      </c>
      <c r="B78" s="22" t="s">
        <v>79</v>
      </c>
      <c r="C78" s="22" t="s">
        <v>79</v>
      </c>
      <c r="D78" s="22" t="s">
        <v>79</v>
      </c>
      <c r="E78" s="22" t="s">
        <v>79</v>
      </c>
      <c r="F78" s="22" t="s">
        <v>79</v>
      </c>
      <c r="G78" s="22" t="s">
        <v>79</v>
      </c>
      <c r="H78" s="23"/>
      <c r="I78" t="str">
        <f t="shared" si="10"/>
        <v>Q16.24</v>
      </c>
      <c r="J78" t="str">
        <f t="shared" si="11"/>
        <v/>
      </c>
      <c r="K78" t="str">
        <f t="shared" si="5"/>
        <v/>
      </c>
      <c r="L78" t="str">
        <f t="shared" si="6"/>
        <v/>
      </c>
      <c r="M78" t="str">
        <f t="shared" si="7"/>
        <v/>
      </c>
      <c r="N78" t="str">
        <f t="shared" si="8"/>
        <v/>
      </c>
      <c r="O78" t="str">
        <f t="shared" si="9"/>
        <v/>
      </c>
    </row>
    <row r="79" spans="1:22" ht="15" thickBot="1" x14ac:dyDescent="0.35">
      <c r="A79" s="4" t="s">
        <v>194</v>
      </c>
      <c r="B79" s="22">
        <v>0.11</v>
      </c>
      <c r="C79" s="22" t="s">
        <v>79</v>
      </c>
      <c r="D79" s="22" t="s">
        <v>79</v>
      </c>
      <c r="E79" s="22" t="s">
        <v>79</v>
      </c>
      <c r="F79" s="22" t="s">
        <v>79</v>
      </c>
      <c r="G79" s="22" t="s">
        <v>79</v>
      </c>
      <c r="H79" s="23"/>
      <c r="I79" t="str">
        <f t="shared" si="10"/>
        <v>Q16.25</v>
      </c>
      <c r="J79">
        <f t="shared" si="11"/>
        <v>0.11</v>
      </c>
      <c r="K79" t="str">
        <f t="shared" si="5"/>
        <v/>
      </c>
      <c r="L79" t="str">
        <f t="shared" si="6"/>
        <v/>
      </c>
      <c r="M79" t="str">
        <f t="shared" si="7"/>
        <v/>
      </c>
      <c r="N79" t="str">
        <f t="shared" si="8"/>
        <v/>
      </c>
      <c r="O79" t="str">
        <f t="shared" si="9"/>
        <v/>
      </c>
      <c r="V79" t="s">
        <v>229</v>
      </c>
    </row>
    <row r="80" spans="1:22" ht="15" thickBot="1" x14ac:dyDescent="0.35">
      <c r="A80" s="4" t="s">
        <v>195</v>
      </c>
      <c r="B80" s="22" t="s">
        <v>79</v>
      </c>
      <c r="C80" s="22" t="s">
        <v>79</v>
      </c>
      <c r="D80" s="22" t="s">
        <v>79</v>
      </c>
      <c r="E80" s="22" t="s">
        <v>79</v>
      </c>
      <c r="F80" s="22" t="s">
        <v>79</v>
      </c>
      <c r="G80" s="22" t="s">
        <v>79</v>
      </c>
      <c r="H80" s="23"/>
      <c r="I80" t="str">
        <f t="shared" si="10"/>
        <v>Q16.26</v>
      </c>
      <c r="J80" t="str">
        <f t="shared" si="11"/>
        <v/>
      </c>
      <c r="K80" t="str">
        <f t="shared" si="5"/>
        <v/>
      </c>
      <c r="L80" t="str">
        <f t="shared" si="6"/>
        <v/>
      </c>
      <c r="M80" t="str">
        <f t="shared" si="7"/>
        <v/>
      </c>
      <c r="N80" t="str">
        <f t="shared" si="8"/>
        <v/>
      </c>
      <c r="O80" t="str">
        <f t="shared" si="9"/>
        <v/>
      </c>
    </row>
    <row r="81" spans="1:22" ht="15" thickBot="1" x14ac:dyDescent="0.35">
      <c r="A81" s="4" t="s">
        <v>196</v>
      </c>
      <c r="B81" s="22">
        <v>0.11</v>
      </c>
      <c r="C81" s="22" t="s">
        <v>79</v>
      </c>
      <c r="D81" s="22" t="s">
        <v>79</v>
      </c>
      <c r="E81" s="22" t="s">
        <v>79</v>
      </c>
      <c r="F81" s="22" t="s">
        <v>79</v>
      </c>
      <c r="G81" s="22" t="s">
        <v>79</v>
      </c>
      <c r="H81" s="23"/>
      <c r="I81" t="str">
        <f t="shared" si="10"/>
        <v>Q16.27</v>
      </c>
      <c r="J81">
        <f t="shared" si="11"/>
        <v>0.11</v>
      </c>
      <c r="K81" t="str">
        <f t="shared" si="5"/>
        <v/>
      </c>
      <c r="L81" t="str">
        <f t="shared" si="6"/>
        <v/>
      </c>
      <c r="M81" t="str">
        <f t="shared" si="7"/>
        <v/>
      </c>
      <c r="N81" t="str">
        <f t="shared" si="8"/>
        <v/>
      </c>
      <c r="O81" t="str">
        <f t="shared" si="9"/>
        <v/>
      </c>
      <c r="V81" t="s">
        <v>230</v>
      </c>
    </row>
    <row r="82" spans="1:22" ht="15" thickBot="1" x14ac:dyDescent="0.35">
      <c r="A82" s="4" t="s">
        <v>197</v>
      </c>
      <c r="B82" s="22">
        <v>0.37</v>
      </c>
      <c r="C82" s="22" t="s">
        <v>79</v>
      </c>
      <c r="D82" s="22">
        <v>-0.31</v>
      </c>
      <c r="E82" s="22" t="s">
        <v>79</v>
      </c>
      <c r="F82" s="22">
        <v>-0.12</v>
      </c>
      <c r="G82" s="22" t="s">
        <v>79</v>
      </c>
      <c r="H82" s="23"/>
      <c r="I82" t="str">
        <f t="shared" si="10"/>
        <v>Q17</v>
      </c>
      <c r="J82">
        <f t="shared" si="11"/>
        <v>0.37</v>
      </c>
      <c r="K82" t="str">
        <f t="shared" si="5"/>
        <v/>
      </c>
      <c r="L82">
        <f t="shared" si="6"/>
        <v>-0.31</v>
      </c>
      <c r="M82" t="str">
        <f t="shared" si="7"/>
        <v/>
      </c>
      <c r="N82">
        <f t="shared" si="8"/>
        <v>-0.12</v>
      </c>
      <c r="O82" t="str">
        <f t="shared" si="9"/>
        <v/>
      </c>
      <c r="V82" t="s">
        <v>231</v>
      </c>
    </row>
    <row r="83" spans="1:22" ht="15" thickBot="1" x14ac:dyDescent="0.35">
      <c r="A83" s="4" t="s">
        <v>198</v>
      </c>
      <c r="B83" s="22">
        <v>-0.2</v>
      </c>
      <c r="C83" s="22" t="s">
        <v>79</v>
      </c>
      <c r="D83" s="22" t="s">
        <v>79</v>
      </c>
      <c r="E83" s="22" t="s">
        <v>79</v>
      </c>
      <c r="F83" s="22">
        <v>0.19</v>
      </c>
      <c r="G83" s="22" t="s">
        <v>79</v>
      </c>
      <c r="H83" s="23"/>
      <c r="I83" t="str">
        <f t="shared" si="10"/>
        <v>Q18</v>
      </c>
      <c r="J83">
        <f t="shared" si="11"/>
        <v>-0.2</v>
      </c>
      <c r="K83" t="str">
        <f t="shared" ref="K83" si="12">IF(ISNUMBER(C83),C83,"")</f>
        <v/>
      </c>
      <c r="L83" t="str">
        <f t="shared" ref="L83" si="13">IF(ISNUMBER(D83),D83,"")</f>
        <v/>
      </c>
      <c r="M83" t="str">
        <f t="shared" ref="M83" si="14">IF(ISNUMBER(E83),E83,"")</f>
        <v/>
      </c>
      <c r="N83">
        <f t="shared" ref="N83" si="15">IF(ISNUMBER(F83),F83,"")</f>
        <v>0.19</v>
      </c>
      <c r="O83" t="str">
        <f t="shared" ref="O83" si="16">IF(ISNUMBER(G83),G83,"")</f>
        <v/>
      </c>
      <c r="V83" t="s">
        <v>232</v>
      </c>
    </row>
  </sheetData>
  <conditionalFormatting sqref="J3:J83">
    <cfRule type="colorScale" priority="7">
      <colorScale>
        <cfvo type="min"/>
        <cfvo type="percentile" val="50"/>
        <cfvo type="max"/>
        <color rgb="FFF8696B"/>
        <color rgb="FFFFEB84"/>
        <color rgb="FF63BE7B"/>
      </colorScale>
    </cfRule>
  </conditionalFormatting>
  <conditionalFormatting sqref="P3:U83">
    <cfRule type="colorScale" priority="2">
      <colorScale>
        <cfvo type="min"/>
        <cfvo type="percentile" val="50"/>
        <cfvo type="max"/>
        <color rgb="FFF8696B"/>
        <color rgb="FFFFEB84"/>
        <color rgb="FF63BE7B"/>
      </colorScale>
    </cfRule>
  </conditionalFormatting>
  <conditionalFormatting sqref="K3:O83">
    <cfRule type="colorScale" priority="1">
      <colorScale>
        <cfvo type="min"/>
        <cfvo type="percentile" val="50"/>
        <cfvo type="max"/>
        <color rgb="FFF8696B"/>
        <color rgb="FFFFEB84"/>
        <color rgb="FF63BE7B"/>
      </colorScale>
    </cfRule>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3328B-3FBE-4C63-A50B-61F377C3FE34}">
  <sheetPr>
    <tabColor theme="5"/>
  </sheetPr>
  <dimension ref="A1:AE83"/>
  <sheetViews>
    <sheetView workbookViewId="0"/>
  </sheetViews>
  <sheetFormatPr defaultRowHeight="14.4" x14ac:dyDescent="0.3"/>
  <cols>
    <col min="1" max="1" width="24.33203125" bestFit="1" customWidth="1"/>
    <col min="10" max="13" width="8.88671875" customWidth="1"/>
    <col min="14" max="19" width="8.88671875" hidden="1" customWidth="1"/>
  </cols>
  <sheetData>
    <row r="1" spans="1:31" ht="21" x14ac:dyDescent="0.4">
      <c r="A1" s="25" t="s">
        <v>254</v>
      </c>
      <c r="B1" s="15" t="s">
        <v>205</v>
      </c>
      <c r="I1" s="15" t="s">
        <v>205</v>
      </c>
    </row>
    <row r="2" spans="1:31" x14ac:dyDescent="0.3">
      <c r="B2" s="12" t="s">
        <v>199</v>
      </c>
      <c r="C2" s="12" t="s">
        <v>200</v>
      </c>
      <c r="D2" s="12" t="s">
        <v>201</v>
      </c>
      <c r="E2" s="12" t="s">
        <v>202</v>
      </c>
      <c r="F2" s="12" t="s">
        <v>203</v>
      </c>
      <c r="G2" s="12"/>
      <c r="I2" s="12" t="s">
        <v>265</v>
      </c>
      <c r="J2" s="12" t="s">
        <v>264</v>
      </c>
      <c r="K2" s="12" t="s">
        <v>266</v>
      </c>
      <c r="L2" s="12" t="s">
        <v>267</v>
      </c>
      <c r="M2" s="12" t="s">
        <v>268</v>
      </c>
      <c r="N2" s="12" t="str">
        <f>I2</f>
        <v>Status &amp; enthusiast</v>
      </c>
      <c r="O2" s="12" t="str">
        <f>J2</f>
        <v>Beginner</v>
      </c>
      <c r="P2" s="12" t="str">
        <f>K2</f>
        <v>Ocassionals unhappy</v>
      </c>
      <c r="Q2" s="12" t="str">
        <f>L2</f>
        <v xml:space="preserve">Expert </v>
      </c>
      <c r="R2" s="12" t="str">
        <f>M2</f>
        <v>Older guys</v>
      </c>
      <c r="S2" s="12" t="e">
        <f>#REF!</f>
        <v>#REF!</v>
      </c>
      <c r="AB2" s="12" t="s">
        <v>241</v>
      </c>
    </row>
    <row r="3" spans="1:31" ht="15" thickBot="1" x14ac:dyDescent="0.35">
      <c r="A3" s="4" t="s">
        <v>115</v>
      </c>
      <c r="B3" s="22" t="s">
        <v>79</v>
      </c>
      <c r="C3" s="22" t="s">
        <v>79</v>
      </c>
      <c r="D3" s="22">
        <v>-0.33</v>
      </c>
      <c r="E3" s="22" t="s">
        <v>79</v>
      </c>
      <c r="F3" s="22" t="s">
        <v>79</v>
      </c>
      <c r="G3" s="23"/>
      <c r="H3" t="str">
        <f>A3</f>
        <v>Q1.1</v>
      </c>
      <c r="I3" t="str">
        <f t="shared" ref="I3:I34" si="0">IF(ISNUMBER(B3),B3,"")</f>
        <v/>
      </c>
      <c r="J3" t="str">
        <f t="shared" ref="J3:J34" si="1">IF(ISNUMBER(C3),C3,"")</f>
        <v/>
      </c>
      <c r="K3">
        <f t="shared" ref="K3:K34" si="2">IF(ISNUMBER(D3),D3,"")</f>
        <v>-0.33</v>
      </c>
      <c r="L3" t="str">
        <f t="shared" ref="L3:L34" si="3">IF(ISNUMBER(E3),E3,"")</f>
        <v/>
      </c>
      <c r="M3" t="str">
        <f t="shared" ref="M3:M34" si="4">IF(ISNUMBER(F3),F3,"")</f>
        <v/>
      </c>
      <c r="T3" s="24" t="s">
        <v>0</v>
      </c>
      <c r="AB3" t="s">
        <v>234</v>
      </c>
    </row>
    <row r="4" spans="1:31" ht="15" thickBot="1" x14ac:dyDescent="0.35">
      <c r="A4" s="4" t="s">
        <v>119</v>
      </c>
      <c r="B4" s="22" t="s">
        <v>79</v>
      </c>
      <c r="C4" s="22" t="s">
        <v>79</v>
      </c>
      <c r="D4" s="22" t="s">
        <v>79</v>
      </c>
      <c r="E4" s="22" t="s">
        <v>79</v>
      </c>
      <c r="F4" s="22" t="s">
        <v>79</v>
      </c>
      <c r="G4" s="23"/>
      <c r="H4" t="str">
        <f t="shared" ref="H4:H67" si="5">A4</f>
        <v>Q1.2</v>
      </c>
      <c r="I4" t="str">
        <f t="shared" si="0"/>
        <v/>
      </c>
      <c r="J4" t="str">
        <f t="shared" si="1"/>
        <v/>
      </c>
      <c r="K4" t="str">
        <f t="shared" si="2"/>
        <v/>
      </c>
      <c r="L4" t="str">
        <f t="shared" si="3"/>
        <v/>
      </c>
      <c r="M4" t="str">
        <f t="shared" si="4"/>
        <v/>
      </c>
      <c r="T4" t="s">
        <v>1</v>
      </c>
      <c r="AB4" t="s">
        <v>235</v>
      </c>
    </row>
    <row r="5" spans="1:31" ht="15" thickBot="1" x14ac:dyDescent="0.35">
      <c r="A5" s="4" t="s">
        <v>96</v>
      </c>
      <c r="B5" s="22">
        <v>0.25</v>
      </c>
      <c r="C5" s="22" t="s">
        <v>79</v>
      </c>
      <c r="D5" s="22" t="s">
        <v>79</v>
      </c>
      <c r="E5" s="22" t="s">
        <v>79</v>
      </c>
      <c r="F5" s="22">
        <v>-0.22</v>
      </c>
      <c r="G5" s="23"/>
      <c r="H5" t="str">
        <f t="shared" si="5"/>
        <v>Q1.3</v>
      </c>
      <c r="I5">
        <f t="shared" si="0"/>
        <v>0.25</v>
      </c>
      <c r="J5" t="str">
        <f t="shared" si="1"/>
        <v/>
      </c>
      <c r="K5" t="str">
        <f t="shared" si="2"/>
        <v/>
      </c>
      <c r="L5" t="str">
        <f t="shared" si="3"/>
        <v/>
      </c>
      <c r="M5">
        <f t="shared" si="4"/>
        <v>-0.22</v>
      </c>
      <c r="T5" t="s">
        <v>2</v>
      </c>
      <c r="AB5" t="s">
        <v>236</v>
      </c>
    </row>
    <row r="6" spans="1:31" ht="15" thickBot="1" x14ac:dyDescent="0.35">
      <c r="A6" s="4" t="s">
        <v>114</v>
      </c>
      <c r="B6" s="22" t="s">
        <v>79</v>
      </c>
      <c r="C6" s="22" t="s">
        <v>79</v>
      </c>
      <c r="D6" s="22" t="s">
        <v>79</v>
      </c>
      <c r="E6" s="22" t="s">
        <v>79</v>
      </c>
      <c r="F6" s="22" t="s">
        <v>79</v>
      </c>
      <c r="G6" s="23"/>
      <c r="H6" t="str">
        <f t="shared" si="5"/>
        <v>Q1.4</v>
      </c>
      <c r="I6" t="str">
        <f t="shared" si="0"/>
        <v/>
      </c>
      <c r="J6" t="str">
        <f t="shared" si="1"/>
        <v/>
      </c>
      <c r="K6" t="str">
        <f t="shared" si="2"/>
        <v/>
      </c>
      <c r="L6" t="str">
        <f t="shared" si="3"/>
        <v/>
      </c>
      <c r="M6" t="str">
        <f t="shared" si="4"/>
        <v/>
      </c>
      <c r="T6" s="24" t="s">
        <v>3</v>
      </c>
      <c r="AB6" t="s">
        <v>237</v>
      </c>
    </row>
    <row r="7" spans="1:31" ht="15" thickBot="1" x14ac:dyDescent="0.35">
      <c r="A7" s="4" t="s">
        <v>108</v>
      </c>
      <c r="B7" s="22">
        <v>0.14000000000000001</v>
      </c>
      <c r="C7" s="22" t="s">
        <v>79</v>
      </c>
      <c r="D7" s="22">
        <v>-0.1</v>
      </c>
      <c r="E7" s="22" t="s">
        <v>79</v>
      </c>
      <c r="F7" s="22" t="s">
        <v>79</v>
      </c>
      <c r="G7" s="23"/>
      <c r="H7" t="str">
        <f t="shared" si="5"/>
        <v>Q1.5</v>
      </c>
      <c r="I7">
        <f t="shared" si="0"/>
        <v>0.14000000000000001</v>
      </c>
      <c r="J7" t="str">
        <f t="shared" si="1"/>
        <v/>
      </c>
      <c r="K7">
        <f t="shared" si="2"/>
        <v>-0.1</v>
      </c>
      <c r="L7" t="str">
        <f t="shared" si="3"/>
        <v/>
      </c>
      <c r="M7" t="str">
        <f t="shared" si="4"/>
        <v/>
      </c>
      <c r="T7" t="s">
        <v>4</v>
      </c>
      <c r="AB7" t="s">
        <v>238</v>
      </c>
    </row>
    <row r="8" spans="1:31" ht="15" thickBot="1" x14ac:dyDescent="0.35">
      <c r="A8" s="4" t="s">
        <v>102</v>
      </c>
      <c r="B8" s="22">
        <v>0.13</v>
      </c>
      <c r="C8" s="22" t="s">
        <v>79</v>
      </c>
      <c r="D8" s="22">
        <v>-0.13</v>
      </c>
      <c r="E8" s="22" t="s">
        <v>79</v>
      </c>
      <c r="F8" s="22" t="s">
        <v>79</v>
      </c>
      <c r="G8" s="23"/>
      <c r="H8" t="str">
        <f t="shared" si="5"/>
        <v>Q1.6</v>
      </c>
      <c r="I8">
        <f t="shared" si="0"/>
        <v>0.13</v>
      </c>
      <c r="J8" t="str">
        <f t="shared" si="1"/>
        <v/>
      </c>
      <c r="K8">
        <f t="shared" si="2"/>
        <v>-0.13</v>
      </c>
      <c r="L8" t="str">
        <f t="shared" si="3"/>
        <v/>
      </c>
      <c r="M8" t="str">
        <f t="shared" si="4"/>
        <v/>
      </c>
      <c r="T8" t="s">
        <v>5</v>
      </c>
      <c r="AB8" t="s">
        <v>239</v>
      </c>
    </row>
    <row r="9" spans="1:31" ht="15" thickBot="1" x14ac:dyDescent="0.35">
      <c r="A9" s="4" t="s">
        <v>97</v>
      </c>
      <c r="B9" s="22">
        <v>0.18</v>
      </c>
      <c r="C9" s="22" t="s">
        <v>79</v>
      </c>
      <c r="D9" s="22">
        <v>-0.11</v>
      </c>
      <c r="E9" s="22" t="s">
        <v>79</v>
      </c>
      <c r="F9" s="22">
        <v>-0.14000000000000001</v>
      </c>
      <c r="G9" s="23"/>
      <c r="H9" t="str">
        <f t="shared" si="5"/>
        <v>Q1.7</v>
      </c>
      <c r="I9">
        <f t="shared" si="0"/>
        <v>0.18</v>
      </c>
      <c r="J9" t="str">
        <f t="shared" si="1"/>
        <v/>
      </c>
      <c r="K9">
        <f t="shared" si="2"/>
        <v>-0.11</v>
      </c>
      <c r="L9" t="str">
        <f t="shared" si="3"/>
        <v/>
      </c>
      <c r="M9">
        <f t="shared" si="4"/>
        <v>-0.14000000000000001</v>
      </c>
      <c r="T9" t="s">
        <v>6</v>
      </c>
      <c r="AB9" t="s">
        <v>240</v>
      </c>
    </row>
    <row r="10" spans="1:31" ht="15" thickBot="1" x14ac:dyDescent="0.35">
      <c r="A10" s="4" t="s">
        <v>118</v>
      </c>
      <c r="B10" s="22" t="s">
        <v>79</v>
      </c>
      <c r="C10" s="22" t="s">
        <v>79</v>
      </c>
      <c r="D10" s="22" t="s">
        <v>79</v>
      </c>
      <c r="E10" s="22" t="s">
        <v>79</v>
      </c>
      <c r="F10" s="22" t="s">
        <v>79</v>
      </c>
      <c r="G10" s="23"/>
      <c r="H10" t="str">
        <f t="shared" si="5"/>
        <v>Q1.8</v>
      </c>
      <c r="I10" t="str">
        <f t="shared" si="0"/>
        <v/>
      </c>
      <c r="J10" t="str">
        <f t="shared" si="1"/>
        <v/>
      </c>
      <c r="K10" t="str">
        <f t="shared" si="2"/>
        <v/>
      </c>
      <c r="L10" t="str">
        <f t="shared" si="3"/>
        <v/>
      </c>
      <c r="M10" t="str">
        <f t="shared" si="4"/>
        <v/>
      </c>
      <c r="T10" s="24" t="s">
        <v>7</v>
      </c>
    </row>
    <row r="11" spans="1:31" ht="15" thickBot="1" x14ac:dyDescent="0.35">
      <c r="A11" s="4" t="s">
        <v>104</v>
      </c>
      <c r="B11" s="22">
        <v>0.37</v>
      </c>
      <c r="C11" s="22" t="s">
        <v>79</v>
      </c>
      <c r="D11" s="22" t="s">
        <v>79</v>
      </c>
      <c r="E11" s="22" t="s">
        <v>79</v>
      </c>
      <c r="F11" s="22">
        <v>-0.39</v>
      </c>
      <c r="G11" s="23"/>
      <c r="H11" t="str">
        <f t="shared" si="5"/>
        <v>Q1.9</v>
      </c>
      <c r="I11">
        <f t="shared" si="0"/>
        <v>0.37</v>
      </c>
      <c r="J11" t="str">
        <f t="shared" si="1"/>
        <v/>
      </c>
      <c r="K11" t="str">
        <f t="shared" si="2"/>
        <v/>
      </c>
      <c r="L11" t="str">
        <f t="shared" si="3"/>
        <v/>
      </c>
      <c r="M11">
        <f t="shared" si="4"/>
        <v>-0.39</v>
      </c>
      <c r="T11" s="24" t="s">
        <v>8</v>
      </c>
      <c r="AE11" s="12" t="s">
        <v>244</v>
      </c>
    </row>
    <row r="12" spans="1:31" ht="15" thickBot="1" x14ac:dyDescent="0.35">
      <c r="A12" s="4" t="s">
        <v>117</v>
      </c>
      <c r="B12" s="22" t="s">
        <v>79</v>
      </c>
      <c r="C12" s="22">
        <v>0.19</v>
      </c>
      <c r="D12" s="22">
        <v>-0.13</v>
      </c>
      <c r="E12" s="22">
        <v>-0.21</v>
      </c>
      <c r="F12" s="22">
        <v>0.14000000000000001</v>
      </c>
      <c r="G12" s="23"/>
      <c r="H12" t="str">
        <f t="shared" si="5"/>
        <v>Q1.10</v>
      </c>
      <c r="I12" t="str">
        <f t="shared" si="0"/>
        <v/>
      </c>
      <c r="J12">
        <f t="shared" si="1"/>
        <v>0.19</v>
      </c>
      <c r="K12">
        <f t="shared" si="2"/>
        <v>-0.13</v>
      </c>
      <c r="L12">
        <f t="shared" si="3"/>
        <v>-0.21</v>
      </c>
      <c r="M12">
        <f t="shared" si="4"/>
        <v>0.14000000000000001</v>
      </c>
      <c r="T12" s="24" t="s">
        <v>9</v>
      </c>
      <c r="AB12">
        <v>21</v>
      </c>
      <c r="AC12" s="24" t="s">
        <v>20</v>
      </c>
      <c r="AE12" t="s">
        <v>128</v>
      </c>
    </row>
    <row r="13" spans="1:31" ht="15" thickBot="1" x14ac:dyDescent="0.35">
      <c r="A13" s="4" t="s">
        <v>116</v>
      </c>
      <c r="B13" s="22" t="s">
        <v>79</v>
      </c>
      <c r="C13" s="22" t="s">
        <v>79</v>
      </c>
      <c r="D13" s="22" t="s">
        <v>79</v>
      </c>
      <c r="E13" s="22" t="s">
        <v>79</v>
      </c>
      <c r="F13" s="22" t="s">
        <v>79</v>
      </c>
      <c r="G13" s="23"/>
      <c r="H13" t="str">
        <f t="shared" si="5"/>
        <v>Q1.11</v>
      </c>
      <c r="I13" t="str">
        <f t="shared" si="0"/>
        <v/>
      </c>
      <c r="J13" t="str">
        <f t="shared" si="1"/>
        <v/>
      </c>
      <c r="K13" t="str">
        <f t="shared" si="2"/>
        <v/>
      </c>
      <c r="L13" t="str">
        <f t="shared" si="3"/>
        <v/>
      </c>
      <c r="M13" t="str">
        <f t="shared" si="4"/>
        <v/>
      </c>
      <c r="T13" t="s">
        <v>10</v>
      </c>
      <c r="AB13">
        <v>9</v>
      </c>
      <c r="AC13" s="24" t="s">
        <v>8</v>
      </c>
      <c r="AE13" t="s">
        <v>242</v>
      </c>
    </row>
    <row r="14" spans="1:31" ht="15" thickBot="1" x14ac:dyDescent="0.35">
      <c r="A14" s="4" t="s">
        <v>120</v>
      </c>
      <c r="B14" s="22" t="s">
        <v>79</v>
      </c>
      <c r="C14" s="22" t="s">
        <v>79</v>
      </c>
      <c r="D14" s="22" t="s">
        <v>79</v>
      </c>
      <c r="E14" s="22" t="s">
        <v>79</v>
      </c>
      <c r="F14" s="22" t="s">
        <v>79</v>
      </c>
      <c r="G14" s="23"/>
      <c r="H14" t="str">
        <f t="shared" si="5"/>
        <v>Q1.12</v>
      </c>
      <c r="I14" t="str">
        <f t="shared" si="0"/>
        <v/>
      </c>
      <c r="J14" t="str">
        <f t="shared" si="1"/>
        <v/>
      </c>
      <c r="K14" t="str">
        <f t="shared" si="2"/>
        <v/>
      </c>
      <c r="L14" t="str">
        <f t="shared" si="3"/>
        <v/>
      </c>
      <c r="M14" t="str">
        <f t="shared" si="4"/>
        <v/>
      </c>
      <c r="T14" s="24" t="s">
        <v>11</v>
      </c>
      <c r="AB14">
        <v>27</v>
      </c>
      <c r="AC14" s="24" t="s">
        <v>26</v>
      </c>
      <c r="AE14" t="s">
        <v>129</v>
      </c>
    </row>
    <row r="15" spans="1:31" ht="15" thickBot="1" x14ac:dyDescent="0.35">
      <c r="A15" s="4" t="s">
        <v>100</v>
      </c>
      <c r="B15" s="22">
        <v>0.24</v>
      </c>
      <c r="C15" s="22" t="s">
        <v>79</v>
      </c>
      <c r="D15" s="22">
        <v>-0.1</v>
      </c>
      <c r="E15" s="22" t="s">
        <v>79</v>
      </c>
      <c r="F15" s="22">
        <v>-0.18</v>
      </c>
      <c r="G15" s="23"/>
      <c r="H15" t="str">
        <f t="shared" si="5"/>
        <v>Q1.13</v>
      </c>
      <c r="I15">
        <f t="shared" si="0"/>
        <v>0.24</v>
      </c>
      <c r="J15" t="str">
        <f t="shared" si="1"/>
        <v/>
      </c>
      <c r="K15">
        <f t="shared" si="2"/>
        <v>-0.1</v>
      </c>
      <c r="L15" t="str">
        <f t="shared" si="3"/>
        <v/>
      </c>
      <c r="M15">
        <f t="shared" si="4"/>
        <v>-0.18</v>
      </c>
      <c r="T15" t="s">
        <v>13</v>
      </c>
      <c r="AB15">
        <v>4</v>
      </c>
      <c r="AC15" s="24" t="s">
        <v>3</v>
      </c>
      <c r="AE15" t="s">
        <v>243</v>
      </c>
    </row>
    <row r="16" spans="1:31" ht="15" thickBot="1" x14ac:dyDescent="0.35">
      <c r="A16" s="4" t="s">
        <v>93</v>
      </c>
      <c r="B16" s="22">
        <v>0.21</v>
      </c>
      <c r="C16" s="22" t="s">
        <v>79</v>
      </c>
      <c r="D16" s="22">
        <v>-0.12</v>
      </c>
      <c r="E16" s="22" t="s">
        <v>79</v>
      </c>
      <c r="F16" s="22">
        <v>-0.15</v>
      </c>
      <c r="G16" s="23"/>
      <c r="H16" t="str">
        <f t="shared" si="5"/>
        <v>Q1.14</v>
      </c>
      <c r="I16">
        <f t="shared" si="0"/>
        <v>0.21</v>
      </c>
      <c r="J16" t="str">
        <f t="shared" si="1"/>
        <v/>
      </c>
      <c r="K16">
        <f t="shared" si="2"/>
        <v>-0.12</v>
      </c>
      <c r="L16" t="str">
        <f t="shared" si="3"/>
        <v/>
      </c>
      <c r="M16">
        <f t="shared" si="4"/>
        <v>-0.15</v>
      </c>
      <c r="T16" t="s">
        <v>12</v>
      </c>
      <c r="AB16">
        <v>8</v>
      </c>
      <c r="AC16" s="24" t="s">
        <v>7</v>
      </c>
      <c r="AD16" t="s">
        <v>11</v>
      </c>
      <c r="AE16" t="s">
        <v>89</v>
      </c>
    </row>
    <row r="17" spans="1:31" ht="15" thickBot="1" x14ac:dyDescent="0.35">
      <c r="A17" s="4" t="s">
        <v>98</v>
      </c>
      <c r="B17" s="22">
        <v>0.15</v>
      </c>
      <c r="C17" s="22" t="s">
        <v>79</v>
      </c>
      <c r="D17" s="22">
        <v>-0.12</v>
      </c>
      <c r="E17" s="22" t="s">
        <v>79</v>
      </c>
      <c r="F17" s="22" t="s">
        <v>79</v>
      </c>
      <c r="G17" s="23"/>
      <c r="H17" t="str">
        <f t="shared" si="5"/>
        <v>Q1.15</v>
      </c>
      <c r="I17">
        <f t="shared" si="0"/>
        <v>0.15</v>
      </c>
      <c r="J17" t="str">
        <f t="shared" si="1"/>
        <v/>
      </c>
      <c r="K17">
        <f t="shared" si="2"/>
        <v>-0.12</v>
      </c>
      <c r="L17" t="str">
        <f t="shared" si="3"/>
        <v/>
      </c>
      <c r="M17" t="str">
        <f t="shared" si="4"/>
        <v/>
      </c>
      <c r="T17" s="26" t="s">
        <v>14</v>
      </c>
      <c r="AB17">
        <v>10</v>
      </c>
      <c r="AC17" s="24" t="s">
        <v>9</v>
      </c>
      <c r="AE17" t="s">
        <v>141</v>
      </c>
    </row>
    <row r="18" spans="1:31" ht="15" thickBot="1" x14ac:dyDescent="0.35">
      <c r="A18" s="4" t="s">
        <v>99</v>
      </c>
      <c r="B18" s="22">
        <v>0.24</v>
      </c>
      <c r="C18" s="22" t="s">
        <v>79</v>
      </c>
      <c r="D18" s="22">
        <v>-0.13</v>
      </c>
      <c r="E18" s="22" t="s">
        <v>79</v>
      </c>
      <c r="F18" s="22">
        <v>-0.22</v>
      </c>
      <c r="G18" s="23"/>
      <c r="H18" t="str">
        <f t="shared" si="5"/>
        <v>Q1.16</v>
      </c>
      <c r="I18">
        <f t="shared" si="0"/>
        <v>0.24</v>
      </c>
      <c r="J18" t="str">
        <f t="shared" si="1"/>
        <v/>
      </c>
      <c r="K18">
        <f t="shared" si="2"/>
        <v>-0.13</v>
      </c>
      <c r="L18" t="str">
        <f t="shared" si="3"/>
        <v/>
      </c>
      <c r="M18">
        <f t="shared" si="4"/>
        <v>-0.22</v>
      </c>
      <c r="T18" s="24" t="s">
        <v>15</v>
      </c>
      <c r="AB18">
        <v>1</v>
      </c>
      <c r="AC18" s="24" t="s">
        <v>0</v>
      </c>
      <c r="AE18" t="s">
        <v>132</v>
      </c>
    </row>
    <row r="19" spans="1:31" ht="15" thickBot="1" x14ac:dyDescent="0.35">
      <c r="A19" s="4" t="s">
        <v>105</v>
      </c>
      <c r="B19" s="22">
        <v>0.2</v>
      </c>
      <c r="C19" s="22" t="s">
        <v>79</v>
      </c>
      <c r="D19" s="22">
        <v>-0.11</v>
      </c>
      <c r="E19" s="22" t="s">
        <v>79</v>
      </c>
      <c r="F19" s="22">
        <v>-0.18</v>
      </c>
      <c r="G19" s="23"/>
      <c r="H19" t="str">
        <f t="shared" si="5"/>
        <v>Q1.17</v>
      </c>
      <c r="I19">
        <f t="shared" si="0"/>
        <v>0.2</v>
      </c>
      <c r="J19" t="str">
        <f t="shared" si="1"/>
        <v/>
      </c>
      <c r="K19">
        <f t="shared" si="2"/>
        <v>-0.11</v>
      </c>
      <c r="L19" t="str">
        <f t="shared" si="3"/>
        <v/>
      </c>
      <c r="M19">
        <f t="shared" si="4"/>
        <v>-0.18</v>
      </c>
      <c r="T19" t="s">
        <v>16</v>
      </c>
    </row>
    <row r="20" spans="1:31" ht="15" thickBot="1" x14ac:dyDescent="0.35">
      <c r="A20" s="4" t="s">
        <v>109</v>
      </c>
      <c r="B20" s="22" t="s">
        <v>79</v>
      </c>
      <c r="C20" s="22" t="s">
        <v>79</v>
      </c>
      <c r="D20" s="22">
        <v>-0.11</v>
      </c>
      <c r="E20" s="22" t="s">
        <v>79</v>
      </c>
      <c r="F20" s="22" t="s">
        <v>79</v>
      </c>
      <c r="G20" s="23"/>
      <c r="H20" t="str">
        <f t="shared" si="5"/>
        <v>Q1.18</v>
      </c>
      <c r="I20" t="str">
        <f t="shared" si="0"/>
        <v/>
      </c>
      <c r="J20" t="str">
        <f t="shared" si="1"/>
        <v/>
      </c>
      <c r="K20">
        <f t="shared" si="2"/>
        <v>-0.11</v>
      </c>
      <c r="L20" t="str">
        <f t="shared" si="3"/>
        <v/>
      </c>
      <c r="M20" t="str">
        <f t="shared" si="4"/>
        <v/>
      </c>
      <c r="T20" t="s">
        <v>17</v>
      </c>
    </row>
    <row r="21" spans="1:31" ht="15" thickBot="1" x14ac:dyDescent="0.35">
      <c r="A21" s="4" t="s">
        <v>112</v>
      </c>
      <c r="B21" s="22" t="s">
        <v>79</v>
      </c>
      <c r="C21" s="22" t="s">
        <v>79</v>
      </c>
      <c r="D21" s="22">
        <v>-0.1</v>
      </c>
      <c r="E21" s="22" t="s">
        <v>79</v>
      </c>
      <c r="F21" s="22" t="s">
        <v>79</v>
      </c>
      <c r="G21" s="23"/>
      <c r="H21" t="str">
        <f t="shared" si="5"/>
        <v>Q1.19</v>
      </c>
      <c r="I21" t="str">
        <f t="shared" si="0"/>
        <v/>
      </c>
      <c r="J21" t="str">
        <f t="shared" si="1"/>
        <v/>
      </c>
      <c r="K21">
        <f t="shared" si="2"/>
        <v>-0.1</v>
      </c>
      <c r="L21" t="str">
        <f t="shared" si="3"/>
        <v/>
      </c>
      <c r="M21" t="str">
        <f t="shared" si="4"/>
        <v/>
      </c>
      <c r="T21" t="s">
        <v>18</v>
      </c>
    </row>
    <row r="22" spans="1:31" ht="15" thickBot="1" x14ac:dyDescent="0.35">
      <c r="A22" s="4" t="s">
        <v>94</v>
      </c>
      <c r="B22" s="22">
        <v>0.21</v>
      </c>
      <c r="C22" s="22" t="s">
        <v>79</v>
      </c>
      <c r="D22" s="22">
        <v>-0.14000000000000001</v>
      </c>
      <c r="E22" s="22" t="s">
        <v>79</v>
      </c>
      <c r="F22" s="22">
        <v>-0.14000000000000001</v>
      </c>
      <c r="G22" s="23"/>
      <c r="H22" t="str">
        <f t="shared" si="5"/>
        <v>Q1.20</v>
      </c>
      <c r="I22">
        <f t="shared" si="0"/>
        <v>0.21</v>
      </c>
      <c r="J22" t="str">
        <f t="shared" si="1"/>
        <v/>
      </c>
      <c r="K22">
        <f t="shared" si="2"/>
        <v>-0.14000000000000001</v>
      </c>
      <c r="L22" t="str">
        <f t="shared" si="3"/>
        <v/>
      </c>
      <c r="M22">
        <f t="shared" si="4"/>
        <v>-0.14000000000000001</v>
      </c>
      <c r="T22" t="s">
        <v>19</v>
      </c>
    </row>
    <row r="23" spans="1:31" ht="15" thickBot="1" x14ac:dyDescent="0.35">
      <c r="A23" s="4" t="s">
        <v>111</v>
      </c>
      <c r="B23" s="22" t="s">
        <v>79</v>
      </c>
      <c r="C23" s="22" t="s">
        <v>79</v>
      </c>
      <c r="D23" s="22">
        <v>-0.14000000000000001</v>
      </c>
      <c r="E23" s="22" t="s">
        <v>79</v>
      </c>
      <c r="F23" s="22" t="s">
        <v>79</v>
      </c>
      <c r="G23" s="23"/>
      <c r="H23" t="str">
        <f t="shared" si="5"/>
        <v>Q1.21</v>
      </c>
      <c r="I23" t="str">
        <f t="shared" si="0"/>
        <v/>
      </c>
      <c r="J23" t="str">
        <f t="shared" si="1"/>
        <v/>
      </c>
      <c r="K23">
        <f t="shared" si="2"/>
        <v>-0.14000000000000001</v>
      </c>
      <c r="L23" t="str">
        <f t="shared" si="3"/>
        <v/>
      </c>
      <c r="M23" t="str">
        <f t="shared" si="4"/>
        <v/>
      </c>
      <c r="T23" s="24" t="s">
        <v>20</v>
      </c>
    </row>
    <row r="24" spans="1:31" ht="15" thickBot="1" x14ac:dyDescent="0.35">
      <c r="A24" s="4" t="s">
        <v>106</v>
      </c>
      <c r="B24" s="22">
        <v>0.1</v>
      </c>
      <c r="C24" s="22" t="s">
        <v>79</v>
      </c>
      <c r="D24" s="22">
        <v>-0.1</v>
      </c>
      <c r="E24" s="22" t="s">
        <v>79</v>
      </c>
      <c r="F24" s="22" t="s">
        <v>79</v>
      </c>
      <c r="G24" s="23"/>
      <c r="H24" t="str">
        <f t="shared" si="5"/>
        <v>Q1.22</v>
      </c>
      <c r="I24">
        <f t="shared" si="0"/>
        <v>0.1</v>
      </c>
      <c r="J24" t="str">
        <f t="shared" si="1"/>
        <v/>
      </c>
      <c r="K24">
        <f t="shared" si="2"/>
        <v>-0.1</v>
      </c>
      <c r="L24" t="str">
        <f t="shared" si="3"/>
        <v/>
      </c>
      <c r="M24" t="str">
        <f t="shared" si="4"/>
        <v/>
      </c>
      <c r="T24" t="s">
        <v>21</v>
      </c>
    </row>
    <row r="25" spans="1:31" ht="15" thickBot="1" x14ac:dyDescent="0.35">
      <c r="A25" s="4" t="s">
        <v>107</v>
      </c>
      <c r="B25" s="22">
        <v>0.15</v>
      </c>
      <c r="C25" s="22" t="s">
        <v>79</v>
      </c>
      <c r="D25" s="22">
        <v>-0.11</v>
      </c>
      <c r="E25" s="22" t="s">
        <v>79</v>
      </c>
      <c r="F25" s="22">
        <v>-0.11</v>
      </c>
      <c r="G25" s="23"/>
      <c r="H25" t="str">
        <f t="shared" si="5"/>
        <v>Q1.23</v>
      </c>
      <c r="I25">
        <f t="shared" si="0"/>
        <v>0.15</v>
      </c>
      <c r="J25" t="str">
        <f t="shared" si="1"/>
        <v/>
      </c>
      <c r="K25">
        <f t="shared" si="2"/>
        <v>-0.11</v>
      </c>
      <c r="L25" t="str">
        <f t="shared" si="3"/>
        <v/>
      </c>
      <c r="M25">
        <f t="shared" si="4"/>
        <v>-0.11</v>
      </c>
      <c r="T25" s="26" t="s">
        <v>22</v>
      </c>
    </row>
    <row r="26" spans="1:31" ht="15" thickBot="1" x14ac:dyDescent="0.35">
      <c r="A26" s="4" t="s">
        <v>110</v>
      </c>
      <c r="B26" s="22" t="s">
        <v>79</v>
      </c>
      <c r="C26" s="22" t="s">
        <v>79</v>
      </c>
      <c r="D26" s="22" t="s">
        <v>79</v>
      </c>
      <c r="E26" s="22" t="s">
        <v>79</v>
      </c>
      <c r="F26" s="22" t="s">
        <v>79</v>
      </c>
      <c r="G26" s="23"/>
      <c r="H26" t="str">
        <f t="shared" si="5"/>
        <v>Q1.24</v>
      </c>
      <c r="I26" t="str">
        <f t="shared" si="0"/>
        <v/>
      </c>
      <c r="J26" t="str">
        <f t="shared" si="1"/>
        <v/>
      </c>
      <c r="K26" t="str">
        <f t="shared" si="2"/>
        <v/>
      </c>
      <c r="L26" t="str">
        <f t="shared" si="3"/>
        <v/>
      </c>
      <c r="M26" t="str">
        <f t="shared" si="4"/>
        <v/>
      </c>
      <c r="T26" s="26" t="s">
        <v>23</v>
      </c>
    </row>
    <row r="27" spans="1:31" ht="15" thickBot="1" x14ac:dyDescent="0.35">
      <c r="A27" s="4" t="s">
        <v>101</v>
      </c>
      <c r="B27" s="22">
        <v>0.14000000000000001</v>
      </c>
      <c r="C27" s="22" t="s">
        <v>79</v>
      </c>
      <c r="D27" s="22">
        <v>-0.11</v>
      </c>
      <c r="E27" s="22" t="s">
        <v>79</v>
      </c>
      <c r="F27" s="22">
        <v>-0.1</v>
      </c>
      <c r="G27" s="23"/>
      <c r="H27" t="str">
        <f t="shared" si="5"/>
        <v>Q1.25</v>
      </c>
      <c r="I27">
        <f t="shared" si="0"/>
        <v>0.14000000000000001</v>
      </c>
      <c r="J27" t="str">
        <f t="shared" si="1"/>
        <v/>
      </c>
      <c r="K27">
        <f t="shared" si="2"/>
        <v>-0.11</v>
      </c>
      <c r="L27" t="str">
        <f t="shared" si="3"/>
        <v/>
      </c>
      <c r="M27">
        <f t="shared" si="4"/>
        <v>-0.1</v>
      </c>
      <c r="T27" t="s">
        <v>24</v>
      </c>
    </row>
    <row r="28" spans="1:31" ht="15" thickBot="1" x14ac:dyDescent="0.35">
      <c r="A28" s="4" t="s">
        <v>103</v>
      </c>
      <c r="B28" s="22">
        <v>0.27</v>
      </c>
      <c r="C28" s="22" t="s">
        <v>79</v>
      </c>
      <c r="D28" s="22" t="s">
        <v>79</v>
      </c>
      <c r="E28" s="22" t="s">
        <v>79</v>
      </c>
      <c r="F28" s="22">
        <v>-0.23</v>
      </c>
      <c r="G28" s="23"/>
      <c r="H28" t="str">
        <f t="shared" si="5"/>
        <v>Q1.26</v>
      </c>
      <c r="I28">
        <f t="shared" si="0"/>
        <v>0.27</v>
      </c>
      <c r="J28" t="str">
        <f t="shared" si="1"/>
        <v/>
      </c>
      <c r="K28" t="str">
        <f t="shared" si="2"/>
        <v/>
      </c>
      <c r="L28" t="str">
        <f t="shared" si="3"/>
        <v/>
      </c>
      <c r="M28">
        <f t="shared" si="4"/>
        <v>-0.23</v>
      </c>
      <c r="T28" t="s">
        <v>25</v>
      </c>
    </row>
    <row r="29" spans="1:31" ht="15" thickBot="1" x14ac:dyDescent="0.35">
      <c r="A29" s="4" t="s">
        <v>95</v>
      </c>
      <c r="B29" s="22">
        <v>0.37</v>
      </c>
      <c r="C29" s="22" t="s">
        <v>79</v>
      </c>
      <c r="D29" s="22">
        <v>-0.11</v>
      </c>
      <c r="E29" s="22">
        <v>-0.13</v>
      </c>
      <c r="F29" s="22">
        <v>-0.25</v>
      </c>
      <c r="G29" s="23"/>
      <c r="H29" t="str">
        <f t="shared" si="5"/>
        <v>Q1.27</v>
      </c>
      <c r="I29">
        <f t="shared" si="0"/>
        <v>0.37</v>
      </c>
      <c r="J29" t="str">
        <f t="shared" si="1"/>
        <v/>
      </c>
      <c r="K29">
        <f t="shared" si="2"/>
        <v>-0.11</v>
      </c>
      <c r="L29">
        <f t="shared" si="3"/>
        <v>-0.13</v>
      </c>
      <c r="M29">
        <f t="shared" si="4"/>
        <v>-0.25</v>
      </c>
      <c r="T29" s="24" t="s">
        <v>26</v>
      </c>
    </row>
    <row r="30" spans="1:31" ht="15" thickBot="1" x14ac:dyDescent="0.35">
      <c r="A30" s="4" t="s">
        <v>92</v>
      </c>
      <c r="B30" s="22">
        <v>0.24</v>
      </c>
      <c r="C30" s="22" t="s">
        <v>79</v>
      </c>
      <c r="D30" s="22">
        <v>-0.11</v>
      </c>
      <c r="E30" s="22" t="s">
        <v>79</v>
      </c>
      <c r="F30" s="22">
        <v>-0.19</v>
      </c>
      <c r="G30" s="23"/>
      <c r="H30" t="str">
        <f t="shared" si="5"/>
        <v>Q1.28</v>
      </c>
      <c r="I30">
        <f t="shared" si="0"/>
        <v>0.24</v>
      </c>
      <c r="J30" t="str">
        <f t="shared" si="1"/>
        <v/>
      </c>
      <c r="K30">
        <f t="shared" si="2"/>
        <v>-0.11</v>
      </c>
      <c r="L30" t="str">
        <f t="shared" si="3"/>
        <v/>
      </c>
      <c r="M30">
        <f t="shared" si="4"/>
        <v>-0.19</v>
      </c>
      <c r="T30" t="s">
        <v>27</v>
      </c>
    </row>
    <row r="31" spans="1:31" ht="15" thickBot="1" x14ac:dyDescent="0.35">
      <c r="A31" s="4" t="s">
        <v>113</v>
      </c>
      <c r="B31" s="22" t="s">
        <v>79</v>
      </c>
      <c r="C31" s="22" t="s">
        <v>79</v>
      </c>
      <c r="D31" s="22" t="s">
        <v>79</v>
      </c>
      <c r="E31" s="22" t="s">
        <v>79</v>
      </c>
      <c r="F31" s="22" t="s">
        <v>79</v>
      </c>
      <c r="G31" s="23"/>
      <c r="H31" t="str">
        <f t="shared" si="5"/>
        <v>Q1.29</v>
      </c>
      <c r="I31" t="str">
        <f t="shared" si="0"/>
        <v/>
      </c>
      <c r="J31" t="str">
        <f t="shared" si="1"/>
        <v/>
      </c>
      <c r="K31" t="str">
        <f t="shared" si="2"/>
        <v/>
      </c>
      <c r="L31" t="str">
        <f t="shared" si="3"/>
        <v/>
      </c>
      <c r="M31" t="str">
        <f t="shared" si="4"/>
        <v/>
      </c>
      <c r="T31" s="27" t="s">
        <v>28</v>
      </c>
    </row>
    <row r="32" spans="1:31" ht="15" thickBot="1" x14ac:dyDescent="0.35">
      <c r="A32" s="4" t="s">
        <v>147</v>
      </c>
      <c r="B32" s="22">
        <v>0.17</v>
      </c>
      <c r="C32" s="22">
        <v>-0.1</v>
      </c>
      <c r="D32" s="22" t="s">
        <v>79</v>
      </c>
      <c r="E32" s="22" t="s">
        <v>79</v>
      </c>
      <c r="F32" s="22">
        <v>-0.13</v>
      </c>
      <c r="G32" s="23"/>
      <c r="H32" t="str">
        <f t="shared" si="5"/>
        <v>Q2</v>
      </c>
      <c r="I32">
        <f t="shared" si="0"/>
        <v>0.17</v>
      </c>
      <c r="J32">
        <f t="shared" si="1"/>
        <v>-0.1</v>
      </c>
      <c r="K32" t="str">
        <f t="shared" si="2"/>
        <v/>
      </c>
      <c r="L32" t="str">
        <f t="shared" si="3"/>
        <v/>
      </c>
      <c r="M32">
        <f t="shared" si="4"/>
        <v>-0.13</v>
      </c>
      <c r="T32" t="s">
        <v>206</v>
      </c>
    </row>
    <row r="33" spans="1:20" ht="15" thickBot="1" x14ac:dyDescent="0.35">
      <c r="A33" s="4" t="s">
        <v>148</v>
      </c>
      <c r="B33" s="22" t="s">
        <v>79</v>
      </c>
      <c r="C33" s="22" t="s">
        <v>79</v>
      </c>
      <c r="D33" s="22" t="s">
        <v>79</v>
      </c>
      <c r="E33" s="22" t="s">
        <v>79</v>
      </c>
      <c r="F33" s="22" t="s">
        <v>79</v>
      </c>
      <c r="G33" s="23"/>
      <c r="H33" t="str">
        <f t="shared" si="5"/>
        <v>Q2.Cluster</v>
      </c>
      <c r="I33" t="str">
        <f t="shared" si="0"/>
        <v/>
      </c>
      <c r="J33" t="str">
        <f t="shared" si="1"/>
        <v/>
      </c>
      <c r="K33" t="str">
        <f t="shared" si="2"/>
        <v/>
      </c>
      <c r="L33" t="str">
        <f t="shared" si="3"/>
        <v/>
      </c>
      <c r="M33" t="str">
        <f t="shared" si="4"/>
        <v/>
      </c>
      <c r="T33" t="s">
        <v>206</v>
      </c>
    </row>
    <row r="34" spans="1:20" ht="15" thickBot="1" x14ac:dyDescent="0.35">
      <c r="A34" s="4" t="s">
        <v>149</v>
      </c>
      <c r="B34" s="22" t="s">
        <v>79</v>
      </c>
      <c r="C34" s="22" t="s">
        <v>79</v>
      </c>
      <c r="D34" s="22" t="s">
        <v>79</v>
      </c>
      <c r="E34" s="22" t="s">
        <v>79</v>
      </c>
      <c r="F34" s="22" t="s">
        <v>79</v>
      </c>
      <c r="G34" s="23"/>
      <c r="H34" t="str">
        <f t="shared" si="5"/>
        <v>Q3</v>
      </c>
      <c r="I34" t="str">
        <f t="shared" si="0"/>
        <v/>
      </c>
      <c r="J34" t="str">
        <f t="shared" si="1"/>
        <v/>
      </c>
      <c r="K34" t="str">
        <f t="shared" si="2"/>
        <v/>
      </c>
      <c r="L34" t="str">
        <f t="shared" si="3"/>
        <v/>
      </c>
      <c r="M34" t="str">
        <f t="shared" si="4"/>
        <v/>
      </c>
      <c r="T34" t="s">
        <v>207</v>
      </c>
    </row>
    <row r="35" spans="1:20" ht="15" thickBot="1" x14ac:dyDescent="0.35">
      <c r="A35" s="4" t="s">
        <v>150</v>
      </c>
      <c r="B35" s="22">
        <v>0.14000000000000001</v>
      </c>
      <c r="C35" s="22" t="s">
        <v>79</v>
      </c>
      <c r="D35" s="22" t="s">
        <v>79</v>
      </c>
      <c r="E35" s="22" t="s">
        <v>79</v>
      </c>
      <c r="F35" s="22" t="s">
        <v>79</v>
      </c>
      <c r="G35" s="23"/>
      <c r="H35" t="str">
        <f t="shared" si="5"/>
        <v>Q4</v>
      </c>
      <c r="I35">
        <f t="shared" ref="I35:I66" si="6">IF(ISNUMBER(B35),B35,"")</f>
        <v>0.14000000000000001</v>
      </c>
      <c r="J35" t="str">
        <f t="shared" ref="J35:J66" si="7">IF(ISNUMBER(C35),C35,"")</f>
        <v/>
      </c>
      <c r="K35" t="str">
        <f t="shared" ref="K35:K66" si="8">IF(ISNUMBER(D35),D35,"")</f>
        <v/>
      </c>
      <c r="L35" t="str">
        <f t="shared" ref="L35:L66" si="9">IF(ISNUMBER(E35),E35,"")</f>
        <v/>
      </c>
      <c r="M35" t="str">
        <f t="shared" ref="M35:M66" si="10">IF(ISNUMBER(F35),F35,"")</f>
        <v/>
      </c>
      <c r="T35" t="s">
        <v>208</v>
      </c>
    </row>
    <row r="36" spans="1:20" ht="15" thickBot="1" x14ac:dyDescent="0.35">
      <c r="A36" s="4" t="s">
        <v>151</v>
      </c>
      <c r="B36" s="22">
        <v>0.26</v>
      </c>
      <c r="C36" s="22" t="s">
        <v>79</v>
      </c>
      <c r="D36" s="22" t="s">
        <v>79</v>
      </c>
      <c r="E36" s="22" t="s">
        <v>79</v>
      </c>
      <c r="F36" s="22">
        <v>-0.19</v>
      </c>
      <c r="G36" s="23"/>
      <c r="H36" t="str">
        <f t="shared" si="5"/>
        <v>Q5</v>
      </c>
      <c r="I36">
        <f t="shared" si="6"/>
        <v>0.26</v>
      </c>
      <c r="J36" t="str">
        <f t="shared" si="7"/>
        <v/>
      </c>
      <c r="K36" t="str">
        <f t="shared" si="8"/>
        <v/>
      </c>
      <c r="L36" t="str">
        <f t="shared" si="9"/>
        <v/>
      </c>
      <c r="M36">
        <f t="shared" si="10"/>
        <v>-0.19</v>
      </c>
      <c r="T36" t="s">
        <v>209</v>
      </c>
    </row>
    <row r="37" spans="1:20" ht="15" thickBot="1" x14ac:dyDescent="0.35">
      <c r="A37" s="4" t="s">
        <v>152</v>
      </c>
      <c r="B37" s="22" t="s">
        <v>79</v>
      </c>
      <c r="C37" s="22" t="s">
        <v>79</v>
      </c>
      <c r="D37" s="22" t="s">
        <v>79</v>
      </c>
      <c r="E37" s="22" t="s">
        <v>79</v>
      </c>
      <c r="F37" s="22" t="s">
        <v>79</v>
      </c>
      <c r="G37" s="23"/>
      <c r="H37" t="str">
        <f t="shared" si="5"/>
        <v>Q6</v>
      </c>
      <c r="I37" t="str">
        <f t="shared" si="6"/>
        <v/>
      </c>
      <c r="J37" t="str">
        <f t="shared" si="7"/>
        <v/>
      </c>
      <c r="K37" t="str">
        <f t="shared" si="8"/>
        <v/>
      </c>
      <c r="L37" t="str">
        <f t="shared" si="9"/>
        <v/>
      </c>
      <c r="M37" t="str">
        <f t="shared" si="10"/>
        <v/>
      </c>
      <c r="T37" t="s">
        <v>210</v>
      </c>
    </row>
    <row r="38" spans="1:20" ht="15" thickBot="1" x14ac:dyDescent="0.35">
      <c r="A38" s="4" t="s">
        <v>153</v>
      </c>
      <c r="B38" s="22">
        <v>0.1</v>
      </c>
      <c r="C38" s="22" t="s">
        <v>79</v>
      </c>
      <c r="D38" s="22" t="s">
        <v>79</v>
      </c>
      <c r="E38" s="22" t="s">
        <v>79</v>
      </c>
      <c r="F38" s="22" t="s">
        <v>79</v>
      </c>
      <c r="G38" s="23"/>
      <c r="H38" t="str">
        <f t="shared" si="5"/>
        <v>Q7.1</v>
      </c>
      <c r="I38">
        <f t="shared" si="6"/>
        <v>0.1</v>
      </c>
      <c r="J38" t="str">
        <f t="shared" si="7"/>
        <v/>
      </c>
      <c r="K38" t="str">
        <f t="shared" si="8"/>
        <v/>
      </c>
      <c r="L38" t="str">
        <f t="shared" si="9"/>
        <v/>
      </c>
      <c r="M38" t="str">
        <f t="shared" si="10"/>
        <v/>
      </c>
      <c r="T38" t="s">
        <v>211</v>
      </c>
    </row>
    <row r="39" spans="1:20" ht="15" thickBot="1" x14ac:dyDescent="0.35">
      <c r="A39" s="4" t="s">
        <v>154</v>
      </c>
      <c r="B39" s="22" t="s">
        <v>79</v>
      </c>
      <c r="C39" s="22" t="s">
        <v>79</v>
      </c>
      <c r="D39" s="22" t="s">
        <v>79</v>
      </c>
      <c r="E39" s="22" t="s">
        <v>79</v>
      </c>
      <c r="F39" s="22" t="s">
        <v>79</v>
      </c>
      <c r="G39" s="23"/>
      <c r="H39" t="str">
        <f t="shared" si="5"/>
        <v>Q7.2</v>
      </c>
      <c r="I39" t="str">
        <f t="shared" si="6"/>
        <v/>
      </c>
      <c r="J39" t="str">
        <f t="shared" si="7"/>
        <v/>
      </c>
      <c r="K39" t="str">
        <f t="shared" si="8"/>
        <v/>
      </c>
      <c r="L39" t="str">
        <f t="shared" si="9"/>
        <v/>
      </c>
      <c r="M39" t="str">
        <f t="shared" si="10"/>
        <v/>
      </c>
      <c r="T39" t="s">
        <v>212</v>
      </c>
    </row>
    <row r="40" spans="1:20" ht="15" thickBot="1" x14ac:dyDescent="0.35">
      <c r="A40" s="4" t="s">
        <v>155</v>
      </c>
      <c r="B40" s="22" t="s">
        <v>79</v>
      </c>
      <c r="C40" s="22" t="s">
        <v>79</v>
      </c>
      <c r="D40" s="22" t="s">
        <v>79</v>
      </c>
      <c r="E40" s="22" t="s">
        <v>79</v>
      </c>
      <c r="F40" s="22" t="s">
        <v>79</v>
      </c>
      <c r="G40" s="23"/>
      <c r="H40" t="str">
        <f t="shared" si="5"/>
        <v>Q7.3</v>
      </c>
      <c r="I40" t="str">
        <f t="shared" si="6"/>
        <v/>
      </c>
      <c r="J40" t="str">
        <f t="shared" si="7"/>
        <v/>
      </c>
      <c r="K40" t="str">
        <f t="shared" si="8"/>
        <v/>
      </c>
      <c r="L40" t="str">
        <f t="shared" si="9"/>
        <v/>
      </c>
      <c r="M40" t="str">
        <f t="shared" si="10"/>
        <v/>
      </c>
      <c r="T40" t="s">
        <v>213</v>
      </c>
    </row>
    <row r="41" spans="1:20" ht="15" thickBot="1" x14ac:dyDescent="0.35">
      <c r="A41" s="4" t="s">
        <v>156</v>
      </c>
      <c r="B41" s="22" t="s">
        <v>79</v>
      </c>
      <c r="C41" s="22" t="s">
        <v>79</v>
      </c>
      <c r="D41" s="22" t="s">
        <v>79</v>
      </c>
      <c r="E41" s="22" t="s">
        <v>79</v>
      </c>
      <c r="F41" s="22" t="s">
        <v>79</v>
      </c>
      <c r="G41" s="23"/>
      <c r="H41" t="str">
        <f t="shared" si="5"/>
        <v>Q7.4</v>
      </c>
      <c r="I41" t="str">
        <f t="shared" si="6"/>
        <v/>
      </c>
      <c r="J41" t="str">
        <f t="shared" si="7"/>
        <v/>
      </c>
      <c r="K41" t="str">
        <f t="shared" si="8"/>
        <v/>
      </c>
      <c r="L41" t="str">
        <f t="shared" si="9"/>
        <v/>
      </c>
      <c r="M41" t="str">
        <f t="shared" si="10"/>
        <v/>
      </c>
      <c r="T41" t="s">
        <v>214</v>
      </c>
    </row>
    <row r="42" spans="1:20" ht="15" thickBot="1" x14ac:dyDescent="0.35">
      <c r="A42" s="4" t="s">
        <v>157</v>
      </c>
      <c r="B42" s="22" t="s">
        <v>79</v>
      </c>
      <c r="C42" s="22" t="s">
        <v>79</v>
      </c>
      <c r="D42" s="22" t="s">
        <v>79</v>
      </c>
      <c r="E42" s="22" t="s">
        <v>79</v>
      </c>
      <c r="F42" s="22" t="s">
        <v>79</v>
      </c>
      <c r="G42" s="23"/>
      <c r="H42" t="str">
        <f t="shared" si="5"/>
        <v>Q8</v>
      </c>
      <c r="I42" t="str">
        <f t="shared" si="6"/>
        <v/>
      </c>
      <c r="J42" t="str">
        <f t="shared" si="7"/>
        <v/>
      </c>
      <c r="K42" t="str">
        <f t="shared" si="8"/>
        <v/>
      </c>
      <c r="L42" t="str">
        <f t="shared" si="9"/>
        <v/>
      </c>
      <c r="M42" t="str">
        <f t="shared" si="10"/>
        <v/>
      </c>
      <c r="T42" t="s">
        <v>215</v>
      </c>
    </row>
    <row r="43" spans="1:20" ht="15" thickBot="1" x14ac:dyDescent="0.35">
      <c r="A43" s="4" t="s">
        <v>158</v>
      </c>
      <c r="B43" s="22" t="s">
        <v>79</v>
      </c>
      <c r="C43" s="22" t="s">
        <v>79</v>
      </c>
      <c r="D43" s="22" t="s">
        <v>79</v>
      </c>
      <c r="E43" s="22" t="s">
        <v>79</v>
      </c>
      <c r="F43" s="22" t="s">
        <v>79</v>
      </c>
      <c r="G43" s="23"/>
      <c r="H43" t="str">
        <f t="shared" si="5"/>
        <v>Q9.1</v>
      </c>
      <c r="I43" t="str">
        <f t="shared" si="6"/>
        <v/>
      </c>
      <c r="J43" t="str">
        <f t="shared" si="7"/>
        <v/>
      </c>
      <c r="K43" t="str">
        <f t="shared" si="8"/>
        <v/>
      </c>
      <c r="L43" t="str">
        <f t="shared" si="9"/>
        <v/>
      </c>
      <c r="M43" t="str">
        <f t="shared" si="10"/>
        <v/>
      </c>
      <c r="T43" t="s">
        <v>216</v>
      </c>
    </row>
    <row r="44" spans="1:20" ht="15" thickBot="1" x14ac:dyDescent="0.35">
      <c r="A44" s="4" t="s">
        <v>159</v>
      </c>
      <c r="B44" s="22" t="s">
        <v>79</v>
      </c>
      <c r="C44" s="22" t="s">
        <v>79</v>
      </c>
      <c r="D44" s="22" t="s">
        <v>79</v>
      </c>
      <c r="E44" s="22" t="s">
        <v>79</v>
      </c>
      <c r="F44" s="22" t="s">
        <v>79</v>
      </c>
      <c r="G44" s="23"/>
      <c r="H44" t="str">
        <f t="shared" si="5"/>
        <v>Q9.2</v>
      </c>
      <c r="I44" t="str">
        <f t="shared" si="6"/>
        <v/>
      </c>
      <c r="J44" t="str">
        <f t="shared" si="7"/>
        <v/>
      </c>
      <c r="K44" t="str">
        <f t="shared" si="8"/>
        <v/>
      </c>
      <c r="L44" t="str">
        <f t="shared" si="9"/>
        <v/>
      </c>
      <c r="M44" t="str">
        <f t="shared" si="10"/>
        <v/>
      </c>
      <c r="T44" t="s">
        <v>217</v>
      </c>
    </row>
    <row r="45" spans="1:20" ht="15" thickBot="1" x14ac:dyDescent="0.35">
      <c r="A45" s="4" t="s">
        <v>160</v>
      </c>
      <c r="B45" s="22" t="s">
        <v>79</v>
      </c>
      <c r="C45" s="22" t="s">
        <v>79</v>
      </c>
      <c r="D45" s="22" t="s">
        <v>79</v>
      </c>
      <c r="E45" s="22" t="s">
        <v>79</v>
      </c>
      <c r="F45" s="22" t="s">
        <v>79</v>
      </c>
      <c r="G45" s="23"/>
      <c r="H45" t="str">
        <f t="shared" si="5"/>
        <v>Q9.3</v>
      </c>
      <c r="I45" t="str">
        <f t="shared" si="6"/>
        <v/>
      </c>
      <c r="J45" t="str">
        <f t="shared" si="7"/>
        <v/>
      </c>
      <c r="K45" t="str">
        <f t="shared" si="8"/>
        <v/>
      </c>
      <c r="L45" t="str">
        <f t="shared" si="9"/>
        <v/>
      </c>
      <c r="M45" t="str">
        <f t="shared" si="10"/>
        <v/>
      </c>
      <c r="T45" t="s">
        <v>218</v>
      </c>
    </row>
    <row r="46" spans="1:20" ht="15" thickBot="1" x14ac:dyDescent="0.35">
      <c r="A46" s="4" t="s">
        <v>161</v>
      </c>
      <c r="B46" s="22" t="s">
        <v>79</v>
      </c>
      <c r="C46" s="22" t="s">
        <v>79</v>
      </c>
      <c r="D46" s="22" t="s">
        <v>79</v>
      </c>
      <c r="E46" s="22" t="s">
        <v>79</v>
      </c>
      <c r="F46" s="22" t="s">
        <v>79</v>
      </c>
      <c r="G46" s="23"/>
      <c r="H46" t="str">
        <f t="shared" si="5"/>
        <v>Q9.4</v>
      </c>
      <c r="I46" t="str">
        <f t="shared" si="6"/>
        <v/>
      </c>
      <c r="J46" t="str">
        <f t="shared" si="7"/>
        <v/>
      </c>
      <c r="K46" t="str">
        <f t="shared" si="8"/>
        <v/>
      </c>
      <c r="L46" t="str">
        <f t="shared" si="9"/>
        <v/>
      </c>
      <c r="M46" t="str">
        <f t="shared" si="10"/>
        <v/>
      </c>
      <c r="T46" t="s">
        <v>219</v>
      </c>
    </row>
    <row r="47" spans="1:20" ht="15" thickBot="1" x14ac:dyDescent="0.35">
      <c r="A47" s="4" t="s">
        <v>162</v>
      </c>
      <c r="B47" s="22">
        <v>0.1</v>
      </c>
      <c r="C47" s="22" t="s">
        <v>79</v>
      </c>
      <c r="D47" s="22" t="s">
        <v>79</v>
      </c>
      <c r="E47" s="22" t="s">
        <v>79</v>
      </c>
      <c r="F47" s="22" t="s">
        <v>79</v>
      </c>
      <c r="G47" s="23"/>
      <c r="H47" t="str">
        <f t="shared" si="5"/>
        <v>Q9.5</v>
      </c>
      <c r="I47">
        <f t="shared" si="6"/>
        <v>0.1</v>
      </c>
      <c r="J47" t="str">
        <f t="shared" si="7"/>
        <v/>
      </c>
      <c r="K47" t="str">
        <f t="shared" si="8"/>
        <v/>
      </c>
      <c r="L47" t="str">
        <f t="shared" si="9"/>
        <v/>
      </c>
      <c r="M47" t="str">
        <f t="shared" si="10"/>
        <v/>
      </c>
      <c r="T47" t="s">
        <v>220</v>
      </c>
    </row>
    <row r="48" spans="1:20" ht="15" thickBot="1" x14ac:dyDescent="0.35">
      <c r="A48" s="4" t="s">
        <v>163</v>
      </c>
      <c r="B48" s="22">
        <v>0.15</v>
      </c>
      <c r="C48" s="22" t="s">
        <v>79</v>
      </c>
      <c r="D48" s="22">
        <v>-0.19</v>
      </c>
      <c r="E48" s="22" t="s">
        <v>79</v>
      </c>
      <c r="F48" s="22" t="s">
        <v>79</v>
      </c>
      <c r="G48" s="23"/>
      <c r="H48" t="str">
        <f t="shared" si="5"/>
        <v>Q10</v>
      </c>
      <c r="I48">
        <f t="shared" si="6"/>
        <v>0.15</v>
      </c>
      <c r="J48" t="str">
        <f t="shared" si="7"/>
        <v/>
      </c>
      <c r="K48">
        <f t="shared" si="8"/>
        <v>-0.19</v>
      </c>
      <c r="L48" t="str">
        <f t="shared" si="9"/>
        <v/>
      </c>
      <c r="M48" t="str">
        <f t="shared" si="10"/>
        <v/>
      </c>
      <c r="T48" t="s">
        <v>221</v>
      </c>
    </row>
    <row r="49" spans="1:20" ht="15" thickBot="1" x14ac:dyDescent="0.35">
      <c r="A49" s="4" t="s">
        <v>164</v>
      </c>
      <c r="B49" s="22" t="s">
        <v>79</v>
      </c>
      <c r="C49" s="22" t="s">
        <v>79</v>
      </c>
      <c r="D49" s="22" t="s">
        <v>79</v>
      </c>
      <c r="E49" s="22" t="s">
        <v>79</v>
      </c>
      <c r="F49" s="22" t="s">
        <v>79</v>
      </c>
      <c r="G49" s="23"/>
      <c r="H49" t="str">
        <f t="shared" si="5"/>
        <v>Q11</v>
      </c>
      <c r="I49" t="str">
        <f t="shared" si="6"/>
        <v/>
      </c>
      <c r="J49" t="str">
        <f t="shared" si="7"/>
        <v/>
      </c>
      <c r="K49" t="str">
        <f t="shared" si="8"/>
        <v/>
      </c>
      <c r="L49" t="str">
        <f t="shared" si="9"/>
        <v/>
      </c>
      <c r="M49" t="str">
        <f t="shared" si="10"/>
        <v/>
      </c>
    </row>
    <row r="50" spans="1:20" ht="15" thickBot="1" x14ac:dyDescent="0.35">
      <c r="A50" s="4" t="s">
        <v>165</v>
      </c>
      <c r="B50" s="22" t="s">
        <v>79</v>
      </c>
      <c r="C50" s="22" t="s">
        <v>79</v>
      </c>
      <c r="D50" s="22" t="s">
        <v>79</v>
      </c>
      <c r="E50" s="22" t="s">
        <v>79</v>
      </c>
      <c r="F50" s="22" t="s">
        <v>79</v>
      </c>
      <c r="G50" s="23"/>
      <c r="H50" t="str">
        <f t="shared" si="5"/>
        <v>Q12</v>
      </c>
      <c r="I50" t="str">
        <f t="shared" si="6"/>
        <v/>
      </c>
      <c r="J50" t="str">
        <f t="shared" si="7"/>
        <v/>
      </c>
      <c r="K50" t="str">
        <f t="shared" si="8"/>
        <v/>
      </c>
      <c r="L50" t="str">
        <f t="shared" si="9"/>
        <v/>
      </c>
      <c r="M50" t="str">
        <f t="shared" si="10"/>
        <v/>
      </c>
      <c r="T50" t="s">
        <v>233</v>
      </c>
    </row>
    <row r="51" spans="1:20" ht="15" thickBot="1" x14ac:dyDescent="0.35">
      <c r="A51" s="4" t="s">
        <v>166</v>
      </c>
      <c r="B51" s="22">
        <v>0.11</v>
      </c>
      <c r="C51" s="22" t="s">
        <v>79</v>
      </c>
      <c r="D51" s="22" t="s">
        <v>79</v>
      </c>
      <c r="E51" s="22" t="s">
        <v>79</v>
      </c>
      <c r="F51" s="22">
        <v>-0.13</v>
      </c>
      <c r="G51" s="23"/>
      <c r="H51" t="str">
        <f t="shared" si="5"/>
        <v>Q13</v>
      </c>
      <c r="I51">
        <f t="shared" si="6"/>
        <v>0.11</v>
      </c>
      <c r="J51" t="str">
        <f t="shared" si="7"/>
        <v/>
      </c>
      <c r="K51" t="str">
        <f t="shared" si="8"/>
        <v/>
      </c>
      <c r="L51" t="str">
        <f t="shared" si="9"/>
        <v/>
      </c>
      <c r="M51">
        <f t="shared" si="10"/>
        <v>-0.13</v>
      </c>
      <c r="T51" t="s">
        <v>222</v>
      </c>
    </row>
    <row r="52" spans="1:20" ht="15" thickBot="1" x14ac:dyDescent="0.35">
      <c r="A52" s="4" t="s">
        <v>167</v>
      </c>
      <c r="B52" s="22">
        <v>-0.14000000000000001</v>
      </c>
      <c r="C52" s="22" t="s">
        <v>79</v>
      </c>
      <c r="D52" s="22" t="s">
        <v>79</v>
      </c>
      <c r="E52" s="22" t="s">
        <v>79</v>
      </c>
      <c r="F52" s="22" t="s">
        <v>79</v>
      </c>
      <c r="G52" s="23"/>
      <c r="H52" t="str">
        <f t="shared" si="5"/>
        <v>Q14</v>
      </c>
      <c r="I52">
        <f t="shared" si="6"/>
        <v>-0.14000000000000001</v>
      </c>
      <c r="J52" t="str">
        <f t="shared" si="7"/>
        <v/>
      </c>
      <c r="K52" t="str">
        <f t="shared" si="8"/>
        <v/>
      </c>
      <c r="L52" t="str">
        <f t="shared" si="9"/>
        <v/>
      </c>
      <c r="M52" t="str">
        <f t="shared" si="10"/>
        <v/>
      </c>
      <c r="T52" t="s">
        <v>223</v>
      </c>
    </row>
    <row r="53" spans="1:20" ht="15" thickBot="1" x14ac:dyDescent="0.35">
      <c r="A53" s="4" t="s">
        <v>168</v>
      </c>
      <c r="B53" s="22">
        <v>-0.15</v>
      </c>
      <c r="C53" s="22" t="s">
        <v>79</v>
      </c>
      <c r="D53" s="22" t="s">
        <v>79</v>
      </c>
      <c r="E53" s="22" t="s">
        <v>79</v>
      </c>
      <c r="F53" s="22">
        <v>0.13</v>
      </c>
      <c r="G53" s="23"/>
      <c r="H53" t="str">
        <f t="shared" si="5"/>
        <v>Q15</v>
      </c>
      <c r="I53">
        <f t="shared" si="6"/>
        <v>-0.15</v>
      </c>
      <c r="J53" t="str">
        <f t="shared" si="7"/>
        <v/>
      </c>
      <c r="K53" t="str">
        <f t="shared" si="8"/>
        <v/>
      </c>
      <c r="L53" t="str">
        <f t="shared" si="9"/>
        <v/>
      </c>
      <c r="M53">
        <f t="shared" si="10"/>
        <v>0.13</v>
      </c>
      <c r="T53" t="s">
        <v>224</v>
      </c>
    </row>
    <row r="54" spans="1:20" ht="15" thickBot="1" x14ac:dyDescent="0.35">
      <c r="A54" s="4" t="s">
        <v>169</v>
      </c>
      <c r="B54" s="22" t="s">
        <v>79</v>
      </c>
      <c r="C54" s="22" t="s">
        <v>79</v>
      </c>
      <c r="D54" s="22" t="s">
        <v>79</v>
      </c>
      <c r="E54" s="22" t="s">
        <v>79</v>
      </c>
      <c r="F54" s="22" t="s">
        <v>79</v>
      </c>
      <c r="G54" s="23"/>
      <c r="H54" t="str">
        <f t="shared" si="5"/>
        <v>Q16</v>
      </c>
      <c r="I54" t="str">
        <f t="shared" si="6"/>
        <v/>
      </c>
      <c r="J54" t="str">
        <f t="shared" si="7"/>
        <v/>
      </c>
      <c r="K54" t="str">
        <f t="shared" si="8"/>
        <v/>
      </c>
      <c r="L54" t="str">
        <f t="shared" si="9"/>
        <v/>
      </c>
      <c r="M54" t="str">
        <f t="shared" si="10"/>
        <v/>
      </c>
    </row>
    <row r="55" spans="1:20" ht="15" thickBot="1" x14ac:dyDescent="0.35">
      <c r="A55" s="4" t="s">
        <v>170</v>
      </c>
      <c r="B55" s="22" t="s">
        <v>79</v>
      </c>
      <c r="C55" s="22" t="s">
        <v>79</v>
      </c>
      <c r="D55" s="22" t="s">
        <v>79</v>
      </c>
      <c r="E55" s="22" t="s">
        <v>79</v>
      </c>
      <c r="F55" s="22" t="s">
        <v>79</v>
      </c>
      <c r="G55" s="23"/>
      <c r="H55" t="str">
        <f t="shared" si="5"/>
        <v>Q16.1</v>
      </c>
      <c r="I55" t="str">
        <f t="shared" si="6"/>
        <v/>
      </c>
      <c r="J55" t="str">
        <f t="shared" si="7"/>
        <v/>
      </c>
      <c r="K55" t="str">
        <f t="shared" si="8"/>
        <v/>
      </c>
      <c r="L55" t="str">
        <f t="shared" si="9"/>
        <v/>
      </c>
      <c r="M55" t="str">
        <f t="shared" si="10"/>
        <v/>
      </c>
    </row>
    <row r="56" spans="1:20" ht="15" thickBot="1" x14ac:dyDescent="0.35">
      <c r="A56" s="4" t="s">
        <v>171</v>
      </c>
      <c r="B56" s="22">
        <v>0.11</v>
      </c>
      <c r="C56" s="22" t="s">
        <v>79</v>
      </c>
      <c r="D56" s="22" t="s">
        <v>79</v>
      </c>
      <c r="E56" s="22" t="s">
        <v>79</v>
      </c>
      <c r="F56" s="22" t="s">
        <v>79</v>
      </c>
      <c r="G56" s="23"/>
      <c r="H56" t="str">
        <f t="shared" si="5"/>
        <v>Q16.2</v>
      </c>
      <c r="I56">
        <f t="shared" si="6"/>
        <v>0.11</v>
      </c>
      <c r="J56" t="str">
        <f t="shared" si="7"/>
        <v/>
      </c>
      <c r="K56" t="str">
        <f t="shared" si="8"/>
        <v/>
      </c>
      <c r="L56" t="str">
        <f t="shared" si="9"/>
        <v/>
      </c>
      <c r="M56" t="str">
        <f t="shared" si="10"/>
        <v/>
      </c>
      <c r="T56" t="s">
        <v>225</v>
      </c>
    </row>
    <row r="57" spans="1:20" ht="15" thickBot="1" x14ac:dyDescent="0.35">
      <c r="A57" s="4" t="s">
        <v>172</v>
      </c>
      <c r="B57" s="22" t="s">
        <v>79</v>
      </c>
      <c r="C57" s="22" t="s">
        <v>79</v>
      </c>
      <c r="D57" s="22" t="s">
        <v>79</v>
      </c>
      <c r="E57" s="22" t="s">
        <v>79</v>
      </c>
      <c r="F57" s="22" t="s">
        <v>79</v>
      </c>
      <c r="G57" s="23"/>
      <c r="H57" t="str">
        <f t="shared" si="5"/>
        <v>Q16.3</v>
      </c>
      <c r="I57" t="str">
        <f t="shared" si="6"/>
        <v/>
      </c>
      <c r="J57" t="str">
        <f t="shared" si="7"/>
        <v/>
      </c>
      <c r="K57" t="str">
        <f t="shared" si="8"/>
        <v/>
      </c>
      <c r="L57" t="str">
        <f t="shared" si="9"/>
        <v/>
      </c>
      <c r="M57" t="str">
        <f t="shared" si="10"/>
        <v/>
      </c>
    </row>
    <row r="58" spans="1:20" ht="15" thickBot="1" x14ac:dyDescent="0.35">
      <c r="A58" s="4" t="s">
        <v>173</v>
      </c>
      <c r="B58" s="22" t="s">
        <v>79</v>
      </c>
      <c r="C58" s="22" t="s">
        <v>79</v>
      </c>
      <c r="D58" s="22" t="s">
        <v>79</v>
      </c>
      <c r="E58" s="22" t="s">
        <v>79</v>
      </c>
      <c r="F58" s="22" t="s">
        <v>79</v>
      </c>
      <c r="G58" s="23"/>
      <c r="H58" t="str">
        <f t="shared" si="5"/>
        <v>Q16.4</v>
      </c>
      <c r="I58" t="str">
        <f t="shared" si="6"/>
        <v/>
      </c>
      <c r="J58" t="str">
        <f t="shared" si="7"/>
        <v/>
      </c>
      <c r="K58" t="str">
        <f t="shared" si="8"/>
        <v/>
      </c>
      <c r="L58" t="str">
        <f t="shared" si="9"/>
        <v/>
      </c>
      <c r="M58" t="str">
        <f t="shared" si="10"/>
        <v/>
      </c>
    </row>
    <row r="59" spans="1:20" ht="15" thickBot="1" x14ac:dyDescent="0.35">
      <c r="A59" s="4" t="s">
        <v>174</v>
      </c>
      <c r="B59" s="22" t="s">
        <v>79</v>
      </c>
      <c r="C59" s="22" t="s">
        <v>79</v>
      </c>
      <c r="D59" s="22" t="s">
        <v>79</v>
      </c>
      <c r="E59" s="22" t="s">
        <v>79</v>
      </c>
      <c r="F59" s="22" t="s">
        <v>79</v>
      </c>
      <c r="G59" s="23"/>
      <c r="H59" t="str">
        <f t="shared" si="5"/>
        <v>Q16.5</v>
      </c>
      <c r="I59" t="str">
        <f t="shared" si="6"/>
        <v/>
      </c>
      <c r="J59" t="str">
        <f t="shared" si="7"/>
        <v/>
      </c>
      <c r="K59" t="str">
        <f t="shared" si="8"/>
        <v/>
      </c>
      <c r="L59" t="str">
        <f t="shared" si="9"/>
        <v/>
      </c>
      <c r="M59" t="str">
        <f t="shared" si="10"/>
        <v/>
      </c>
    </row>
    <row r="60" spans="1:20" ht="15" thickBot="1" x14ac:dyDescent="0.35">
      <c r="A60" s="4" t="s">
        <v>175</v>
      </c>
      <c r="B60" s="22" t="s">
        <v>79</v>
      </c>
      <c r="C60" s="22" t="s">
        <v>79</v>
      </c>
      <c r="D60" s="22" t="s">
        <v>79</v>
      </c>
      <c r="E60" s="22" t="s">
        <v>79</v>
      </c>
      <c r="F60" s="22" t="s">
        <v>79</v>
      </c>
      <c r="G60" s="23"/>
      <c r="H60" t="str">
        <f t="shared" si="5"/>
        <v>Q16.6</v>
      </c>
      <c r="I60" t="str">
        <f t="shared" si="6"/>
        <v/>
      </c>
      <c r="J60" t="str">
        <f t="shared" si="7"/>
        <v/>
      </c>
      <c r="K60" t="str">
        <f t="shared" si="8"/>
        <v/>
      </c>
      <c r="L60" t="str">
        <f t="shared" si="9"/>
        <v/>
      </c>
      <c r="M60" t="str">
        <f t="shared" si="10"/>
        <v/>
      </c>
    </row>
    <row r="61" spans="1:20" ht="15" thickBot="1" x14ac:dyDescent="0.35">
      <c r="A61" s="4" t="s">
        <v>176</v>
      </c>
      <c r="B61" s="22" t="s">
        <v>79</v>
      </c>
      <c r="C61" s="22" t="s">
        <v>79</v>
      </c>
      <c r="D61" s="22" t="s">
        <v>79</v>
      </c>
      <c r="E61" s="22" t="s">
        <v>79</v>
      </c>
      <c r="F61" s="22" t="s">
        <v>79</v>
      </c>
      <c r="G61" s="23"/>
      <c r="H61" t="str">
        <f t="shared" si="5"/>
        <v>Q16.7</v>
      </c>
      <c r="I61" t="str">
        <f t="shared" si="6"/>
        <v/>
      </c>
      <c r="J61" t="str">
        <f t="shared" si="7"/>
        <v/>
      </c>
      <c r="K61" t="str">
        <f t="shared" si="8"/>
        <v/>
      </c>
      <c r="L61" t="str">
        <f t="shared" si="9"/>
        <v/>
      </c>
      <c r="M61" t="str">
        <f t="shared" si="10"/>
        <v/>
      </c>
    </row>
    <row r="62" spans="1:20" ht="15" thickBot="1" x14ac:dyDescent="0.35">
      <c r="A62" s="4" t="s">
        <v>177</v>
      </c>
      <c r="B62" s="22" t="s">
        <v>79</v>
      </c>
      <c r="C62" s="22" t="s">
        <v>79</v>
      </c>
      <c r="D62" s="22" t="s">
        <v>79</v>
      </c>
      <c r="E62" s="22" t="s">
        <v>79</v>
      </c>
      <c r="F62" s="22" t="s">
        <v>79</v>
      </c>
      <c r="G62" s="23"/>
      <c r="H62" t="str">
        <f t="shared" si="5"/>
        <v>Q16.8</v>
      </c>
      <c r="I62" t="str">
        <f t="shared" si="6"/>
        <v/>
      </c>
      <c r="J62" t="str">
        <f t="shared" si="7"/>
        <v/>
      </c>
      <c r="K62" t="str">
        <f t="shared" si="8"/>
        <v/>
      </c>
      <c r="L62" t="str">
        <f t="shared" si="9"/>
        <v/>
      </c>
      <c r="M62" t="str">
        <f t="shared" si="10"/>
        <v/>
      </c>
    </row>
    <row r="63" spans="1:20" ht="15" thickBot="1" x14ac:dyDescent="0.35">
      <c r="A63" s="4" t="s">
        <v>178</v>
      </c>
      <c r="B63" s="22" t="s">
        <v>79</v>
      </c>
      <c r="C63" s="22" t="s">
        <v>79</v>
      </c>
      <c r="D63" s="22" t="s">
        <v>79</v>
      </c>
      <c r="E63" s="22" t="s">
        <v>79</v>
      </c>
      <c r="F63" s="22" t="s">
        <v>79</v>
      </c>
      <c r="G63" s="23"/>
      <c r="H63" t="str">
        <f t="shared" si="5"/>
        <v>Q16.9</v>
      </c>
      <c r="I63" t="str">
        <f t="shared" si="6"/>
        <v/>
      </c>
      <c r="J63" t="str">
        <f t="shared" si="7"/>
        <v/>
      </c>
      <c r="K63" t="str">
        <f t="shared" si="8"/>
        <v/>
      </c>
      <c r="L63" t="str">
        <f t="shared" si="9"/>
        <v/>
      </c>
      <c r="M63" t="str">
        <f t="shared" si="10"/>
        <v/>
      </c>
    </row>
    <row r="64" spans="1:20" ht="15" thickBot="1" x14ac:dyDescent="0.35">
      <c r="A64" s="4" t="s">
        <v>179</v>
      </c>
      <c r="B64" s="22" t="s">
        <v>79</v>
      </c>
      <c r="C64" s="22" t="s">
        <v>79</v>
      </c>
      <c r="D64" s="22" t="s">
        <v>79</v>
      </c>
      <c r="E64" s="22" t="s">
        <v>79</v>
      </c>
      <c r="F64" s="22" t="s">
        <v>79</v>
      </c>
      <c r="G64" s="23"/>
      <c r="H64" t="str">
        <f t="shared" si="5"/>
        <v>Q16.10</v>
      </c>
      <c r="I64" t="str">
        <f t="shared" si="6"/>
        <v/>
      </c>
      <c r="J64" t="str">
        <f t="shared" si="7"/>
        <v/>
      </c>
      <c r="K64" t="str">
        <f t="shared" si="8"/>
        <v/>
      </c>
      <c r="L64" t="str">
        <f t="shared" si="9"/>
        <v/>
      </c>
      <c r="M64" t="str">
        <f t="shared" si="10"/>
        <v/>
      </c>
    </row>
    <row r="65" spans="1:20" ht="15" thickBot="1" x14ac:dyDescent="0.35">
      <c r="A65" s="4" t="s">
        <v>180</v>
      </c>
      <c r="B65" s="22" t="s">
        <v>79</v>
      </c>
      <c r="C65" s="22" t="s">
        <v>79</v>
      </c>
      <c r="D65" s="22" t="s">
        <v>79</v>
      </c>
      <c r="E65" s="22" t="s">
        <v>79</v>
      </c>
      <c r="F65" s="22" t="s">
        <v>79</v>
      </c>
      <c r="G65" s="23"/>
      <c r="H65" t="str">
        <f t="shared" si="5"/>
        <v>Q16.11</v>
      </c>
      <c r="I65" t="str">
        <f t="shared" si="6"/>
        <v/>
      </c>
      <c r="J65" t="str">
        <f t="shared" si="7"/>
        <v/>
      </c>
      <c r="K65" t="str">
        <f t="shared" si="8"/>
        <v/>
      </c>
      <c r="L65" t="str">
        <f t="shared" si="9"/>
        <v/>
      </c>
      <c r="M65" t="str">
        <f t="shared" si="10"/>
        <v/>
      </c>
    </row>
    <row r="66" spans="1:20" ht="15" thickBot="1" x14ac:dyDescent="0.35">
      <c r="A66" s="4" t="s">
        <v>181</v>
      </c>
      <c r="B66" s="22" t="s">
        <v>79</v>
      </c>
      <c r="C66" s="22" t="s">
        <v>79</v>
      </c>
      <c r="D66" s="22" t="s">
        <v>79</v>
      </c>
      <c r="E66" s="22" t="s">
        <v>79</v>
      </c>
      <c r="F66" s="22" t="s">
        <v>79</v>
      </c>
      <c r="G66" s="23"/>
      <c r="H66" t="str">
        <f t="shared" si="5"/>
        <v>Q16.12</v>
      </c>
      <c r="I66" t="str">
        <f t="shared" si="6"/>
        <v/>
      </c>
      <c r="J66" t="str">
        <f t="shared" si="7"/>
        <v/>
      </c>
      <c r="K66" t="str">
        <f t="shared" si="8"/>
        <v/>
      </c>
      <c r="L66" t="str">
        <f t="shared" si="9"/>
        <v/>
      </c>
      <c r="M66" t="str">
        <f t="shared" si="10"/>
        <v/>
      </c>
    </row>
    <row r="67" spans="1:20" ht="15" thickBot="1" x14ac:dyDescent="0.35">
      <c r="A67" s="4" t="s">
        <v>182</v>
      </c>
      <c r="B67" s="22">
        <v>0.1</v>
      </c>
      <c r="C67" s="22" t="s">
        <v>79</v>
      </c>
      <c r="D67" s="22" t="s">
        <v>79</v>
      </c>
      <c r="E67" s="22" t="s">
        <v>79</v>
      </c>
      <c r="F67" s="22" t="s">
        <v>79</v>
      </c>
      <c r="G67" s="23"/>
      <c r="H67" t="str">
        <f t="shared" si="5"/>
        <v>Q16.13</v>
      </c>
      <c r="I67">
        <f t="shared" ref="I67:I83" si="11">IF(ISNUMBER(B67),B67,"")</f>
        <v>0.1</v>
      </c>
      <c r="J67" t="str">
        <f t="shared" ref="J67:J83" si="12">IF(ISNUMBER(C67),C67,"")</f>
        <v/>
      </c>
      <c r="K67" t="str">
        <f t="shared" ref="K67:K83" si="13">IF(ISNUMBER(D67),D67,"")</f>
        <v/>
      </c>
      <c r="L67" t="str">
        <f t="shared" ref="L67:L83" si="14">IF(ISNUMBER(E67),E67,"")</f>
        <v/>
      </c>
      <c r="M67" t="str">
        <f t="shared" ref="M67:M83" si="15">IF(ISNUMBER(F67),F67,"")</f>
        <v/>
      </c>
      <c r="T67" t="s">
        <v>226</v>
      </c>
    </row>
    <row r="68" spans="1:20" ht="15" thickBot="1" x14ac:dyDescent="0.35">
      <c r="A68" s="4" t="s">
        <v>183</v>
      </c>
      <c r="B68" s="22">
        <v>0.1</v>
      </c>
      <c r="C68" s="22" t="s">
        <v>79</v>
      </c>
      <c r="D68" s="22" t="s">
        <v>79</v>
      </c>
      <c r="E68" s="22" t="s">
        <v>79</v>
      </c>
      <c r="F68" s="22" t="s">
        <v>79</v>
      </c>
      <c r="G68" s="23"/>
      <c r="H68" t="str">
        <f t="shared" ref="H68:H83" si="16">A68</f>
        <v>Q16.14</v>
      </c>
      <c r="I68">
        <f t="shared" si="11"/>
        <v>0.1</v>
      </c>
      <c r="J68" t="str">
        <f t="shared" si="12"/>
        <v/>
      </c>
      <c r="K68" t="str">
        <f t="shared" si="13"/>
        <v/>
      </c>
      <c r="L68" t="str">
        <f t="shared" si="14"/>
        <v/>
      </c>
      <c r="M68" t="str">
        <f t="shared" si="15"/>
        <v/>
      </c>
      <c r="T68" t="s">
        <v>227</v>
      </c>
    </row>
    <row r="69" spans="1:20" ht="15" thickBot="1" x14ac:dyDescent="0.35">
      <c r="A69" s="4" t="s">
        <v>184</v>
      </c>
      <c r="B69" s="22" t="s">
        <v>79</v>
      </c>
      <c r="C69" s="22" t="s">
        <v>79</v>
      </c>
      <c r="D69" s="22" t="s">
        <v>79</v>
      </c>
      <c r="E69" s="22" t="s">
        <v>79</v>
      </c>
      <c r="F69" s="22" t="s">
        <v>79</v>
      </c>
      <c r="G69" s="23"/>
      <c r="H69" t="str">
        <f t="shared" si="16"/>
        <v>Q16.15</v>
      </c>
      <c r="I69" t="str">
        <f t="shared" si="11"/>
        <v/>
      </c>
      <c r="J69" t="str">
        <f t="shared" si="12"/>
        <v/>
      </c>
      <c r="K69" t="str">
        <f t="shared" si="13"/>
        <v/>
      </c>
      <c r="L69" t="str">
        <f t="shared" si="14"/>
        <v/>
      </c>
      <c r="M69" t="str">
        <f t="shared" si="15"/>
        <v/>
      </c>
    </row>
    <row r="70" spans="1:20" ht="15" thickBot="1" x14ac:dyDescent="0.35">
      <c r="A70" s="4" t="s">
        <v>185</v>
      </c>
      <c r="B70" s="22">
        <v>0.11</v>
      </c>
      <c r="C70" s="22" t="s">
        <v>79</v>
      </c>
      <c r="D70" s="22" t="s">
        <v>79</v>
      </c>
      <c r="E70" s="22" t="s">
        <v>79</v>
      </c>
      <c r="F70" s="22" t="s">
        <v>79</v>
      </c>
      <c r="G70" s="23"/>
      <c r="H70" t="str">
        <f t="shared" si="16"/>
        <v>Q16.16</v>
      </c>
      <c r="I70">
        <f t="shared" si="11"/>
        <v>0.11</v>
      </c>
      <c r="J70" t="str">
        <f t="shared" si="12"/>
        <v/>
      </c>
      <c r="K70" t="str">
        <f t="shared" si="13"/>
        <v/>
      </c>
      <c r="L70" t="str">
        <f t="shared" si="14"/>
        <v/>
      </c>
      <c r="M70" t="str">
        <f t="shared" si="15"/>
        <v/>
      </c>
      <c r="T70" t="s">
        <v>228</v>
      </c>
    </row>
    <row r="71" spans="1:20" ht="15" thickBot="1" x14ac:dyDescent="0.35">
      <c r="A71" s="4" t="s">
        <v>186</v>
      </c>
      <c r="B71" s="22" t="s">
        <v>79</v>
      </c>
      <c r="C71" s="22" t="s">
        <v>79</v>
      </c>
      <c r="D71" s="22" t="s">
        <v>79</v>
      </c>
      <c r="E71" s="22" t="s">
        <v>79</v>
      </c>
      <c r="F71" s="22" t="s">
        <v>79</v>
      </c>
      <c r="G71" s="23"/>
      <c r="H71" t="str">
        <f t="shared" si="16"/>
        <v>Q16.17</v>
      </c>
      <c r="I71" t="str">
        <f t="shared" si="11"/>
        <v/>
      </c>
      <c r="J71" t="str">
        <f t="shared" si="12"/>
        <v/>
      </c>
      <c r="K71" t="str">
        <f t="shared" si="13"/>
        <v/>
      </c>
      <c r="L71" t="str">
        <f t="shared" si="14"/>
        <v/>
      </c>
      <c r="M71" t="str">
        <f t="shared" si="15"/>
        <v/>
      </c>
    </row>
    <row r="72" spans="1:20" ht="15" thickBot="1" x14ac:dyDescent="0.35">
      <c r="A72" s="4" t="s">
        <v>187</v>
      </c>
      <c r="B72" s="22" t="s">
        <v>79</v>
      </c>
      <c r="C72" s="22" t="s">
        <v>79</v>
      </c>
      <c r="D72" s="22" t="s">
        <v>79</v>
      </c>
      <c r="E72" s="22" t="s">
        <v>79</v>
      </c>
      <c r="F72" s="22" t="s">
        <v>79</v>
      </c>
      <c r="G72" s="23"/>
      <c r="H72" t="str">
        <f t="shared" si="16"/>
        <v>Q16.18</v>
      </c>
      <c r="I72" t="str">
        <f t="shared" si="11"/>
        <v/>
      </c>
      <c r="J72" t="str">
        <f t="shared" si="12"/>
        <v/>
      </c>
      <c r="K72" t="str">
        <f t="shared" si="13"/>
        <v/>
      </c>
      <c r="L72" t="str">
        <f t="shared" si="14"/>
        <v/>
      </c>
      <c r="M72" t="str">
        <f t="shared" si="15"/>
        <v/>
      </c>
    </row>
    <row r="73" spans="1:20" ht="15" thickBot="1" x14ac:dyDescent="0.35">
      <c r="A73" s="4" t="s">
        <v>188</v>
      </c>
      <c r="B73" s="22" t="s">
        <v>79</v>
      </c>
      <c r="C73" s="22" t="s">
        <v>79</v>
      </c>
      <c r="D73" s="22" t="s">
        <v>79</v>
      </c>
      <c r="E73" s="22" t="s">
        <v>79</v>
      </c>
      <c r="F73" s="22" t="s">
        <v>79</v>
      </c>
      <c r="G73" s="23"/>
      <c r="H73" t="str">
        <f t="shared" si="16"/>
        <v>Q16.19</v>
      </c>
      <c r="I73" t="str">
        <f t="shared" si="11"/>
        <v/>
      </c>
      <c r="J73" t="str">
        <f t="shared" si="12"/>
        <v/>
      </c>
      <c r="K73" t="str">
        <f t="shared" si="13"/>
        <v/>
      </c>
      <c r="L73" t="str">
        <f t="shared" si="14"/>
        <v/>
      </c>
      <c r="M73" t="str">
        <f t="shared" si="15"/>
        <v/>
      </c>
    </row>
    <row r="74" spans="1:20" ht="15" thickBot="1" x14ac:dyDescent="0.35">
      <c r="A74" s="4" t="s">
        <v>189</v>
      </c>
      <c r="B74" s="22" t="s">
        <v>79</v>
      </c>
      <c r="C74" s="22" t="s">
        <v>79</v>
      </c>
      <c r="D74" s="22" t="s">
        <v>79</v>
      </c>
      <c r="E74" s="22" t="s">
        <v>79</v>
      </c>
      <c r="F74" s="22" t="s">
        <v>79</v>
      </c>
      <c r="G74" s="23"/>
      <c r="H74" t="str">
        <f t="shared" si="16"/>
        <v>Q16.20</v>
      </c>
      <c r="I74" t="str">
        <f t="shared" si="11"/>
        <v/>
      </c>
      <c r="J74" t="str">
        <f t="shared" si="12"/>
        <v/>
      </c>
      <c r="K74" t="str">
        <f t="shared" si="13"/>
        <v/>
      </c>
      <c r="L74" t="str">
        <f t="shared" si="14"/>
        <v/>
      </c>
      <c r="M74" t="str">
        <f t="shared" si="15"/>
        <v/>
      </c>
    </row>
    <row r="75" spans="1:20" ht="15" thickBot="1" x14ac:dyDescent="0.35">
      <c r="A75" s="4" t="s">
        <v>190</v>
      </c>
      <c r="B75" s="22" t="s">
        <v>79</v>
      </c>
      <c r="C75" s="22" t="s">
        <v>79</v>
      </c>
      <c r="D75" s="22" t="s">
        <v>79</v>
      </c>
      <c r="E75" s="22" t="s">
        <v>79</v>
      </c>
      <c r="F75" s="22" t="s">
        <v>79</v>
      </c>
      <c r="G75" s="23"/>
      <c r="H75" t="str">
        <f t="shared" si="16"/>
        <v>Q16.21</v>
      </c>
      <c r="I75" t="str">
        <f t="shared" si="11"/>
        <v/>
      </c>
      <c r="J75" t="str">
        <f t="shared" si="12"/>
        <v/>
      </c>
      <c r="K75" t="str">
        <f t="shared" si="13"/>
        <v/>
      </c>
      <c r="L75" t="str">
        <f t="shared" si="14"/>
        <v/>
      </c>
      <c r="M75" t="str">
        <f t="shared" si="15"/>
        <v/>
      </c>
    </row>
    <row r="76" spans="1:20" ht="15" thickBot="1" x14ac:dyDescent="0.35">
      <c r="A76" s="4" t="s">
        <v>191</v>
      </c>
      <c r="B76" s="22" t="s">
        <v>79</v>
      </c>
      <c r="C76" s="22" t="s">
        <v>79</v>
      </c>
      <c r="D76" s="22" t="s">
        <v>79</v>
      </c>
      <c r="E76" s="22" t="s">
        <v>79</v>
      </c>
      <c r="F76" s="22" t="s">
        <v>79</v>
      </c>
      <c r="G76" s="23"/>
      <c r="H76" t="str">
        <f t="shared" si="16"/>
        <v>Q16.22</v>
      </c>
      <c r="I76" t="str">
        <f t="shared" si="11"/>
        <v/>
      </c>
      <c r="J76" t="str">
        <f t="shared" si="12"/>
        <v/>
      </c>
      <c r="K76" t="str">
        <f t="shared" si="13"/>
        <v/>
      </c>
      <c r="L76" t="str">
        <f t="shared" si="14"/>
        <v/>
      </c>
      <c r="M76" t="str">
        <f t="shared" si="15"/>
        <v/>
      </c>
    </row>
    <row r="77" spans="1:20" ht="15" thickBot="1" x14ac:dyDescent="0.35">
      <c r="A77" s="4" t="s">
        <v>192</v>
      </c>
      <c r="B77" s="22" t="s">
        <v>79</v>
      </c>
      <c r="C77" s="22" t="s">
        <v>79</v>
      </c>
      <c r="D77" s="22" t="s">
        <v>79</v>
      </c>
      <c r="E77" s="22" t="s">
        <v>79</v>
      </c>
      <c r="F77" s="22" t="s">
        <v>79</v>
      </c>
      <c r="G77" s="23"/>
      <c r="H77" t="str">
        <f t="shared" si="16"/>
        <v>Q16.23</v>
      </c>
      <c r="I77" t="str">
        <f t="shared" si="11"/>
        <v/>
      </c>
      <c r="J77" t="str">
        <f t="shared" si="12"/>
        <v/>
      </c>
      <c r="K77" t="str">
        <f t="shared" si="13"/>
        <v/>
      </c>
      <c r="L77" t="str">
        <f t="shared" si="14"/>
        <v/>
      </c>
      <c r="M77" t="str">
        <f t="shared" si="15"/>
        <v/>
      </c>
    </row>
    <row r="78" spans="1:20" ht="15" thickBot="1" x14ac:dyDescent="0.35">
      <c r="A78" s="4" t="s">
        <v>193</v>
      </c>
      <c r="B78" s="22" t="s">
        <v>79</v>
      </c>
      <c r="C78" s="22" t="s">
        <v>79</v>
      </c>
      <c r="D78" s="22" t="s">
        <v>79</v>
      </c>
      <c r="E78" s="22" t="s">
        <v>79</v>
      </c>
      <c r="F78" s="22" t="s">
        <v>79</v>
      </c>
      <c r="G78" s="23"/>
      <c r="H78" t="str">
        <f t="shared" si="16"/>
        <v>Q16.24</v>
      </c>
      <c r="I78" t="str">
        <f t="shared" si="11"/>
        <v/>
      </c>
      <c r="J78" t="str">
        <f t="shared" si="12"/>
        <v/>
      </c>
      <c r="K78" t="str">
        <f t="shared" si="13"/>
        <v/>
      </c>
      <c r="L78" t="str">
        <f t="shared" si="14"/>
        <v/>
      </c>
      <c r="M78" t="str">
        <f t="shared" si="15"/>
        <v/>
      </c>
    </row>
    <row r="79" spans="1:20" ht="15" thickBot="1" x14ac:dyDescent="0.35">
      <c r="A79" s="4" t="s">
        <v>194</v>
      </c>
      <c r="B79" s="22">
        <v>0.11</v>
      </c>
      <c r="C79" s="22" t="s">
        <v>79</v>
      </c>
      <c r="D79" s="22" t="s">
        <v>79</v>
      </c>
      <c r="E79" s="22" t="s">
        <v>79</v>
      </c>
      <c r="F79" s="22" t="s">
        <v>79</v>
      </c>
      <c r="G79" s="23"/>
      <c r="H79" t="str">
        <f t="shared" si="16"/>
        <v>Q16.25</v>
      </c>
      <c r="I79">
        <f t="shared" si="11"/>
        <v>0.11</v>
      </c>
      <c r="J79" t="str">
        <f t="shared" si="12"/>
        <v/>
      </c>
      <c r="K79" t="str">
        <f t="shared" si="13"/>
        <v/>
      </c>
      <c r="L79" t="str">
        <f t="shared" si="14"/>
        <v/>
      </c>
      <c r="M79" t="str">
        <f t="shared" si="15"/>
        <v/>
      </c>
      <c r="T79" t="s">
        <v>229</v>
      </c>
    </row>
    <row r="80" spans="1:20" ht="15" thickBot="1" x14ac:dyDescent="0.35">
      <c r="A80" s="4" t="s">
        <v>195</v>
      </c>
      <c r="B80" s="22" t="s">
        <v>79</v>
      </c>
      <c r="C80" s="22" t="s">
        <v>79</v>
      </c>
      <c r="D80" s="22" t="s">
        <v>79</v>
      </c>
      <c r="E80" s="22" t="s">
        <v>79</v>
      </c>
      <c r="F80" s="22" t="s">
        <v>79</v>
      </c>
      <c r="G80" s="23"/>
      <c r="H80" t="str">
        <f t="shared" si="16"/>
        <v>Q16.26</v>
      </c>
      <c r="I80" t="str">
        <f t="shared" si="11"/>
        <v/>
      </c>
      <c r="J80" t="str">
        <f t="shared" si="12"/>
        <v/>
      </c>
      <c r="K80" t="str">
        <f t="shared" si="13"/>
        <v/>
      </c>
      <c r="L80" t="str">
        <f t="shared" si="14"/>
        <v/>
      </c>
      <c r="M80" t="str">
        <f t="shared" si="15"/>
        <v/>
      </c>
    </row>
    <row r="81" spans="1:20" ht="15" thickBot="1" x14ac:dyDescent="0.35">
      <c r="A81" s="4" t="s">
        <v>196</v>
      </c>
      <c r="B81" s="22">
        <v>0.11</v>
      </c>
      <c r="C81" s="22" t="s">
        <v>79</v>
      </c>
      <c r="D81" s="22" t="s">
        <v>79</v>
      </c>
      <c r="E81" s="22" t="s">
        <v>79</v>
      </c>
      <c r="F81" s="22" t="s">
        <v>79</v>
      </c>
      <c r="G81" s="23"/>
      <c r="H81" t="str">
        <f t="shared" si="16"/>
        <v>Q16.27</v>
      </c>
      <c r="I81">
        <f t="shared" si="11"/>
        <v>0.11</v>
      </c>
      <c r="J81" t="str">
        <f t="shared" si="12"/>
        <v/>
      </c>
      <c r="K81" t="str">
        <f t="shared" si="13"/>
        <v/>
      </c>
      <c r="L81" t="str">
        <f t="shared" si="14"/>
        <v/>
      </c>
      <c r="M81" t="str">
        <f t="shared" si="15"/>
        <v/>
      </c>
      <c r="T81" t="s">
        <v>230</v>
      </c>
    </row>
    <row r="82" spans="1:20" ht="15" thickBot="1" x14ac:dyDescent="0.35">
      <c r="A82" s="4" t="s">
        <v>197</v>
      </c>
      <c r="B82" s="22">
        <v>0.37</v>
      </c>
      <c r="C82" s="22" t="s">
        <v>79</v>
      </c>
      <c r="D82" s="22">
        <v>-0.31</v>
      </c>
      <c r="E82" s="22" t="s">
        <v>79</v>
      </c>
      <c r="F82" s="22">
        <v>-0.12</v>
      </c>
      <c r="G82" s="23"/>
      <c r="H82" t="str">
        <f t="shared" si="16"/>
        <v>Q17</v>
      </c>
      <c r="I82">
        <f t="shared" si="11"/>
        <v>0.37</v>
      </c>
      <c r="J82" t="str">
        <f t="shared" si="12"/>
        <v/>
      </c>
      <c r="K82">
        <f t="shared" si="13"/>
        <v>-0.31</v>
      </c>
      <c r="L82" t="str">
        <f t="shared" si="14"/>
        <v/>
      </c>
      <c r="M82">
        <f t="shared" si="15"/>
        <v>-0.12</v>
      </c>
      <c r="T82" t="s">
        <v>231</v>
      </c>
    </row>
    <row r="83" spans="1:20" ht="15" thickBot="1" x14ac:dyDescent="0.35">
      <c r="A83" s="4" t="s">
        <v>198</v>
      </c>
      <c r="B83" s="22">
        <v>-0.2</v>
      </c>
      <c r="C83" s="22" t="s">
        <v>79</v>
      </c>
      <c r="D83" s="22" t="s">
        <v>79</v>
      </c>
      <c r="E83" s="22" t="s">
        <v>79</v>
      </c>
      <c r="F83" s="22">
        <v>0.19</v>
      </c>
      <c r="G83" s="23"/>
      <c r="H83" t="str">
        <f t="shared" si="16"/>
        <v>Q18</v>
      </c>
      <c r="I83">
        <f t="shared" si="11"/>
        <v>-0.2</v>
      </c>
      <c r="J83" t="str">
        <f t="shared" si="12"/>
        <v/>
      </c>
      <c r="K83" t="str">
        <f t="shared" si="13"/>
        <v/>
      </c>
      <c r="L83" t="str">
        <f t="shared" si="14"/>
        <v/>
      </c>
      <c r="M83">
        <f t="shared" si="15"/>
        <v>0.19</v>
      </c>
      <c r="T83" t="s">
        <v>232</v>
      </c>
    </row>
  </sheetData>
  <conditionalFormatting sqref="I3:I83">
    <cfRule type="colorScale" priority="3">
      <colorScale>
        <cfvo type="min"/>
        <cfvo type="percentile" val="50"/>
        <cfvo type="max"/>
        <color rgb="FFF8696B"/>
        <color rgb="FFFFEB84"/>
        <color rgb="FF63BE7B"/>
      </colorScale>
    </cfRule>
  </conditionalFormatting>
  <conditionalFormatting sqref="N3:S83">
    <cfRule type="colorScale" priority="2">
      <colorScale>
        <cfvo type="min"/>
        <cfvo type="percentile" val="50"/>
        <cfvo type="max"/>
        <color rgb="FFF8696B"/>
        <color rgb="FFFFEB84"/>
        <color rgb="FF63BE7B"/>
      </colorScale>
    </cfRule>
  </conditionalFormatting>
  <conditionalFormatting sqref="J3:M83">
    <cfRule type="colorScale" priority="8">
      <colorScale>
        <cfvo type="min"/>
        <cfvo type="percentile" val="50"/>
        <cfvo type="max"/>
        <color rgb="FFF8696B"/>
        <color rgb="FFFFEB84"/>
        <color rgb="FF63BE7B"/>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AD206-6BA1-4A6C-AD97-E91A169074EF}">
  <dimension ref="A1:I3"/>
  <sheetViews>
    <sheetView workbookViewId="0">
      <selection activeCell="B4" sqref="B4"/>
    </sheetView>
  </sheetViews>
  <sheetFormatPr defaultRowHeight="14.4" x14ac:dyDescent="0.3"/>
  <cols>
    <col min="1" max="1" width="19.33203125" customWidth="1"/>
  </cols>
  <sheetData>
    <row r="1" spans="1:9" x14ac:dyDescent="0.3">
      <c r="B1" t="s">
        <v>315</v>
      </c>
      <c r="C1" t="s">
        <v>316</v>
      </c>
      <c r="D1" t="s">
        <v>317</v>
      </c>
      <c r="E1" t="s">
        <v>318</v>
      </c>
      <c r="F1" t="s">
        <v>319</v>
      </c>
      <c r="G1" t="s">
        <v>320</v>
      </c>
      <c r="H1" t="s">
        <v>321</v>
      </c>
      <c r="I1" s="12" t="s">
        <v>323</v>
      </c>
    </row>
    <row r="2" spans="1:9" x14ac:dyDescent="0.3">
      <c r="A2" t="s">
        <v>322</v>
      </c>
      <c r="B2">
        <f>160/2</f>
        <v>80</v>
      </c>
      <c r="C2">
        <f>B2</f>
        <v>80</v>
      </c>
      <c r="D2">
        <f t="shared" ref="D2:H2" si="0">C2</f>
        <v>80</v>
      </c>
      <c r="E2">
        <f t="shared" si="0"/>
        <v>80</v>
      </c>
      <c r="F2">
        <f t="shared" si="0"/>
        <v>80</v>
      </c>
      <c r="I2" s="12">
        <f>SUM(B2:H2)</f>
        <v>400</v>
      </c>
    </row>
    <row r="3" spans="1:9" x14ac:dyDescent="0.3">
      <c r="A3" t="s">
        <v>324</v>
      </c>
      <c r="B3">
        <v>107</v>
      </c>
      <c r="C3" s="30">
        <f>427/12</f>
        <v>35.583333333333336</v>
      </c>
      <c r="D3" s="30">
        <f>C3</f>
        <v>35.583333333333336</v>
      </c>
      <c r="E3" s="30">
        <f>D3</f>
        <v>35.583333333333336</v>
      </c>
      <c r="F3" s="30">
        <f>E3</f>
        <v>35.583333333333336</v>
      </c>
      <c r="I3" s="29">
        <f>SUM(B3:H3)</f>
        <v>249.33333333333337</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E735A-5908-496C-BFD7-D3ECFBBCD0DD}">
  <dimension ref="A1:AE83"/>
  <sheetViews>
    <sheetView workbookViewId="0"/>
  </sheetViews>
  <sheetFormatPr defaultRowHeight="14.4" x14ac:dyDescent="0.3"/>
  <cols>
    <col min="1" max="1" width="17.33203125" bestFit="1" customWidth="1"/>
    <col min="10" max="13" width="8.88671875" customWidth="1"/>
    <col min="14" max="19" width="8.88671875" hidden="1" customWidth="1"/>
  </cols>
  <sheetData>
    <row r="1" spans="1:31" ht="21" x14ac:dyDescent="0.4">
      <c r="A1" s="25" t="s">
        <v>245</v>
      </c>
      <c r="B1" s="15" t="s">
        <v>205</v>
      </c>
      <c r="I1" s="15" t="s">
        <v>205</v>
      </c>
    </row>
    <row r="2" spans="1:31" x14ac:dyDescent="0.3">
      <c r="B2" s="12" t="s">
        <v>199</v>
      </c>
      <c r="C2" s="12" t="s">
        <v>200</v>
      </c>
      <c r="D2" s="12" t="s">
        <v>201</v>
      </c>
      <c r="E2" s="12" t="s">
        <v>202</v>
      </c>
      <c r="F2" s="12" t="s">
        <v>203</v>
      </c>
      <c r="G2" s="12"/>
      <c r="I2" s="12" t="str">
        <f>B2</f>
        <v>Segment1</v>
      </c>
      <c r="J2" s="12" t="str">
        <f t="shared" ref="J2:M2" si="0">C2</f>
        <v>Segment2</v>
      </c>
      <c r="K2" s="12" t="str">
        <f t="shared" si="0"/>
        <v>Segment3</v>
      </c>
      <c r="L2" s="12" t="str">
        <f t="shared" si="0"/>
        <v>Segment4</v>
      </c>
      <c r="M2" s="12" t="str">
        <f t="shared" si="0"/>
        <v>Segment5</v>
      </c>
      <c r="N2" s="12" t="str">
        <f>I2</f>
        <v>Segment1</v>
      </c>
      <c r="O2" s="12" t="str">
        <f>J2</f>
        <v>Segment2</v>
      </c>
      <c r="P2" s="12" t="str">
        <f>K2</f>
        <v>Segment3</v>
      </c>
      <c r="Q2" s="12" t="str">
        <f>L2</f>
        <v>Segment4</v>
      </c>
      <c r="R2" s="12" t="str">
        <f>M2</f>
        <v>Segment5</v>
      </c>
      <c r="S2" s="12" t="e">
        <f>#REF!</f>
        <v>#REF!</v>
      </c>
      <c r="AB2" s="12" t="s">
        <v>241</v>
      </c>
    </row>
    <row r="3" spans="1:31" ht="15" thickBot="1" x14ac:dyDescent="0.35">
      <c r="A3" s="4" t="s">
        <v>115</v>
      </c>
      <c r="B3" s="22" t="s">
        <v>79</v>
      </c>
      <c r="C3" s="22" t="s">
        <v>79</v>
      </c>
      <c r="D3" s="22">
        <v>-0.16</v>
      </c>
      <c r="E3" s="22" t="s">
        <v>79</v>
      </c>
      <c r="F3" s="22" t="s">
        <v>79</v>
      </c>
      <c r="G3" s="23"/>
      <c r="H3" t="str">
        <f>A3</f>
        <v>Q1.1</v>
      </c>
      <c r="I3" t="str">
        <f t="shared" ref="I3:I34" si="1">IF(ISNUMBER(B3),B3,"")</f>
        <v/>
      </c>
      <c r="J3" t="str">
        <f t="shared" ref="J3:J34" si="2">IF(ISNUMBER(C3),C3,"")</f>
        <v/>
      </c>
      <c r="K3">
        <f t="shared" ref="K3:K34" si="3">IF(ISNUMBER(D3),D3,"")</f>
        <v>-0.16</v>
      </c>
      <c r="L3" t="str">
        <f t="shared" ref="L3:L34" si="4">IF(ISNUMBER(E3),E3,"")</f>
        <v/>
      </c>
      <c r="M3" t="str">
        <f t="shared" ref="M3:M34" si="5">IF(ISNUMBER(F3),F3,"")</f>
        <v/>
      </c>
      <c r="T3" t="s">
        <v>0</v>
      </c>
      <c r="AB3" t="s">
        <v>234</v>
      </c>
    </row>
    <row r="4" spans="1:31" ht="15" thickBot="1" x14ac:dyDescent="0.35">
      <c r="A4" s="4" t="s">
        <v>119</v>
      </c>
      <c r="B4" s="22" t="s">
        <v>79</v>
      </c>
      <c r="C4" s="22" t="s">
        <v>79</v>
      </c>
      <c r="D4" s="22" t="s">
        <v>79</v>
      </c>
      <c r="E4" s="22" t="s">
        <v>79</v>
      </c>
      <c r="F4" s="22" t="s">
        <v>79</v>
      </c>
      <c r="G4" s="23"/>
      <c r="H4" t="str">
        <f t="shared" ref="H4:H67" si="6">A4</f>
        <v>Q1.2</v>
      </c>
      <c r="I4" t="str">
        <f t="shared" si="1"/>
        <v/>
      </c>
      <c r="J4" t="str">
        <f t="shared" si="2"/>
        <v/>
      </c>
      <c r="K4" t="str">
        <f t="shared" si="3"/>
        <v/>
      </c>
      <c r="L4" t="str">
        <f t="shared" si="4"/>
        <v/>
      </c>
      <c r="M4" t="str">
        <f t="shared" si="5"/>
        <v/>
      </c>
      <c r="T4" t="s">
        <v>1</v>
      </c>
      <c r="AB4" t="s">
        <v>235</v>
      </c>
    </row>
    <row r="5" spans="1:31" ht="15" thickBot="1" x14ac:dyDescent="0.35">
      <c r="A5" s="4" t="s">
        <v>96</v>
      </c>
      <c r="B5" s="22">
        <v>0.27</v>
      </c>
      <c r="C5" s="22">
        <v>0.14000000000000001</v>
      </c>
      <c r="D5" s="22">
        <v>-0.15</v>
      </c>
      <c r="E5" s="22">
        <v>-0.11</v>
      </c>
      <c r="F5" s="22" t="s">
        <v>79</v>
      </c>
      <c r="G5" s="23"/>
      <c r="H5" t="str">
        <f t="shared" si="6"/>
        <v>Q1.3</v>
      </c>
      <c r="I5">
        <f t="shared" si="1"/>
        <v>0.27</v>
      </c>
      <c r="J5">
        <f t="shared" si="2"/>
        <v>0.14000000000000001</v>
      </c>
      <c r="K5">
        <f t="shared" si="3"/>
        <v>-0.15</v>
      </c>
      <c r="L5">
        <f t="shared" si="4"/>
        <v>-0.11</v>
      </c>
      <c r="M5" t="str">
        <f t="shared" si="5"/>
        <v/>
      </c>
      <c r="T5" t="s">
        <v>2</v>
      </c>
      <c r="AB5" t="s">
        <v>236</v>
      </c>
    </row>
    <row r="6" spans="1:31" ht="15" thickBot="1" x14ac:dyDescent="0.35">
      <c r="A6" s="4" t="s">
        <v>114</v>
      </c>
      <c r="B6" s="22">
        <v>0.13</v>
      </c>
      <c r="C6" s="22" t="s">
        <v>79</v>
      </c>
      <c r="D6" s="22">
        <v>-0.1</v>
      </c>
      <c r="E6" s="22" t="s">
        <v>79</v>
      </c>
      <c r="F6" s="22">
        <v>-0.1</v>
      </c>
      <c r="G6" s="23"/>
      <c r="H6" t="str">
        <f t="shared" si="6"/>
        <v>Q1.4</v>
      </c>
      <c r="I6">
        <f t="shared" si="1"/>
        <v>0.13</v>
      </c>
      <c r="J6" t="str">
        <f t="shared" si="2"/>
        <v/>
      </c>
      <c r="K6">
        <f t="shared" si="3"/>
        <v>-0.1</v>
      </c>
      <c r="L6" t="str">
        <f t="shared" si="4"/>
        <v/>
      </c>
      <c r="M6">
        <f t="shared" si="5"/>
        <v>-0.1</v>
      </c>
      <c r="T6" t="s">
        <v>3</v>
      </c>
      <c r="AB6" t="s">
        <v>237</v>
      </c>
    </row>
    <row r="7" spans="1:31" ht="15" thickBot="1" x14ac:dyDescent="0.35">
      <c r="A7" s="4" t="s">
        <v>108</v>
      </c>
      <c r="B7" s="22">
        <v>0.18</v>
      </c>
      <c r="C7" s="22" t="s">
        <v>79</v>
      </c>
      <c r="D7" s="22">
        <v>-0.12</v>
      </c>
      <c r="E7" s="22" t="s">
        <v>79</v>
      </c>
      <c r="F7" s="22" t="s">
        <v>79</v>
      </c>
      <c r="G7" s="23"/>
      <c r="H7" t="str">
        <f t="shared" si="6"/>
        <v>Q1.5</v>
      </c>
      <c r="I7">
        <f t="shared" si="1"/>
        <v>0.18</v>
      </c>
      <c r="J7" t="str">
        <f t="shared" si="2"/>
        <v/>
      </c>
      <c r="K7">
        <f t="shared" si="3"/>
        <v>-0.12</v>
      </c>
      <c r="L7" t="str">
        <f t="shared" si="4"/>
        <v/>
      </c>
      <c r="M7" t="str">
        <f t="shared" si="5"/>
        <v/>
      </c>
      <c r="T7" t="s">
        <v>4</v>
      </c>
      <c r="AB7" t="s">
        <v>238</v>
      </c>
    </row>
    <row r="8" spans="1:31" ht="15" thickBot="1" x14ac:dyDescent="0.35">
      <c r="A8" s="4" t="s">
        <v>102</v>
      </c>
      <c r="B8" s="22">
        <v>0.13</v>
      </c>
      <c r="C8" s="22" t="s">
        <v>79</v>
      </c>
      <c r="D8" s="22">
        <v>-0.12</v>
      </c>
      <c r="E8" s="22" t="s">
        <v>79</v>
      </c>
      <c r="F8" s="22" t="s">
        <v>79</v>
      </c>
      <c r="G8" s="23"/>
      <c r="H8" t="str">
        <f t="shared" si="6"/>
        <v>Q1.6</v>
      </c>
      <c r="I8">
        <f t="shared" si="1"/>
        <v>0.13</v>
      </c>
      <c r="J8" t="str">
        <f t="shared" si="2"/>
        <v/>
      </c>
      <c r="K8">
        <f t="shared" si="3"/>
        <v>-0.12</v>
      </c>
      <c r="L8" t="str">
        <f t="shared" si="4"/>
        <v/>
      </c>
      <c r="M8" t="str">
        <f t="shared" si="5"/>
        <v/>
      </c>
      <c r="T8" t="s">
        <v>5</v>
      </c>
      <c r="AB8" t="s">
        <v>239</v>
      </c>
    </row>
    <row r="9" spans="1:31" ht="15" thickBot="1" x14ac:dyDescent="0.35">
      <c r="A9" s="4" t="s">
        <v>97</v>
      </c>
      <c r="B9" s="22">
        <v>0.19</v>
      </c>
      <c r="C9" s="22" t="s">
        <v>79</v>
      </c>
      <c r="D9" s="22">
        <v>-0.13</v>
      </c>
      <c r="E9" s="22" t="s">
        <v>79</v>
      </c>
      <c r="F9" s="22" t="s">
        <v>79</v>
      </c>
      <c r="G9" s="23"/>
      <c r="H9" t="str">
        <f t="shared" si="6"/>
        <v>Q1.7</v>
      </c>
      <c r="I9">
        <f t="shared" si="1"/>
        <v>0.19</v>
      </c>
      <c r="J9" t="str">
        <f t="shared" si="2"/>
        <v/>
      </c>
      <c r="K9">
        <f t="shared" si="3"/>
        <v>-0.13</v>
      </c>
      <c r="L9" t="str">
        <f t="shared" si="4"/>
        <v/>
      </c>
      <c r="M9" t="str">
        <f t="shared" si="5"/>
        <v/>
      </c>
      <c r="T9" t="s">
        <v>6</v>
      </c>
      <c r="AB9" t="s">
        <v>240</v>
      </c>
    </row>
    <row r="10" spans="1:31" ht="15" thickBot="1" x14ac:dyDescent="0.35">
      <c r="A10" s="4" t="s">
        <v>118</v>
      </c>
      <c r="B10" s="22">
        <v>0.1</v>
      </c>
      <c r="C10" s="22">
        <v>-0.12</v>
      </c>
      <c r="D10" s="22" t="s">
        <v>79</v>
      </c>
      <c r="E10" s="22" t="s">
        <v>79</v>
      </c>
      <c r="F10" s="22" t="s">
        <v>79</v>
      </c>
      <c r="G10" s="23"/>
      <c r="H10" t="str">
        <f t="shared" si="6"/>
        <v>Q1.8</v>
      </c>
      <c r="I10">
        <f t="shared" si="1"/>
        <v>0.1</v>
      </c>
      <c r="J10">
        <f t="shared" si="2"/>
        <v>-0.12</v>
      </c>
      <c r="K10" t="str">
        <f t="shared" si="3"/>
        <v/>
      </c>
      <c r="L10" t="str">
        <f t="shared" si="4"/>
        <v/>
      </c>
      <c r="M10" t="str">
        <f t="shared" si="5"/>
        <v/>
      </c>
      <c r="T10" t="s">
        <v>7</v>
      </c>
    </row>
    <row r="11" spans="1:31" ht="15" thickBot="1" x14ac:dyDescent="0.35">
      <c r="A11" s="4" t="s">
        <v>104</v>
      </c>
      <c r="B11" s="22">
        <v>0.36</v>
      </c>
      <c r="C11" s="22">
        <v>0.28999999999999998</v>
      </c>
      <c r="D11" s="22">
        <v>-0.22</v>
      </c>
      <c r="E11" s="22">
        <v>-0.18</v>
      </c>
      <c r="F11" s="22">
        <v>-0.11</v>
      </c>
      <c r="G11" s="23"/>
      <c r="H11" t="str">
        <f t="shared" si="6"/>
        <v>Q1.9</v>
      </c>
      <c r="I11">
        <f t="shared" si="1"/>
        <v>0.36</v>
      </c>
      <c r="J11">
        <f t="shared" si="2"/>
        <v>0.28999999999999998</v>
      </c>
      <c r="K11">
        <f t="shared" si="3"/>
        <v>-0.22</v>
      </c>
      <c r="L11">
        <f t="shared" si="4"/>
        <v>-0.18</v>
      </c>
      <c r="M11">
        <f t="shared" si="5"/>
        <v>-0.11</v>
      </c>
      <c r="T11" t="s">
        <v>8</v>
      </c>
      <c r="AE11" s="12" t="s">
        <v>244</v>
      </c>
    </row>
    <row r="12" spans="1:31" ht="15" thickBot="1" x14ac:dyDescent="0.35">
      <c r="A12" s="4" t="s">
        <v>117</v>
      </c>
      <c r="B12" s="22">
        <v>0.19</v>
      </c>
      <c r="C12" s="22">
        <v>-0.12</v>
      </c>
      <c r="D12" s="22">
        <v>-0.17</v>
      </c>
      <c r="E12" s="22">
        <v>0.16</v>
      </c>
      <c r="F12" s="22" t="s">
        <v>79</v>
      </c>
      <c r="G12" s="23"/>
      <c r="H12" t="str">
        <f t="shared" si="6"/>
        <v>Q1.10</v>
      </c>
      <c r="I12">
        <f t="shared" si="1"/>
        <v>0.19</v>
      </c>
      <c r="J12">
        <f t="shared" si="2"/>
        <v>-0.12</v>
      </c>
      <c r="K12">
        <f t="shared" si="3"/>
        <v>-0.17</v>
      </c>
      <c r="L12">
        <f t="shared" si="4"/>
        <v>0.16</v>
      </c>
      <c r="M12" t="str">
        <f t="shared" si="5"/>
        <v/>
      </c>
      <c r="T12" t="s">
        <v>9</v>
      </c>
      <c r="AB12">
        <v>21</v>
      </c>
      <c r="AC12" s="24" t="s">
        <v>20</v>
      </c>
      <c r="AE12" t="s">
        <v>128</v>
      </c>
    </row>
    <row r="13" spans="1:31" ht="15" thickBot="1" x14ac:dyDescent="0.35">
      <c r="A13" s="4" t="s">
        <v>116</v>
      </c>
      <c r="B13" s="22" t="s">
        <v>79</v>
      </c>
      <c r="C13" s="22" t="s">
        <v>79</v>
      </c>
      <c r="D13" s="22" t="s">
        <v>79</v>
      </c>
      <c r="E13" s="22" t="s">
        <v>79</v>
      </c>
      <c r="F13" s="22" t="s">
        <v>79</v>
      </c>
      <c r="G13" s="23"/>
      <c r="H13" t="str">
        <f t="shared" si="6"/>
        <v>Q1.11</v>
      </c>
      <c r="I13" t="str">
        <f t="shared" si="1"/>
        <v/>
      </c>
      <c r="J13" t="str">
        <f t="shared" si="2"/>
        <v/>
      </c>
      <c r="K13" t="str">
        <f t="shared" si="3"/>
        <v/>
      </c>
      <c r="L13" t="str">
        <f t="shared" si="4"/>
        <v/>
      </c>
      <c r="M13" t="str">
        <f t="shared" si="5"/>
        <v/>
      </c>
      <c r="T13" t="s">
        <v>10</v>
      </c>
      <c r="AB13">
        <v>9</v>
      </c>
      <c r="AC13" s="24" t="s">
        <v>8</v>
      </c>
      <c r="AE13" t="s">
        <v>242</v>
      </c>
    </row>
    <row r="14" spans="1:31" ht="15" thickBot="1" x14ac:dyDescent="0.35">
      <c r="A14" s="4" t="s">
        <v>120</v>
      </c>
      <c r="B14" s="22" t="s">
        <v>79</v>
      </c>
      <c r="C14" s="22" t="s">
        <v>79</v>
      </c>
      <c r="D14" s="22" t="s">
        <v>79</v>
      </c>
      <c r="E14" s="22" t="s">
        <v>79</v>
      </c>
      <c r="F14" s="22" t="s">
        <v>79</v>
      </c>
      <c r="G14" s="23"/>
      <c r="H14" t="str">
        <f t="shared" si="6"/>
        <v>Q1.12</v>
      </c>
      <c r="I14" t="str">
        <f t="shared" si="1"/>
        <v/>
      </c>
      <c r="J14" t="str">
        <f t="shared" si="2"/>
        <v/>
      </c>
      <c r="K14" t="str">
        <f t="shared" si="3"/>
        <v/>
      </c>
      <c r="L14" t="str">
        <f t="shared" si="4"/>
        <v/>
      </c>
      <c r="M14" t="str">
        <f t="shared" si="5"/>
        <v/>
      </c>
      <c r="T14" t="s">
        <v>11</v>
      </c>
      <c r="AB14">
        <v>27</v>
      </c>
      <c r="AC14" s="24" t="s">
        <v>26</v>
      </c>
      <c r="AE14" t="s">
        <v>129</v>
      </c>
    </row>
    <row r="15" spans="1:31" ht="15" thickBot="1" x14ac:dyDescent="0.35">
      <c r="A15" s="4" t="s">
        <v>100</v>
      </c>
      <c r="B15" s="22">
        <v>0.26</v>
      </c>
      <c r="C15" s="22">
        <v>0.1</v>
      </c>
      <c r="D15" s="22">
        <v>-0.16</v>
      </c>
      <c r="E15" s="22" t="s">
        <v>79</v>
      </c>
      <c r="F15" s="22" t="s">
        <v>79</v>
      </c>
      <c r="G15" s="23"/>
      <c r="H15" t="str">
        <f t="shared" si="6"/>
        <v>Q1.13</v>
      </c>
      <c r="I15">
        <f t="shared" si="1"/>
        <v>0.26</v>
      </c>
      <c r="J15">
        <f t="shared" si="2"/>
        <v>0.1</v>
      </c>
      <c r="K15">
        <f t="shared" si="3"/>
        <v>-0.16</v>
      </c>
      <c r="L15" t="str">
        <f t="shared" si="4"/>
        <v/>
      </c>
      <c r="M15" t="str">
        <f t="shared" si="5"/>
        <v/>
      </c>
      <c r="T15" t="s">
        <v>13</v>
      </c>
      <c r="AB15">
        <v>4</v>
      </c>
      <c r="AC15" s="24" t="s">
        <v>3</v>
      </c>
      <c r="AE15" t="s">
        <v>243</v>
      </c>
    </row>
    <row r="16" spans="1:31" ht="15" thickBot="1" x14ac:dyDescent="0.35">
      <c r="A16" s="4" t="s">
        <v>93</v>
      </c>
      <c r="B16" s="22">
        <v>0.23</v>
      </c>
      <c r="C16" s="22" t="s">
        <v>79</v>
      </c>
      <c r="D16" s="22">
        <v>-0.14000000000000001</v>
      </c>
      <c r="E16" s="22" t="s">
        <v>79</v>
      </c>
      <c r="F16" s="22" t="s">
        <v>79</v>
      </c>
      <c r="G16" s="23"/>
      <c r="H16" t="str">
        <f t="shared" si="6"/>
        <v>Q1.14</v>
      </c>
      <c r="I16">
        <f t="shared" si="1"/>
        <v>0.23</v>
      </c>
      <c r="J16" t="str">
        <f t="shared" si="2"/>
        <v/>
      </c>
      <c r="K16">
        <f t="shared" si="3"/>
        <v>-0.14000000000000001</v>
      </c>
      <c r="L16" t="str">
        <f t="shared" si="4"/>
        <v/>
      </c>
      <c r="M16" t="str">
        <f t="shared" si="5"/>
        <v/>
      </c>
      <c r="T16" t="s">
        <v>12</v>
      </c>
      <c r="AB16">
        <v>8</v>
      </c>
      <c r="AC16" s="24" t="s">
        <v>7</v>
      </c>
      <c r="AD16" t="s">
        <v>11</v>
      </c>
      <c r="AE16" t="s">
        <v>89</v>
      </c>
    </row>
    <row r="17" spans="1:31" ht="15" thickBot="1" x14ac:dyDescent="0.35">
      <c r="A17" s="4" t="s">
        <v>98</v>
      </c>
      <c r="B17" s="22">
        <v>0.15</v>
      </c>
      <c r="C17" s="22" t="s">
        <v>79</v>
      </c>
      <c r="D17" s="22">
        <v>-0.12</v>
      </c>
      <c r="E17" s="22" t="s">
        <v>79</v>
      </c>
      <c r="F17" s="22" t="s">
        <v>79</v>
      </c>
      <c r="G17" s="23"/>
      <c r="H17" t="str">
        <f t="shared" si="6"/>
        <v>Q1.15</v>
      </c>
      <c r="I17">
        <f t="shared" si="1"/>
        <v>0.15</v>
      </c>
      <c r="J17" t="str">
        <f t="shared" si="2"/>
        <v/>
      </c>
      <c r="K17">
        <f t="shared" si="3"/>
        <v>-0.12</v>
      </c>
      <c r="L17" t="str">
        <f t="shared" si="4"/>
        <v/>
      </c>
      <c r="M17" t="str">
        <f t="shared" si="5"/>
        <v/>
      </c>
      <c r="T17" t="s">
        <v>14</v>
      </c>
      <c r="AB17">
        <v>10</v>
      </c>
      <c r="AC17" s="24" t="s">
        <v>9</v>
      </c>
      <c r="AE17" t="s">
        <v>141</v>
      </c>
    </row>
    <row r="18" spans="1:31" ht="15" thickBot="1" x14ac:dyDescent="0.35">
      <c r="A18" s="4" t="s">
        <v>99</v>
      </c>
      <c r="B18" s="22">
        <v>0.24</v>
      </c>
      <c r="C18" s="22">
        <v>0.11</v>
      </c>
      <c r="D18" s="22">
        <v>-0.13</v>
      </c>
      <c r="E18" s="22">
        <v>-0.13</v>
      </c>
      <c r="F18" s="22" t="s">
        <v>79</v>
      </c>
      <c r="G18" s="23"/>
      <c r="H18" t="str">
        <f t="shared" si="6"/>
        <v>Q1.16</v>
      </c>
      <c r="I18">
        <f t="shared" si="1"/>
        <v>0.24</v>
      </c>
      <c r="J18">
        <f t="shared" si="2"/>
        <v>0.11</v>
      </c>
      <c r="K18">
        <f t="shared" si="3"/>
        <v>-0.13</v>
      </c>
      <c r="L18">
        <f t="shared" si="4"/>
        <v>-0.13</v>
      </c>
      <c r="M18" t="str">
        <f t="shared" si="5"/>
        <v/>
      </c>
      <c r="T18" t="s">
        <v>15</v>
      </c>
      <c r="AB18">
        <v>1</v>
      </c>
      <c r="AC18" s="24" t="s">
        <v>0</v>
      </c>
      <c r="AE18" t="s">
        <v>132</v>
      </c>
    </row>
    <row r="19" spans="1:31" ht="15" thickBot="1" x14ac:dyDescent="0.35">
      <c r="A19" s="4" t="s">
        <v>105</v>
      </c>
      <c r="B19" s="22">
        <v>0.2</v>
      </c>
      <c r="C19" s="22">
        <v>0.1</v>
      </c>
      <c r="D19" s="22">
        <v>-0.1</v>
      </c>
      <c r="E19" s="22">
        <v>-0.11</v>
      </c>
      <c r="F19" s="22" t="s">
        <v>79</v>
      </c>
      <c r="G19" s="23"/>
      <c r="H19" t="str">
        <f t="shared" si="6"/>
        <v>Q1.17</v>
      </c>
      <c r="I19">
        <f t="shared" si="1"/>
        <v>0.2</v>
      </c>
      <c r="J19">
        <f t="shared" si="2"/>
        <v>0.1</v>
      </c>
      <c r="K19">
        <f t="shared" si="3"/>
        <v>-0.1</v>
      </c>
      <c r="L19">
        <f t="shared" si="4"/>
        <v>-0.11</v>
      </c>
      <c r="M19" t="str">
        <f t="shared" si="5"/>
        <v/>
      </c>
      <c r="T19" t="s">
        <v>16</v>
      </c>
    </row>
    <row r="20" spans="1:31" ht="15" thickBot="1" x14ac:dyDescent="0.35">
      <c r="A20" s="4" t="s">
        <v>109</v>
      </c>
      <c r="B20" s="22">
        <v>0.15</v>
      </c>
      <c r="C20" s="22" t="s">
        <v>79</v>
      </c>
      <c r="D20" s="22">
        <v>-0.12</v>
      </c>
      <c r="E20" s="22" t="s">
        <v>79</v>
      </c>
      <c r="F20" s="22" t="s">
        <v>79</v>
      </c>
      <c r="G20" s="23"/>
      <c r="H20" t="str">
        <f t="shared" si="6"/>
        <v>Q1.18</v>
      </c>
      <c r="I20">
        <f t="shared" si="1"/>
        <v>0.15</v>
      </c>
      <c r="J20" t="str">
        <f t="shared" si="2"/>
        <v/>
      </c>
      <c r="K20">
        <f t="shared" si="3"/>
        <v>-0.12</v>
      </c>
      <c r="L20" t="str">
        <f t="shared" si="4"/>
        <v/>
      </c>
      <c r="M20" t="str">
        <f t="shared" si="5"/>
        <v/>
      </c>
      <c r="T20" t="s">
        <v>17</v>
      </c>
    </row>
    <row r="21" spans="1:31" ht="15" thickBot="1" x14ac:dyDescent="0.35">
      <c r="A21" s="4" t="s">
        <v>112</v>
      </c>
      <c r="B21" s="22" t="s">
        <v>79</v>
      </c>
      <c r="C21" s="22" t="s">
        <v>79</v>
      </c>
      <c r="D21" s="22" t="s">
        <v>79</v>
      </c>
      <c r="E21" s="22" t="s">
        <v>79</v>
      </c>
      <c r="F21" s="22" t="s">
        <v>79</v>
      </c>
      <c r="G21" s="23"/>
      <c r="H21" t="str">
        <f t="shared" si="6"/>
        <v>Q1.19</v>
      </c>
      <c r="I21" t="str">
        <f t="shared" si="1"/>
        <v/>
      </c>
      <c r="J21" t="str">
        <f t="shared" si="2"/>
        <v/>
      </c>
      <c r="K21" t="str">
        <f t="shared" si="3"/>
        <v/>
      </c>
      <c r="L21" t="str">
        <f t="shared" si="4"/>
        <v/>
      </c>
      <c r="M21" t="str">
        <f t="shared" si="5"/>
        <v/>
      </c>
      <c r="T21" t="s">
        <v>18</v>
      </c>
    </row>
    <row r="22" spans="1:31" ht="15" thickBot="1" x14ac:dyDescent="0.35">
      <c r="A22" s="4" t="s">
        <v>94</v>
      </c>
      <c r="B22" s="22">
        <v>0.24</v>
      </c>
      <c r="C22" s="22" t="s">
        <v>79</v>
      </c>
      <c r="D22" s="22">
        <v>-0.15</v>
      </c>
      <c r="E22" s="22" t="s">
        <v>79</v>
      </c>
      <c r="F22" s="22" t="s">
        <v>79</v>
      </c>
      <c r="G22" s="23"/>
      <c r="H22" t="str">
        <f t="shared" si="6"/>
        <v>Q1.20</v>
      </c>
      <c r="I22">
        <f t="shared" si="1"/>
        <v>0.24</v>
      </c>
      <c r="J22" t="str">
        <f t="shared" si="2"/>
        <v/>
      </c>
      <c r="K22">
        <f t="shared" si="3"/>
        <v>-0.15</v>
      </c>
      <c r="L22" t="str">
        <f t="shared" si="4"/>
        <v/>
      </c>
      <c r="M22" t="str">
        <f t="shared" si="5"/>
        <v/>
      </c>
      <c r="T22" t="s">
        <v>19</v>
      </c>
    </row>
    <row r="23" spans="1:31" ht="15" thickBot="1" x14ac:dyDescent="0.35">
      <c r="A23" s="4" t="s">
        <v>111</v>
      </c>
      <c r="B23" s="22" t="s">
        <v>79</v>
      </c>
      <c r="C23" s="22" t="s">
        <v>79</v>
      </c>
      <c r="D23" s="22" t="s">
        <v>79</v>
      </c>
      <c r="E23" s="22" t="s">
        <v>79</v>
      </c>
      <c r="F23" s="22" t="s">
        <v>79</v>
      </c>
      <c r="G23" s="23"/>
      <c r="H23" t="str">
        <f t="shared" si="6"/>
        <v>Q1.21</v>
      </c>
      <c r="I23" t="str">
        <f t="shared" si="1"/>
        <v/>
      </c>
      <c r="J23" t="str">
        <f t="shared" si="2"/>
        <v/>
      </c>
      <c r="K23" t="str">
        <f t="shared" si="3"/>
        <v/>
      </c>
      <c r="L23" t="str">
        <f t="shared" si="4"/>
        <v/>
      </c>
      <c r="M23" t="str">
        <f t="shared" si="5"/>
        <v/>
      </c>
      <c r="T23" t="s">
        <v>20</v>
      </c>
    </row>
    <row r="24" spans="1:31" ht="15" thickBot="1" x14ac:dyDescent="0.35">
      <c r="A24" s="4" t="s">
        <v>106</v>
      </c>
      <c r="B24" s="22">
        <v>0.11</v>
      </c>
      <c r="C24" s="22" t="s">
        <v>79</v>
      </c>
      <c r="D24" s="22" t="s">
        <v>79</v>
      </c>
      <c r="E24" s="22" t="s">
        <v>79</v>
      </c>
      <c r="F24" s="22" t="s">
        <v>79</v>
      </c>
      <c r="G24" s="23"/>
      <c r="H24" t="str">
        <f t="shared" si="6"/>
        <v>Q1.22</v>
      </c>
      <c r="I24">
        <f t="shared" si="1"/>
        <v>0.11</v>
      </c>
      <c r="J24" t="str">
        <f t="shared" si="2"/>
        <v/>
      </c>
      <c r="K24" t="str">
        <f t="shared" si="3"/>
        <v/>
      </c>
      <c r="L24" t="str">
        <f t="shared" si="4"/>
        <v/>
      </c>
      <c r="M24" t="str">
        <f t="shared" si="5"/>
        <v/>
      </c>
      <c r="T24" t="s">
        <v>21</v>
      </c>
    </row>
    <row r="25" spans="1:31" ht="15" thickBot="1" x14ac:dyDescent="0.35">
      <c r="A25" s="4" t="s">
        <v>107</v>
      </c>
      <c r="B25" s="22">
        <v>0.18</v>
      </c>
      <c r="C25" s="22" t="s">
        <v>79</v>
      </c>
      <c r="D25" s="22">
        <v>-0.13</v>
      </c>
      <c r="E25" s="22" t="s">
        <v>79</v>
      </c>
      <c r="F25" s="22" t="s">
        <v>79</v>
      </c>
      <c r="G25" s="23"/>
      <c r="H25" t="str">
        <f t="shared" si="6"/>
        <v>Q1.23</v>
      </c>
      <c r="I25">
        <f t="shared" si="1"/>
        <v>0.18</v>
      </c>
      <c r="J25" t="str">
        <f t="shared" si="2"/>
        <v/>
      </c>
      <c r="K25">
        <f t="shared" si="3"/>
        <v>-0.13</v>
      </c>
      <c r="L25" t="str">
        <f t="shared" si="4"/>
        <v/>
      </c>
      <c r="M25" t="str">
        <f t="shared" si="5"/>
        <v/>
      </c>
      <c r="T25" t="s">
        <v>22</v>
      </c>
    </row>
    <row r="26" spans="1:31" ht="15" thickBot="1" x14ac:dyDescent="0.35">
      <c r="A26" s="4" t="s">
        <v>110</v>
      </c>
      <c r="B26" s="22">
        <v>0.1</v>
      </c>
      <c r="C26" s="22" t="s">
        <v>79</v>
      </c>
      <c r="D26" s="22" t="s">
        <v>79</v>
      </c>
      <c r="E26" s="22" t="s">
        <v>79</v>
      </c>
      <c r="F26" s="22" t="s">
        <v>79</v>
      </c>
      <c r="G26" s="23"/>
      <c r="H26" t="str">
        <f t="shared" si="6"/>
        <v>Q1.24</v>
      </c>
      <c r="I26">
        <f t="shared" si="1"/>
        <v>0.1</v>
      </c>
      <c r="J26" t="str">
        <f t="shared" si="2"/>
        <v/>
      </c>
      <c r="K26" t="str">
        <f t="shared" si="3"/>
        <v/>
      </c>
      <c r="L26" t="str">
        <f t="shared" si="4"/>
        <v/>
      </c>
      <c r="M26" t="str">
        <f t="shared" si="5"/>
        <v/>
      </c>
      <c r="T26" t="s">
        <v>23</v>
      </c>
    </row>
    <row r="27" spans="1:31" ht="15" thickBot="1" x14ac:dyDescent="0.35">
      <c r="A27" s="4" t="s">
        <v>101</v>
      </c>
      <c r="B27" s="22">
        <v>0.15</v>
      </c>
      <c r="C27" s="22" t="s">
        <v>79</v>
      </c>
      <c r="D27" s="22">
        <v>-0.1</v>
      </c>
      <c r="E27" s="22" t="s">
        <v>79</v>
      </c>
      <c r="F27" s="22" t="s">
        <v>79</v>
      </c>
      <c r="G27" s="23"/>
      <c r="H27" t="str">
        <f t="shared" si="6"/>
        <v>Q1.25</v>
      </c>
      <c r="I27">
        <f t="shared" si="1"/>
        <v>0.15</v>
      </c>
      <c r="J27" t="str">
        <f t="shared" si="2"/>
        <v/>
      </c>
      <c r="K27">
        <f t="shared" si="3"/>
        <v>-0.1</v>
      </c>
      <c r="L27" t="str">
        <f t="shared" si="4"/>
        <v/>
      </c>
      <c r="M27" t="str">
        <f t="shared" si="5"/>
        <v/>
      </c>
      <c r="T27" t="s">
        <v>24</v>
      </c>
    </row>
    <row r="28" spans="1:31" ht="15" thickBot="1" x14ac:dyDescent="0.35">
      <c r="A28" s="4" t="s">
        <v>103</v>
      </c>
      <c r="B28" s="22">
        <v>0.28999999999999998</v>
      </c>
      <c r="C28" s="22">
        <v>0.1</v>
      </c>
      <c r="D28" s="22">
        <v>-0.17</v>
      </c>
      <c r="E28" s="22" t="s">
        <v>79</v>
      </c>
      <c r="F28" s="22" t="s">
        <v>79</v>
      </c>
      <c r="G28" s="23"/>
      <c r="H28" t="str">
        <f t="shared" si="6"/>
        <v>Q1.26</v>
      </c>
      <c r="I28">
        <f t="shared" si="1"/>
        <v>0.28999999999999998</v>
      </c>
      <c r="J28">
        <f t="shared" si="2"/>
        <v>0.1</v>
      </c>
      <c r="K28">
        <f t="shared" si="3"/>
        <v>-0.17</v>
      </c>
      <c r="L28" t="str">
        <f t="shared" si="4"/>
        <v/>
      </c>
      <c r="M28" t="str">
        <f t="shared" si="5"/>
        <v/>
      </c>
      <c r="T28" t="s">
        <v>25</v>
      </c>
    </row>
    <row r="29" spans="1:31" ht="15" thickBot="1" x14ac:dyDescent="0.35">
      <c r="A29" s="4" t="s">
        <v>95</v>
      </c>
      <c r="B29" s="22">
        <v>0.31</v>
      </c>
      <c r="C29" s="22">
        <v>0.11</v>
      </c>
      <c r="D29" s="22">
        <v>-0.22</v>
      </c>
      <c r="E29" s="22">
        <v>-0.19</v>
      </c>
      <c r="F29" s="22">
        <v>0.21</v>
      </c>
      <c r="G29" s="23"/>
      <c r="H29" t="str">
        <f t="shared" si="6"/>
        <v>Q1.27</v>
      </c>
      <c r="I29">
        <f t="shared" si="1"/>
        <v>0.31</v>
      </c>
      <c r="J29">
        <f t="shared" si="2"/>
        <v>0.11</v>
      </c>
      <c r="K29">
        <f t="shared" si="3"/>
        <v>-0.22</v>
      </c>
      <c r="L29">
        <f t="shared" si="4"/>
        <v>-0.19</v>
      </c>
      <c r="M29">
        <f t="shared" si="5"/>
        <v>0.21</v>
      </c>
      <c r="T29" t="s">
        <v>26</v>
      </c>
    </row>
    <row r="30" spans="1:31" ht="15" thickBot="1" x14ac:dyDescent="0.35">
      <c r="A30" s="4" t="s">
        <v>92</v>
      </c>
      <c r="B30" s="22">
        <v>0.25</v>
      </c>
      <c r="C30" s="22" t="s">
        <v>79</v>
      </c>
      <c r="D30" s="22">
        <v>-0.17</v>
      </c>
      <c r="E30" s="22">
        <v>-0.11</v>
      </c>
      <c r="F30" s="22" t="s">
        <v>79</v>
      </c>
      <c r="G30" s="23"/>
      <c r="H30" t="str">
        <f t="shared" si="6"/>
        <v>Q1.28</v>
      </c>
      <c r="I30">
        <f t="shared" si="1"/>
        <v>0.25</v>
      </c>
      <c r="J30" t="str">
        <f t="shared" si="2"/>
        <v/>
      </c>
      <c r="K30">
        <f t="shared" si="3"/>
        <v>-0.17</v>
      </c>
      <c r="L30">
        <f t="shared" si="4"/>
        <v>-0.11</v>
      </c>
      <c r="M30" t="str">
        <f t="shared" si="5"/>
        <v/>
      </c>
      <c r="T30" t="s">
        <v>27</v>
      </c>
    </row>
    <row r="31" spans="1:31" ht="15" thickBot="1" x14ac:dyDescent="0.35">
      <c r="A31" s="4" t="s">
        <v>113</v>
      </c>
      <c r="B31" s="22" t="s">
        <v>79</v>
      </c>
      <c r="C31" s="22" t="s">
        <v>79</v>
      </c>
      <c r="D31" s="22" t="s">
        <v>79</v>
      </c>
      <c r="E31" s="22" t="s">
        <v>79</v>
      </c>
      <c r="F31" s="22" t="s">
        <v>79</v>
      </c>
      <c r="G31" s="23"/>
      <c r="H31" t="str">
        <f t="shared" si="6"/>
        <v>Q1.29</v>
      </c>
      <c r="I31" t="str">
        <f t="shared" si="1"/>
        <v/>
      </c>
      <c r="J31" t="str">
        <f t="shared" si="2"/>
        <v/>
      </c>
      <c r="K31" t="str">
        <f t="shared" si="3"/>
        <v/>
      </c>
      <c r="L31" t="str">
        <f t="shared" si="4"/>
        <v/>
      </c>
      <c r="M31" t="str">
        <f t="shared" si="5"/>
        <v/>
      </c>
      <c r="T31" t="s">
        <v>28</v>
      </c>
    </row>
    <row r="32" spans="1:31" ht="15" thickBot="1" x14ac:dyDescent="0.35">
      <c r="A32" s="4" t="s">
        <v>147</v>
      </c>
      <c r="B32" s="22" t="s">
        <v>79</v>
      </c>
      <c r="C32" s="22" t="s">
        <v>79</v>
      </c>
      <c r="D32" s="22" t="s">
        <v>79</v>
      </c>
      <c r="E32" s="22">
        <v>-0.12</v>
      </c>
      <c r="F32" s="22" t="s">
        <v>79</v>
      </c>
      <c r="G32" s="23"/>
      <c r="H32" t="str">
        <f t="shared" si="6"/>
        <v>Q2</v>
      </c>
      <c r="I32" t="str">
        <f t="shared" si="1"/>
        <v/>
      </c>
      <c r="J32" t="str">
        <f t="shared" si="2"/>
        <v/>
      </c>
      <c r="K32" t="str">
        <f t="shared" si="3"/>
        <v/>
      </c>
      <c r="L32">
        <f t="shared" si="4"/>
        <v>-0.12</v>
      </c>
      <c r="M32" t="str">
        <f t="shared" si="5"/>
        <v/>
      </c>
      <c r="T32" t="s">
        <v>206</v>
      </c>
    </row>
    <row r="33" spans="1:20" ht="15" thickBot="1" x14ac:dyDescent="0.35">
      <c r="A33" s="4" t="s">
        <v>148</v>
      </c>
      <c r="B33" s="22" t="s">
        <v>79</v>
      </c>
      <c r="C33" s="22" t="s">
        <v>79</v>
      </c>
      <c r="D33" s="22" t="s">
        <v>79</v>
      </c>
      <c r="E33" s="22" t="s">
        <v>79</v>
      </c>
      <c r="F33" s="22" t="s">
        <v>79</v>
      </c>
      <c r="G33" s="23"/>
      <c r="H33" t="str">
        <f t="shared" si="6"/>
        <v>Q2.Cluster</v>
      </c>
      <c r="I33" t="str">
        <f t="shared" si="1"/>
        <v/>
      </c>
      <c r="J33" t="str">
        <f t="shared" si="2"/>
        <v/>
      </c>
      <c r="K33" t="str">
        <f t="shared" si="3"/>
        <v/>
      </c>
      <c r="L33" t="str">
        <f t="shared" si="4"/>
        <v/>
      </c>
      <c r="M33" t="str">
        <f t="shared" si="5"/>
        <v/>
      </c>
      <c r="T33" t="s">
        <v>206</v>
      </c>
    </row>
    <row r="34" spans="1:20" ht="15" thickBot="1" x14ac:dyDescent="0.35">
      <c r="A34" s="4" t="s">
        <v>149</v>
      </c>
      <c r="B34" s="22" t="s">
        <v>79</v>
      </c>
      <c r="C34" s="22" t="s">
        <v>79</v>
      </c>
      <c r="D34" s="22" t="s">
        <v>79</v>
      </c>
      <c r="E34" s="22" t="s">
        <v>79</v>
      </c>
      <c r="F34" s="22" t="s">
        <v>79</v>
      </c>
      <c r="G34" s="23"/>
      <c r="H34" t="str">
        <f t="shared" si="6"/>
        <v>Q3</v>
      </c>
      <c r="I34" t="str">
        <f t="shared" si="1"/>
        <v/>
      </c>
      <c r="J34" t="str">
        <f t="shared" si="2"/>
        <v/>
      </c>
      <c r="K34" t="str">
        <f t="shared" si="3"/>
        <v/>
      </c>
      <c r="L34" t="str">
        <f t="shared" si="4"/>
        <v/>
      </c>
      <c r="M34" t="str">
        <f t="shared" si="5"/>
        <v/>
      </c>
      <c r="T34" t="s">
        <v>207</v>
      </c>
    </row>
    <row r="35" spans="1:20" ht="15" thickBot="1" x14ac:dyDescent="0.35">
      <c r="A35" s="4" t="s">
        <v>150</v>
      </c>
      <c r="B35" s="22">
        <v>0.12</v>
      </c>
      <c r="C35" s="22" t="s">
        <v>79</v>
      </c>
      <c r="D35" s="22" t="s">
        <v>79</v>
      </c>
      <c r="E35" s="22" t="s">
        <v>79</v>
      </c>
      <c r="F35" s="22" t="s">
        <v>79</v>
      </c>
      <c r="G35" s="23"/>
      <c r="H35" t="str">
        <f t="shared" si="6"/>
        <v>Q4</v>
      </c>
      <c r="I35">
        <f t="shared" ref="I35:I66" si="7">IF(ISNUMBER(B35),B35,"")</f>
        <v>0.12</v>
      </c>
      <c r="J35" t="str">
        <f t="shared" ref="J35:J66" si="8">IF(ISNUMBER(C35),C35,"")</f>
        <v/>
      </c>
      <c r="K35" t="str">
        <f t="shared" ref="K35:K66" si="9">IF(ISNUMBER(D35),D35,"")</f>
        <v/>
      </c>
      <c r="L35" t="str">
        <f t="shared" ref="L35:L66" si="10">IF(ISNUMBER(E35),E35,"")</f>
        <v/>
      </c>
      <c r="M35" t="str">
        <f t="shared" ref="M35:M66" si="11">IF(ISNUMBER(F35),F35,"")</f>
        <v/>
      </c>
      <c r="T35" t="s">
        <v>208</v>
      </c>
    </row>
    <row r="36" spans="1:20" ht="15" thickBot="1" x14ac:dyDescent="0.35">
      <c r="A36" s="4" t="s">
        <v>151</v>
      </c>
      <c r="B36" s="22">
        <v>0.27</v>
      </c>
      <c r="C36" s="22">
        <v>0.11</v>
      </c>
      <c r="D36" s="22">
        <v>-0.15</v>
      </c>
      <c r="E36" s="22">
        <v>-0.1</v>
      </c>
      <c r="F36" s="22" t="s">
        <v>79</v>
      </c>
      <c r="G36" s="23"/>
      <c r="H36" t="str">
        <f t="shared" si="6"/>
        <v>Q5</v>
      </c>
      <c r="I36">
        <f t="shared" si="7"/>
        <v>0.27</v>
      </c>
      <c r="J36">
        <f t="shared" si="8"/>
        <v>0.11</v>
      </c>
      <c r="K36">
        <f t="shared" si="9"/>
        <v>-0.15</v>
      </c>
      <c r="L36">
        <f t="shared" si="10"/>
        <v>-0.1</v>
      </c>
      <c r="M36" t="str">
        <f t="shared" si="11"/>
        <v/>
      </c>
      <c r="T36" t="s">
        <v>209</v>
      </c>
    </row>
    <row r="37" spans="1:20" ht="15" thickBot="1" x14ac:dyDescent="0.35">
      <c r="A37" s="4" t="s">
        <v>152</v>
      </c>
      <c r="B37" s="22" t="s">
        <v>79</v>
      </c>
      <c r="C37" s="22" t="s">
        <v>79</v>
      </c>
      <c r="D37" s="22" t="s">
        <v>79</v>
      </c>
      <c r="E37" s="22" t="s">
        <v>79</v>
      </c>
      <c r="F37" s="22" t="s">
        <v>79</v>
      </c>
      <c r="G37" s="23"/>
      <c r="H37" t="str">
        <f t="shared" si="6"/>
        <v>Q6</v>
      </c>
      <c r="I37" t="str">
        <f t="shared" si="7"/>
        <v/>
      </c>
      <c r="J37" t="str">
        <f t="shared" si="8"/>
        <v/>
      </c>
      <c r="K37" t="str">
        <f t="shared" si="9"/>
        <v/>
      </c>
      <c r="L37" t="str">
        <f t="shared" si="10"/>
        <v/>
      </c>
      <c r="M37" t="str">
        <f t="shared" si="11"/>
        <v/>
      </c>
      <c r="T37" t="s">
        <v>210</v>
      </c>
    </row>
    <row r="38" spans="1:20" ht="15" thickBot="1" x14ac:dyDescent="0.35">
      <c r="A38" s="4" t="s">
        <v>153</v>
      </c>
      <c r="B38" s="22">
        <v>0.11</v>
      </c>
      <c r="C38" s="22" t="s">
        <v>79</v>
      </c>
      <c r="D38" s="22" t="s">
        <v>79</v>
      </c>
      <c r="E38" s="22">
        <v>-0.1</v>
      </c>
      <c r="F38" s="22" t="s">
        <v>79</v>
      </c>
      <c r="G38" s="23"/>
      <c r="H38" t="str">
        <f t="shared" si="6"/>
        <v>Q7.1</v>
      </c>
      <c r="I38">
        <f t="shared" si="7"/>
        <v>0.11</v>
      </c>
      <c r="J38" t="str">
        <f t="shared" si="8"/>
        <v/>
      </c>
      <c r="K38" t="str">
        <f t="shared" si="9"/>
        <v/>
      </c>
      <c r="L38">
        <f t="shared" si="10"/>
        <v>-0.1</v>
      </c>
      <c r="M38" t="str">
        <f t="shared" si="11"/>
        <v/>
      </c>
      <c r="T38" t="s">
        <v>211</v>
      </c>
    </row>
    <row r="39" spans="1:20" ht="15" thickBot="1" x14ac:dyDescent="0.35">
      <c r="A39" s="4" t="s">
        <v>154</v>
      </c>
      <c r="B39" s="22" t="s">
        <v>79</v>
      </c>
      <c r="C39" s="22" t="s">
        <v>79</v>
      </c>
      <c r="D39" s="22" t="s">
        <v>79</v>
      </c>
      <c r="E39" s="22" t="s">
        <v>79</v>
      </c>
      <c r="F39" s="22" t="s">
        <v>79</v>
      </c>
      <c r="G39" s="23"/>
      <c r="H39" t="str">
        <f t="shared" si="6"/>
        <v>Q7.2</v>
      </c>
      <c r="I39" t="str">
        <f t="shared" si="7"/>
        <v/>
      </c>
      <c r="J39" t="str">
        <f t="shared" si="8"/>
        <v/>
      </c>
      <c r="K39" t="str">
        <f t="shared" si="9"/>
        <v/>
      </c>
      <c r="L39" t="str">
        <f t="shared" si="10"/>
        <v/>
      </c>
      <c r="M39" t="str">
        <f t="shared" si="11"/>
        <v/>
      </c>
      <c r="T39" t="s">
        <v>212</v>
      </c>
    </row>
    <row r="40" spans="1:20" ht="15" thickBot="1" x14ac:dyDescent="0.35">
      <c r="A40" s="4" t="s">
        <v>155</v>
      </c>
      <c r="B40" s="22" t="s">
        <v>79</v>
      </c>
      <c r="C40" s="22" t="s">
        <v>79</v>
      </c>
      <c r="D40" s="22" t="s">
        <v>79</v>
      </c>
      <c r="E40" s="22" t="s">
        <v>79</v>
      </c>
      <c r="F40" s="22" t="s">
        <v>79</v>
      </c>
      <c r="G40" s="23"/>
      <c r="H40" t="str">
        <f t="shared" si="6"/>
        <v>Q7.3</v>
      </c>
      <c r="I40" t="str">
        <f t="shared" si="7"/>
        <v/>
      </c>
      <c r="J40" t="str">
        <f t="shared" si="8"/>
        <v/>
      </c>
      <c r="K40" t="str">
        <f t="shared" si="9"/>
        <v/>
      </c>
      <c r="L40" t="str">
        <f t="shared" si="10"/>
        <v/>
      </c>
      <c r="M40" t="str">
        <f t="shared" si="11"/>
        <v/>
      </c>
      <c r="T40" t="s">
        <v>213</v>
      </c>
    </row>
    <row r="41" spans="1:20" ht="15" thickBot="1" x14ac:dyDescent="0.35">
      <c r="A41" s="4" t="s">
        <v>156</v>
      </c>
      <c r="B41" s="22" t="s">
        <v>79</v>
      </c>
      <c r="C41" s="22" t="s">
        <v>79</v>
      </c>
      <c r="D41" s="22" t="s">
        <v>79</v>
      </c>
      <c r="E41" s="22" t="s">
        <v>79</v>
      </c>
      <c r="F41" s="22" t="s">
        <v>79</v>
      </c>
      <c r="G41" s="23"/>
      <c r="H41" t="str">
        <f t="shared" si="6"/>
        <v>Q7.4</v>
      </c>
      <c r="I41" t="str">
        <f t="shared" si="7"/>
        <v/>
      </c>
      <c r="J41" t="str">
        <f t="shared" si="8"/>
        <v/>
      </c>
      <c r="K41" t="str">
        <f t="shared" si="9"/>
        <v/>
      </c>
      <c r="L41" t="str">
        <f t="shared" si="10"/>
        <v/>
      </c>
      <c r="M41" t="str">
        <f t="shared" si="11"/>
        <v/>
      </c>
      <c r="T41" t="s">
        <v>214</v>
      </c>
    </row>
    <row r="42" spans="1:20" ht="15" thickBot="1" x14ac:dyDescent="0.35">
      <c r="A42" s="4" t="s">
        <v>157</v>
      </c>
      <c r="B42" s="22" t="s">
        <v>79</v>
      </c>
      <c r="C42" s="22" t="s">
        <v>79</v>
      </c>
      <c r="D42" s="22" t="s">
        <v>79</v>
      </c>
      <c r="E42" s="22" t="s">
        <v>79</v>
      </c>
      <c r="F42" s="22" t="s">
        <v>79</v>
      </c>
      <c r="G42" s="23"/>
      <c r="H42" t="str">
        <f t="shared" si="6"/>
        <v>Q8</v>
      </c>
      <c r="I42" t="str">
        <f t="shared" si="7"/>
        <v/>
      </c>
      <c r="J42" t="str">
        <f t="shared" si="8"/>
        <v/>
      </c>
      <c r="K42" t="str">
        <f t="shared" si="9"/>
        <v/>
      </c>
      <c r="L42" t="str">
        <f t="shared" si="10"/>
        <v/>
      </c>
      <c r="M42" t="str">
        <f t="shared" si="11"/>
        <v/>
      </c>
      <c r="T42" t="s">
        <v>215</v>
      </c>
    </row>
    <row r="43" spans="1:20" ht="15" thickBot="1" x14ac:dyDescent="0.35">
      <c r="A43" s="4" t="s">
        <v>158</v>
      </c>
      <c r="B43" s="22" t="s">
        <v>79</v>
      </c>
      <c r="C43" s="22" t="s">
        <v>79</v>
      </c>
      <c r="D43" s="22" t="s">
        <v>79</v>
      </c>
      <c r="E43" s="22" t="s">
        <v>79</v>
      </c>
      <c r="F43" s="22" t="s">
        <v>79</v>
      </c>
      <c r="G43" s="23"/>
      <c r="H43" t="str">
        <f t="shared" si="6"/>
        <v>Q9.1</v>
      </c>
      <c r="I43" t="str">
        <f t="shared" si="7"/>
        <v/>
      </c>
      <c r="J43" t="str">
        <f t="shared" si="8"/>
        <v/>
      </c>
      <c r="K43" t="str">
        <f t="shared" si="9"/>
        <v/>
      </c>
      <c r="L43" t="str">
        <f t="shared" si="10"/>
        <v/>
      </c>
      <c r="M43" t="str">
        <f t="shared" si="11"/>
        <v/>
      </c>
      <c r="T43" t="s">
        <v>216</v>
      </c>
    </row>
    <row r="44" spans="1:20" ht="15" thickBot="1" x14ac:dyDescent="0.35">
      <c r="A44" s="4" t="s">
        <v>159</v>
      </c>
      <c r="B44" s="22">
        <v>0.1</v>
      </c>
      <c r="C44" s="22" t="s">
        <v>79</v>
      </c>
      <c r="D44" s="22" t="s">
        <v>79</v>
      </c>
      <c r="E44" s="22" t="s">
        <v>79</v>
      </c>
      <c r="F44" s="22" t="s">
        <v>79</v>
      </c>
      <c r="G44" s="23"/>
      <c r="H44" t="str">
        <f t="shared" si="6"/>
        <v>Q9.2</v>
      </c>
      <c r="I44">
        <f t="shared" si="7"/>
        <v>0.1</v>
      </c>
      <c r="J44" t="str">
        <f t="shared" si="8"/>
        <v/>
      </c>
      <c r="K44" t="str">
        <f t="shared" si="9"/>
        <v/>
      </c>
      <c r="L44" t="str">
        <f t="shared" si="10"/>
        <v/>
      </c>
      <c r="M44" t="str">
        <f t="shared" si="11"/>
        <v/>
      </c>
      <c r="T44" t="s">
        <v>217</v>
      </c>
    </row>
    <row r="45" spans="1:20" ht="15" thickBot="1" x14ac:dyDescent="0.35">
      <c r="A45" s="4" t="s">
        <v>160</v>
      </c>
      <c r="B45" s="22" t="s">
        <v>79</v>
      </c>
      <c r="C45" s="22" t="s">
        <v>79</v>
      </c>
      <c r="D45" s="22" t="s">
        <v>79</v>
      </c>
      <c r="E45" s="22" t="s">
        <v>79</v>
      </c>
      <c r="F45" s="22" t="s">
        <v>79</v>
      </c>
      <c r="G45" s="23"/>
      <c r="H45" t="str">
        <f t="shared" si="6"/>
        <v>Q9.3</v>
      </c>
      <c r="I45" t="str">
        <f t="shared" si="7"/>
        <v/>
      </c>
      <c r="J45" t="str">
        <f t="shared" si="8"/>
        <v/>
      </c>
      <c r="K45" t="str">
        <f t="shared" si="9"/>
        <v/>
      </c>
      <c r="L45" t="str">
        <f t="shared" si="10"/>
        <v/>
      </c>
      <c r="M45" t="str">
        <f t="shared" si="11"/>
        <v/>
      </c>
      <c r="T45" t="s">
        <v>218</v>
      </c>
    </row>
    <row r="46" spans="1:20" ht="15" thickBot="1" x14ac:dyDescent="0.35">
      <c r="A46" s="4" t="s">
        <v>161</v>
      </c>
      <c r="B46" s="22">
        <v>0.14000000000000001</v>
      </c>
      <c r="C46" s="22" t="s">
        <v>79</v>
      </c>
      <c r="D46" s="22">
        <v>-0.11</v>
      </c>
      <c r="E46" s="22" t="s">
        <v>79</v>
      </c>
      <c r="F46" s="22" t="s">
        <v>79</v>
      </c>
      <c r="G46" s="23"/>
      <c r="H46" t="str">
        <f t="shared" si="6"/>
        <v>Q9.4</v>
      </c>
      <c r="I46">
        <f t="shared" si="7"/>
        <v>0.14000000000000001</v>
      </c>
      <c r="J46" t="str">
        <f t="shared" si="8"/>
        <v/>
      </c>
      <c r="K46">
        <f t="shared" si="9"/>
        <v>-0.11</v>
      </c>
      <c r="L46" t="str">
        <f t="shared" si="10"/>
        <v/>
      </c>
      <c r="M46" t="str">
        <f t="shared" si="11"/>
        <v/>
      </c>
      <c r="T46" t="s">
        <v>219</v>
      </c>
    </row>
    <row r="47" spans="1:20" ht="15" thickBot="1" x14ac:dyDescent="0.35">
      <c r="A47" s="4" t="s">
        <v>162</v>
      </c>
      <c r="B47" s="22">
        <v>0.11</v>
      </c>
      <c r="C47" s="22" t="s">
        <v>79</v>
      </c>
      <c r="D47" s="22">
        <v>-0.11</v>
      </c>
      <c r="E47" s="22" t="s">
        <v>79</v>
      </c>
      <c r="F47" s="22" t="s">
        <v>79</v>
      </c>
      <c r="G47" s="23"/>
      <c r="H47" t="str">
        <f t="shared" si="6"/>
        <v>Q9.5</v>
      </c>
      <c r="I47">
        <f t="shared" si="7"/>
        <v>0.11</v>
      </c>
      <c r="J47" t="str">
        <f t="shared" si="8"/>
        <v/>
      </c>
      <c r="K47">
        <f t="shared" si="9"/>
        <v>-0.11</v>
      </c>
      <c r="L47" t="str">
        <f t="shared" si="10"/>
        <v/>
      </c>
      <c r="M47" t="str">
        <f t="shared" si="11"/>
        <v/>
      </c>
      <c r="T47" t="s">
        <v>220</v>
      </c>
    </row>
    <row r="48" spans="1:20" ht="15" thickBot="1" x14ac:dyDescent="0.35">
      <c r="A48" s="4" t="s">
        <v>163</v>
      </c>
      <c r="B48" s="22" t="s">
        <v>79</v>
      </c>
      <c r="C48" s="22" t="s">
        <v>79</v>
      </c>
      <c r="D48" s="22">
        <v>-0.11</v>
      </c>
      <c r="E48" s="22" t="s">
        <v>79</v>
      </c>
      <c r="F48" s="22">
        <v>0.16</v>
      </c>
      <c r="G48" s="23"/>
      <c r="H48" t="str">
        <f t="shared" si="6"/>
        <v>Q10</v>
      </c>
      <c r="I48" t="str">
        <f t="shared" si="7"/>
        <v/>
      </c>
      <c r="J48" t="str">
        <f t="shared" si="8"/>
        <v/>
      </c>
      <c r="K48">
        <f t="shared" si="9"/>
        <v>-0.11</v>
      </c>
      <c r="L48" t="str">
        <f t="shared" si="10"/>
        <v/>
      </c>
      <c r="M48">
        <f t="shared" si="11"/>
        <v>0.16</v>
      </c>
      <c r="T48" t="s">
        <v>221</v>
      </c>
    </row>
    <row r="49" spans="1:20" ht="15" thickBot="1" x14ac:dyDescent="0.35">
      <c r="A49" s="4" t="s">
        <v>164</v>
      </c>
      <c r="B49" s="22" t="s">
        <v>79</v>
      </c>
      <c r="C49" s="22" t="s">
        <v>79</v>
      </c>
      <c r="D49" s="22" t="s">
        <v>79</v>
      </c>
      <c r="E49" s="22" t="s">
        <v>79</v>
      </c>
      <c r="F49" s="22" t="s">
        <v>79</v>
      </c>
      <c r="G49" s="23"/>
      <c r="H49" t="str">
        <f t="shared" si="6"/>
        <v>Q11</v>
      </c>
      <c r="I49" t="str">
        <f t="shared" si="7"/>
        <v/>
      </c>
      <c r="J49" t="str">
        <f t="shared" si="8"/>
        <v/>
      </c>
      <c r="K49" t="str">
        <f t="shared" si="9"/>
        <v/>
      </c>
      <c r="L49" t="str">
        <f t="shared" si="10"/>
        <v/>
      </c>
      <c r="M49" t="str">
        <f t="shared" si="11"/>
        <v/>
      </c>
    </row>
    <row r="50" spans="1:20" ht="15" thickBot="1" x14ac:dyDescent="0.35">
      <c r="A50" s="4" t="s">
        <v>165</v>
      </c>
      <c r="B50" s="22" t="s">
        <v>79</v>
      </c>
      <c r="C50" s="22" t="s">
        <v>79</v>
      </c>
      <c r="D50" s="22" t="s">
        <v>79</v>
      </c>
      <c r="E50" s="22" t="s">
        <v>79</v>
      </c>
      <c r="F50" s="22" t="s">
        <v>79</v>
      </c>
      <c r="G50" s="23"/>
      <c r="H50" t="str">
        <f t="shared" si="6"/>
        <v>Q12</v>
      </c>
      <c r="I50" t="str">
        <f t="shared" si="7"/>
        <v/>
      </c>
      <c r="J50" t="str">
        <f t="shared" si="8"/>
        <v/>
      </c>
      <c r="K50" t="str">
        <f t="shared" si="9"/>
        <v/>
      </c>
      <c r="L50" t="str">
        <f t="shared" si="10"/>
        <v/>
      </c>
      <c r="M50" t="str">
        <f t="shared" si="11"/>
        <v/>
      </c>
      <c r="T50" t="s">
        <v>233</v>
      </c>
    </row>
    <row r="51" spans="1:20" ht="15" thickBot="1" x14ac:dyDescent="0.35">
      <c r="A51" s="4" t="s">
        <v>166</v>
      </c>
      <c r="B51" s="22">
        <v>0.15</v>
      </c>
      <c r="C51" s="22" t="s">
        <v>79</v>
      </c>
      <c r="D51" s="22" t="s">
        <v>79</v>
      </c>
      <c r="E51" s="22" t="s">
        <v>79</v>
      </c>
      <c r="F51" s="22" t="s">
        <v>79</v>
      </c>
      <c r="G51" s="23"/>
      <c r="H51" t="str">
        <f t="shared" si="6"/>
        <v>Q13</v>
      </c>
      <c r="I51">
        <f t="shared" si="7"/>
        <v>0.15</v>
      </c>
      <c r="J51" t="str">
        <f t="shared" si="8"/>
        <v/>
      </c>
      <c r="K51" t="str">
        <f t="shared" si="9"/>
        <v/>
      </c>
      <c r="L51" t="str">
        <f t="shared" si="10"/>
        <v/>
      </c>
      <c r="M51" t="str">
        <f t="shared" si="11"/>
        <v/>
      </c>
      <c r="T51" t="s">
        <v>222</v>
      </c>
    </row>
    <row r="52" spans="1:20" ht="15" thickBot="1" x14ac:dyDescent="0.35">
      <c r="A52" s="4" t="s">
        <v>167</v>
      </c>
      <c r="B52" s="22">
        <v>-0.17</v>
      </c>
      <c r="C52" s="22" t="s">
        <v>79</v>
      </c>
      <c r="D52" s="22">
        <v>0.1</v>
      </c>
      <c r="E52" s="22" t="s">
        <v>79</v>
      </c>
      <c r="F52" s="22" t="s">
        <v>79</v>
      </c>
      <c r="G52" s="23"/>
      <c r="H52" t="str">
        <f t="shared" si="6"/>
        <v>Q14</v>
      </c>
      <c r="I52">
        <f t="shared" si="7"/>
        <v>-0.17</v>
      </c>
      <c r="J52" t="str">
        <f t="shared" si="8"/>
        <v/>
      </c>
      <c r="K52">
        <f t="shared" si="9"/>
        <v>0.1</v>
      </c>
      <c r="L52" t="str">
        <f t="shared" si="10"/>
        <v/>
      </c>
      <c r="M52" t="str">
        <f t="shared" si="11"/>
        <v/>
      </c>
      <c r="T52" t="s">
        <v>223</v>
      </c>
    </row>
    <row r="53" spans="1:20" ht="15" thickBot="1" x14ac:dyDescent="0.35">
      <c r="A53" s="4" t="s">
        <v>168</v>
      </c>
      <c r="B53" s="22">
        <v>-0.17</v>
      </c>
      <c r="C53" s="22" t="s">
        <v>79</v>
      </c>
      <c r="D53" s="22">
        <v>0.11</v>
      </c>
      <c r="E53" s="22" t="s">
        <v>79</v>
      </c>
      <c r="F53" s="22" t="s">
        <v>79</v>
      </c>
      <c r="G53" s="23"/>
      <c r="H53" t="str">
        <f t="shared" si="6"/>
        <v>Q15</v>
      </c>
      <c r="I53">
        <f t="shared" si="7"/>
        <v>-0.17</v>
      </c>
      <c r="J53" t="str">
        <f t="shared" si="8"/>
        <v/>
      </c>
      <c r="K53">
        <f t="shared" si="9"/>
        <v>0.11</v>
      </c>
      <c r="L53" t="str">
        <f t="shared" si="10"/>
        <v/>
      </c>
      <c r="M53" t="str">
        <f t="shared" si="11"/>
        <v/>
      </c>
      <c r="T53" t="s">
        <v>224</v>
      </c>
    </row>
    <row r="54" spans="1:20" ht="15" thickBot="1" x14ac:dyDescent="0.35">
      <c r="A54" s="4" t="s">
        <v>169</v>
      </c>
      <c r="B54" s="22" t="s">
        <v>79</v>
      </c>
      <c r="C54" s="22" t="s">
        <v>79</v>
      </c>
      <c r="D54" s="22" t="s">
        <v>79</v>
      </c>
      <c r="E54" s="22" t="s">
        <v>79</v>
      </c>
      <c r="F54" s="22" t="s">
        <v>79</v>
      </c>
      <c r="G54" s="23"/>
      <c r="H54" t="str">
        <f t="shared" si="6"/>
        <v>Q16</v>
      </c>
      <c r="I54" t="str">
        <f t="shared" si="7"/>
        <v/>
      </c>
      <c r="J54" t="str">
        <f t="shared" si="8"/>
        <v/>
      </c>
      <c r="K54" t="str">
        <f t="shared" si="9"/>
        <v/>
      </c>
      <c r="L54" t="str">
        <f t="shared" si="10"/>
        <v/>
      </c>
      <c r="M54" t="str">
        <f t="shared" si="11"/>
        <v/>
      </c>
    </row>
    <row r="55" spans="1:20" ht="15" thickBot="1" x14ac:dyDescent="0.35">
      <c r="A55" s="4" t="s">
        <v>170</v>
      </c>
      <c r="B55" s="22" t="s">
        <v>79</v>
      </c>
      <c r="C55" s="22" t="s">
        <v>79</v>
      </c>
      <c r="D55" s="22" t="s">
        <v>79</v>
      </c>
      <c r="E55" s="22" t="s">
        <v>79</v>
      </c>
      <c r="F55" s="22" t="s">
        <v>79</v>
      </c>
      <c r="G55" s="23"/>
      <c r="H55" t="str">
        <f t="shared" si="6"/>
        <v>Q16.1</v>
      </c>
      <c r="I55" t="str">
        <f t="shared" si="7"/>
        <v/>
      </c>
      <c r="J55" t="str">
        <f t="shared" si="8"/>
        <v/>
      </c>
      <c r="K55" t="str">
        <f t="shared" si="9"/>
        <v/>
      </c>
      <c r="L55" t="str">
        <f t="shared" si="10"/>
        <v/>
      </c>
      <c r="M55" t="str">
        <f t="shared" si="11"/>
        <v/>
      </c>
    </row>
    <row r="56" spans="1:20" ht="15" thickBot="1" x14ac:dyDescent="0.35">
      <c r="A56" s="4" t="s">
        <v>171</v>
      </c>
      <c r="B56" s="22">
        <v>0.12</v>
      </c>
      <c r="C56" s="22" t="s">
        <v>79</v>
      </c>
      <c r="D56" s="22" t="s">
        <v>79</v>
      </c>
      <c r="E56" s="22" t="s">
        <v>79</v>
      </c>
      <c r="F56" s="22" t="s">
        <v>79</v>
      </c>
      <c r="G56" s="23"/>
      <c r="H56" t="str">
        <f t="shared" si="6"/>
        <v>Q16.2</v>
      </c>
      <c r="I56">
        <f t="shared" si="7"/>
        <v>0.12</v>
      </c>
      <c r="J56" t="str">
        <f t="shared" si="8"/>
        <v/>
      </c>
      <c r="K56" t="str">
        <f t="shared" si="9"/>
        <v/>
      </c>
      <c r="L56" t="str">
        <f t="shared" si="10"/>
        <v/>
      </c>
      <c r="M56" t="str">
        <f t="shared" si="11"/>
        <v/>
      </c>
      <c r="T56" t="s">
        <v>225</v>
      </c>
    </row>
    <row r="57" spans="1:20" ht="15" thickBot="1" x14ac:dyDescent="0.35">
      <c r="A57" s="4" t="s">
        <v>172</v>
      </c>
      <c r="B57" s="22">
        <v>0.11</v>
      </c>
      <c r="C57" s="22" t="s">
        <v>79</v>
      </c>
      <c r="D57" s="22" t="s">
        <v>79</v>
      </c>
      <c r="E57" s="22" t="s">
        <v>79</v>
      </c>
      <c r="F57" s="22" t="s">
        <v>79</v>
      </c>
      <c r="G57" s="23"/>
      <c r="H57" t="str">
        <f t="shared" si="6"/>
        <v>Q16.3</v>
      </c>
      <c r="I57">
        <f t="shared" si="7"/>
        <v>0.11</v>
      </c>
      <c r="J57" t="str">
        <f t="shared" si="8"/>
        <v/>
      </c>
      <c r="K57" t="str">
        <f t="shared" si="9"/>
        <v/>
      </c>
      <c r="L57" t="str">
        <f t="shared" si="10"/>
        <v/>
      </c>
      <c r="M57" t="str">
        <f t="shared" si="11"/>
        <v/>
      </c>
    </row>
    <row r="58" spans="1:20" ht="15" thickBot="1" x14ac:dyDescent="0.35">
      <c r="A58" s="4" t="s">
        <v>173</v>
      </c>
      <c r="B58" s="22">
        <v>0.11</v>
      </c>
      <c r="C58" s="22" t="s">
        <v>79</v>
      </c>
      <c r="D58" s="22" t="s">
        <v>79</v>
      </c>
      <c r="E58" s="22" t="s">
        <v>79</v>
      </c>
      <c r="F58" s="22" t="s">
        <v>79</v>
      </c>
      <c r="G58" s="23"/>
      <c r="H58" t="str">
        <f t="shared" si="6"/>
        <v>Q16.4</v>
      </c>
      <c r="I58">
        <f t="shared" si="7"/>
        <v>0.11</v>
      </c>
      <c r="J58" t="str">
        <f t="shared" si="8"/>
        <v/>
      </c>
      <c r="K58" t="str">
        <f t="shared" si="9"/>
        <v/>
      </c>
      <c r="L58" t="str">
        <f t="shared" si="10"/>
        <v/>
      </c>
      <c r="M58" t="str">
        <f t="shared" si="11"/>
        <v/>
      </c>
    </row>
    <row r="59" spans="1:20" ht="15" thickBot="1" x14ac:dyDescent="0.35">
      <c r="A59" s="4" t="s">
        <v>174</v>
      </c>
      <c r="B59" s="22" t="s">
        <v>79</v>
      </c>
      <c r="C59" s="22" t="s">
        <v>79</v>
      </c>
      <c r="D59" s="22" t="s">
        <v>79</v>
      </c>
      <c r="E59" s="22" t="s">
        <v>79</v>
      </c>
      <c r="F59" s="22" t="s">
        <v>79</v>
      </c>
      <c r="G59" s="23"/>
      <c r="H59" t="str">
        <f t="shared" si="6"/>
        <v>Q16.5</v>
      </c>
      <c r="I59" t="str">
        <f t="shared" si="7"/>
        <v/>
      </c>
      <c r="J59" t="str">
        <f t="shared" si="8"/>
        <v/>
      </c>
      <c r="K59" t="str">
        <f t="shared" si="9"/>
        <v/>
      </c>
      <c r="L59" t="str">
        <f t="shared" si="10"/>
        <v/>
      </c>
      <c r="M59" t="str">
        <f t="shared" si="11"/>
        <v/>
      </c>
    </row>
    <row r="60" spans="1:20" ht="15" thickBot="1" x14ac:dyDescent="0.35">
      <c r="A60" s="4" t="s">
        <v>175</v>
      </c>
      <c r="B60" s="22">
        <v>0.1</v>
      </c>
      <c r="C60" s="22" t="s">
        <v>79</v>
      </c>
      <c r="D60" s="22" t="s">
        <v>79</v>
      </c>
      <c r="E60" s="22" t="s">
        <v>79</v>
      </c>
      <c r="F60" s="22" t="s">
        <v>79</v>
      </c>
      <c r="G60" s="23"/>
      <c r="H60" t="str">
        <f t="shared" si="6"/>
        <v>Q16.6</v>
      </c>
      <c r="I60">
        <f t="shared" si="7"/>
        <v>0.1</v>
      </c>
      <c r="J60" t="str">
        <f t="shared" si="8"/>
        <v/>
      </c>
      <c r="K60" t="str">
        <f t="shared" si="9"/>
        <v/>
      </c>
      <c r="L60" t="str">
        <f t="shared" si="10"/>
        <v/>
      </c>
      <c r="M60" t="str">
        <f t="shared" si="11"/>
        <v/>
      </c>
    </row>
    <row r="61" spans="1:20" ht="15" thickBot="1" x14ac:dyDescent="0.35">
      <c r="A61" s="4" t="s">
        <v>176</v>
      </c>
      <c r="B61" s="22" t="s">
        <v>79</v>
      </c>
      <c r="C61" s="22" t="s">
        <v>79</v>
      </c>
      <c r="D61" s="22" t="s">
        <v>79</v>
      </c>
      <c r="E61" s="22" t="s">
        <v>79</v>
      </c>
      <c r="F61" s="22" t="s">
        <v>79</v>
      </c>
      <c r="G61" s="23"/>
      <c r="H61" t="str">
        <f t="shared" si="6"/>
        <v>Q16.7</v>
      </c>
      <c r="I61" t="str">
        <f t="shared" si="7"/>
        <v/>
      </c>
      <c r="J61" t="str">
        <f t="shared" si="8"/>
        <v/>
      </c>
      <c r="K61" t="str">
        <f t="shared" si="9"/>
        <v/>
      </c>
      <c r="L61" t="str">
        <f t="shared" si="10"/>
        <v/>
      </c>
      <c r="M61" t="str">
        <f t="shared" si="11"/>
        <v/>
      </c>
    </row>
    <row r="62" spans="1:20" ht="15" thickBot="1" x14ac:dyDescent="0.35">
      <c r="A62" s="4" t="s">
        <v>177</v>
      </c>
      <c r="B62" s="22" t="s">
        <v>79</v>
      </c>
      <c r="C62" s="22" t="s">
        <v>79</v>
      </c>
      <c r="D62" s="22" t="s">
        <v>79</v>
      </c>
      <c r="E62" s="22" t="s">
        <v>79</v>
      </c>
      <c r="F62" s="22" t="s">
        <v>79</v>
      </c>
      <c r="G62" s="23"/>
      <c r="H62" t="str">
        <f t="shared" si="6"/>
        <v>Q16.8</v>
      </c>
      <c r="I62" t="str">
        <f t="shared" si="7"/>
        <v/>
      </c>
      <c r="J62" t="str">
        <f t="shared" si="8"/>
        <v/>
      </c>
      <c r="K62" t="str">
        <f t="shared" si="9"/>
        <v/>
      </c>
      <c r="L62" t="str">
        <f t="shared" si="10"/>
        <v/>
      </c>
      <c r="M62" t="str">
        <f t="shared" si="11"/>
        <v/>
      </c>
    </row>
    <row r="63" spans="1:20" ht="15" thickBot="1" x14ac:dyDescent="0.35">
      <c r="A63" s="4" t="s">
        <v>178</v>
      </c>
      <c r="B63" s="22" t="s">
        <v>79</v>
      </c>
      <c r="C63" s="22" t="s">
        <v>79</v>
      </c>
      <c r="D63" s="22" t="s">
        <v>79</v>
      </c>
      <c r="E63" s="22" t="s">
        <v>79</v>
      </c>
      <c r="F63" s="22" t="s">
        <v>79</v>
      </c>
      <c r="G63" s="23"/>
      <c r="H63" t="str">
        <f t="shared" si="6"/>
        <v>Q16.9</v>
      </c>
      <c r="I63" t="str">
        <f t="shared" si="7"/>
        <v/>
      </c>
      <c r="J63" t="str">
        <f t="shared" si="8"/>
        <v/>
      </c>
      <c r="K63" t="str">
        <f t="shared" si="9"/>
        <v/>
      </c>
      <c r="L63" t="str">
        <f t="shared" si="10"/>
        <v/>
      </c>
      <c r="M63" t="str">
        <f t="shared" si="11"/>
        <v/>
      </c>
    </row>
    <row r="64" spans="1:20" ht="15" thickBot="1" x14ac:dyDescent="0.35">
      <c r="A64" s="4" t="s">
        <v>179</v>
      </c>
      <c r="B64" s="22" t="s">
        <v>79</v>
      </c>
      <c r="C64" s="22" t="s">
        <v>79</v>
      </c>
      <c r="D64" s="22" t="s">
        <v>79</v>
      </c>
      <c r="E64" s="22" t="s">
        <v>79</v>
      </c>
      <c r="F64" s="22" t="s">
        <v>79</v>
      </c>
      <c r="G64" s="23"/>
      <c r="H64" t="str">
        <f t="shared" si="6"/>
        <v>Q16.10</v>
      </c>
      <c r="I64" t="str">
        <f t="shared" si="7"/>
        <v/>
      </c>
      <c r="J64" t="str">
        <f t="shared" si="8"/>
        <v/>
      </c>
      <c r="K64" t="str">
        <f t="shared" si="9"/>
        <v/>
      </c>
      <c r="L64" t="str">
        <f t="shared" si="10"/>
        <v/>
      </c>
      <c r="M64" t="str">
        <f t="shared" si="11"/>
        <v/>
      </c>
    </row>
    <row r="65" spans="1:20" ht="15" thickBot="1" x14ac:dyDescent="0.35">
      <c r="A65" s="4" t="s">
        <v>180</v>
      </c>
      <c r="B65" s="22">
        <v>0.11</v>
      </c>
      <c r="C65" s="22" t="s">
        <v>79</v>
      </c>
      <c r="D65" s="22" t="s">
        <v>79</v>
      </c>
      <c r="E65" s="22" t="s">
        <v>79</v>
      </c>
      <c r="F65" s="22" t="s">
        <v>79</v>
      </c>
      <c r="G65" s="23"/>
      <c r="H65" t="str">
        <f t="shared" si="6"/>
        <v>Q16.11</v>
      </c>
      <c r="I65">
        <f t="shared" si="7"/>
        <v>0.11</v>
      </c>
      <c r="J65" t="str">
        <f t="shared" si="8"/>
        <v/>
      </c>
      <c r="K65" t="str">
        <f t="shared" si="9"/>
        <v/>
      </c>
      <c r="L65" t="str">
        <f t="shared" si="10"/>
        <v/>
      </c>
      <c r="M65" t="str">
        <f t="shared" si="11"/>
        <v/>
      </c>
    </row>
    <row r="66" spans="1:20" ht="15" thickBot="1" x14ac:dyDescent="0.35">
      <c r="A66" s="4" t="s">
        <v>181</v>
      </c>
      <c r="B66" s="22" t="s">
        <v>79</v>
      </c>
      <c r="C66" s="22" t="s">
        <v>79</v>
      </c>
      <c r="D66" s="22" t="s">
        <v>79</v>
      </c>
      <c r="E66" s="22" t="s">
        <v>79</v>
      </c>
      <c r="F66" s="22" t="s">
        <v>79</v>
      </c>
      <c r="G66" s="23"/>
      <c r="H66" t="str">
        <f t="shared" si="6"/>
        <v>Q16.12</v>
      </c>
      <c r="I66" t="str">
        <f t="shared" si="7"/>
        <v/>
      </c>
      <c r="J66" t="str">
        <f t="shared" si="8"/>
        <v/>
      </c>
      <c r="K66" t="str">
        <f t="shared" si="9"/>
        <v/>
      </c>
      <c r="L66" t="str">
        <f t="shared" si="10"/>
        <v/>
      </c>
      <c r="M66" t="str">
        <f t="shared" si="11"/>
        <v/>
      </c>
    </row>
    <row r="67" spans="1:20" ht="15" thickBot="1" x14ac:dyDescent="0.35">
      <c r="A67" s="4" t="s">
        <v>182</v>
      </c>
      <c r="B67" s="22">
        <v>0.13</v>
      </c>
      <c r="C67" s="22" t="s">
        <v>79</v>
      </c>
      <c r="D67" s="22" t="s">
        <v>79</v>
      </c>
      <c r="E67" s="22" t="s">
        <v>79</v>
      </c>
      <c r="F67" s="22" t="s">
        <v>79</v>
      </c>
      <c r="G67" s="23"/>
      <c r="H67" t="str">
        <f t="shared" si="6"/>
        <v>Q16.13</v>
      </c>
      <c r="I67">
        <f t="shared" ref="I67:I83" si="12">IF(ISNUMBER(B67),B67,"")</f>
        <v>0.13</v>
      </c>
      <c r="J67" t="str">
        <f t="shared" ref="J67:J83" si="13">IF(ISNUMBER(C67),C67,"")</f>
        <v/>
      </c>
      <c r="K67" t="str">
        <f t="shared" ref="K67:K83" si="14">IF(ISNUMBER(D67),D67,"")</f>
        <v/>
      </c>
      <c r="L67" t="str">
        <f t="shared" ref="L67:L83" si="15">IF(ISNUMBER(E67),E67,"")</f>
        <v/>
      </c>
      <c r="M67" t="str">
        <f t="shared" ref="M67:M83" si="16">IF(ISNUMBER(F67),F67,"")</f>
        <v/>
      </c>
      <c r="T67" t="s">
        <v>226</v>
      </c>
    </row>
    <row r="68" spans="1:20" ht="15" thickBot="1" x14ac:dyDescent="0.35">
      <c r="A68" s="4" t="s">
        <v>183</v>
      </c>
      <c r="B68" s="22">
        <v>0.12</v>
      </c>
      <c r="C68" s="22" t="s">
        <v>79</v>
      </c>
      <c r="D68" s="22" t="s">
        <v>79</v>
      </c>
      <c r="E68" s="22" t="s">
        <v>79</v>
      </c>
      <c r="F68" s="22" t="s">
        <v>79</v>
      </c>
      <c r="G68" s="23"/>
      <c r="H68" t="str">
        <f t="shared" ref="H68:H83" si="17">A68</f>
        <v>Q16.14</v>
      </c>
      <c r="I68">
        <f t="shared" si="12"/>
        <v>0.12</v>
      </c>
      <c r="J68" t="str">
        <f t="shared" si="13"/>
        <v/>
      </c>
      <c r="K68" t="str">
        <f t="shared" si="14"/>
        <v/>
      </c>
      <c r="L68" t="str">
        <f t="shared" si="15"/>
        <v/>
      </c>
      <c r="M68" t="str">
        <f t="shared" si="16"/>
        <v/>
      </c>
      <c r="T68" t="s">
        <v>227</v>
      </c>
    </row>
    <row r="69" spans="1:20" ht="15" thickBot="1" x14ac:dyDescent="0.35">
      <c r="A69" s="4" t="s">
        <v>184</v>
      </c>
      <c r="B69" s="22">
        <v>0.1</v>
      </c>
      <c r="C69" s="22" t="s">
        <v>79</v>
      </c>
      <c r="D69" s="22" t="s">
        <v>79</v>
      </c>
      <c r="E69" s="22" t="s">
        <v>79</v>
      </c>
      <c r="F69" s="22" t="s">
        <v>79</v>
      </c>
      <c r="G69" s="23"/>
      <c r="H69" t="str">
        <f t="shared" si="17"/>
        <v>Q16.15</v>
      </c>
      <c r="I69">
        <f t="shared" si="12"/>
        <v>0.1</v>
      </c>
      <c r="J69" t="str">
        <f t="shared" si="13"/>
        <v/>
      </c>
      <c r="K69" t="str">
        <f t="shared" si="14"/>
        <v/>
      </c>
      <c r="L69" t="str">
        <f t="shared" si="15"/>
        <v/>
      </c>
      <c r="M69" t="str">
        <f t="shared" si="16"/>
        <v/>
      </c>
    </row>
    <row r="70" spans="1:20" ht="15" thickBot="1" x14ac:dyDescent="0.35">
      <c r="A70" s="4" t="s">
        <v>185</v>
      </c>
      <c r="B70" s="22">
        <v>0.12</v>
      </c>
      <c r="C70" s="22" t="s">
        <v>79</v>
      </c>
      <c r="D70" s="22" t="s">
        <v>79</v>
      </c>
      <c r="E70" s="22" t="s">
        <v>79</v>
      </c>
      <c r="F70" s="22" t="s">
        <v>79</v>
      </c>
      <c r="G70" s="23"/>
      <c r="H70" t="str">
        <f t="shared" si="17"/>
        <v>Q16.16</v>
      </c>
      <c r="I70">
        <f t="shared" si="12"/>
        <v>0.12</v>
      </c>
      <c r="J70" t="str">
        <f t="shared" si="13"/>
        <v/>
      </c>
      <c r="K70" t="str">
        <f t="shared" si="14"/>
        <v/>
      </c>
      <c r="L70" t="str">
        <f t="shared" si="15"/>
        <v/>
      </c>
      <c r="M70" t="str">
        <f t="shared" si="16"/>
        <v/>
      </c>
      <c r="T70" t="s">
        <v>228</v>
      </c>
    </row>
    <row r="71" spans="1:20" ht="15" thickBot="1" x14ac:dyDescent="0.35">
      <c r="A71" s="4" t="s">
        <v>186</v>
      </c>
      <c r="B71" s="22" t="s">
        <v>79</v>
      </c>
      <c r="C71" s="22" t="s">
        <v>79</v>
      </c>
      <c r="D71" s="22" t="s">
        <v>79</v>
      </c>
      <c r="E71" s="22" t="s">
        <v>79</v>
      </c>
      <c r="F71" s="22" t="s">
        <v>79</v>
      </c>
      <c r="G71" s="23"/>
      <c r="H71" t="str">
        <f t="shared" si="17"/>
        <v>Q16.17</v>
      </c>
      <c r="I71" t="str">
        <f t="shared" si="12"/>
        <v/>
      </c>
      <c r="J71" t="str">
        <f t="shared" si="13"/>
        <v/>
      </c>
      <c r="K71" t="str">
        <f t="shared" si="14"/>
        <v/>
      </c>
      <c r="L71" t="str">
        <f t="shared" si="15"/>
        <v/>
      </c>
      <c r="M71" t="str">
        <f t="shared" si="16"/>
        <v/>
      </c>
    </row>
    <row r="72" spans="1:20" ht="15" thickBot="1" x14ac:dyDescent="0.35">
      <c r="A72" s="4" t="s">
        <v>187</v>
      </c>
      <c r="B72" s="22" t="s">
        <v>79</v>
      </c>
      <c r="C72" s="22" t="s">
        <v>79</v>
      </c>
      <c r="D72" s="22" t="s">
        <v>79</v>
      </c>
      <c r="E72" s="22" t="s">
        <v>79</v>
      </c>
      <c r="F72" s="22" t="s">
        <v>79</v>
      </c>
      <c r="G72" s="23"/>
      <c r="H72" t="str">
        <f t="shared" si="17"/>
        <v>Q16.18</v>
      </c>
      <c r="I72" t="str">
        <f t="shared" si="12"/>
        <v/>
      </c>
      <c r="J72" t="str">
        <f t="shared" si="13"/>
        <v/>
      </c>
      <c r="K72" t="str">
        <f t="shared" si="14"/>
        <v/>
      </c>
      <c r="L72" t="str">
        <f t="shared" si="15"/>
        <v/>
      </c>
      <c r="M72" t="str">
        <f t="shared" si="16"/>
        <v/>
      </c>
    </row>
    <row r="73" spans="1:20" ht="15" thickBot="1" x14ac:dyDescent="0.35">
      <c r="A73" s="4" t="s">
        <v>188</v>
      </c>
      <c r="B73" s="22" t="s">
        <v>79</v>
      </c>
      <c r="C73" s="22" t="s">
        <v>79</v>
      </c>
      <c r="D73" s="22" t="s">
        <v>79</v>
      </c>
      <c r="E73" s="22" t="s">
        <v>79</v>
      </c>
      <c r="F73" s="22" t="s">
        <v>79</v>
      </c>
      <c r="G73" s="23"/>
      <c r="H73" t="str">
        <f t="shared" si="17"/>
        <v>Q16.19</v>
      </c>
      <c r="I73" t="str">
        <f t="shared" si="12"/>
        <v/>
      </c>
      <c r="J73" t="str">
        <f t="shared" si="13"/>
        <v/>
      </c>
      <c r="K73" t="str">
        <f t="shared" si="14"/>
        <v/>
      </c>
      <c r="L73" t="str">
        <f t="shared" si="15"/>
        <v/>
      </c>
      <c r="M73" t="str">
        <f t="shared" si="16"/>
        <v/>
      </c>
    </row>
    <row r="74" spans="1:20" ht="15" thickBot="1" x14ac:dyDescent="0.35">
      <c r="A74" s="4" t="s">
        <v>189</v>
      </c>
      <c r="B74" s="22" t="s">
        <v>79</v>
      </c>
      <c r="C74" s="22" t="s">
        <v>79</v>
      </c>
      <c r="D74" s="22" t="s">
        <v>79</v>
      </c>
      <c r="E74" s="22" t="s">
        <v>79</v>
      </c>
      <c r="F74" s="22" t="s">
        <v>79</v>
      </c>
      <c r="G74" s="23"/>
      <c r="H74" t="str">
        <f t="shared" si="17"/>
        <v>Q16.20</v>
      </c>
      <c r="I74" t="str">
        <f t="shared" si="12"/>
        <v/>
      </c>
      <c r="J74" t="str">
        <f t="shared" si="13"/>
        <v/>
      </c>
      <c r="K74" t="str">
        <f t="shared" si="14"/>
        <v/>
      </c>
      <c r="L74" t="str">
        <f t="shared" si="15"/>
        <v/>
      </c>
      <c r="M74" t="str">
        <f t="shared" si="16"/>
        <v/>
      </c>
    </row>
    <row r="75" spans="1:20" ht="15" thickBot="1" x14ac:dyDescent="0.35">
      <c r="A75" s="4" t="s">
        <v>190</v>
      </c>
      <c r="B75" s="22" t="s">
        <v>79</v>
      </c>
      <c r="C75" s="22" t="s">
        <v>79</v>
      </c>
      <c r="D75" s="22" t="s">
        <v>79</v>
      </c>
      <c r="E75" s="22" t="s">
        <v>79</v>
      </c>
      <c r="F75" s="22" t="s">
        <v>79</v>
      </c>
      <c r="G75" s="23"/>
      <c r="H75" t="str">
        <f t="shared" si="17"/>
        <v>Q16.21</v>
      </c>
      <c r="I75" t="str">
        <f t="shared" si="12"/>
        <v/>
      </c>
      <c r="J75" t="str">
        <f t="shared" si="13"/>
        <v/>
      </c>
      <c r="K75" t="str">
        <f t="shared" si="14"/>
        <v/>
      </c>
      <c r="L75" t="str">
        <f t="shared" si="15"/>
        <v/>
      </c>
      <c r="M75" t="str">
        <f t="shared" si="16"/>
        <v/>
      </c>
    </row>
    <row r="76" spans="1:20" ht="15" thickBot="1" x14ac:dyDescent="0.35">
      <c r="A76" s="4" t="s">
        <v>191</v>
      </c>
      <c r="B76" s="22" t="s">
        <v>79</v>
      </c>
      <c r="C76" s="22" t="s">
        <v>79</v>
      </c>
      <c r="D76" s="22" t="s">
        <v>79</v>
      </c>
      <c r="E76" s="22" t="s">
        <v>79</v>
      </c>
      <c r="F76" s="22" t="s">
        <v>79</v>
      </c>
      <c r="G76" s="23"/>
      <c r="H76" t="str">
        <f t="shared" si="17"/>
        <v>Q16.22</v>
      </c>
      <c r="I76" t="str">
        <f t="shared" si="12"/>
        <v/>
      </c>
      <c r="J76" t="str">
        <f t="shared" si="13"/>
        <v/>
      </c>
      <c r="K76" t="str">
        <f t="shared" si="14"/>
        <v/>
      </c>
      <c r="L76" t="str">
        <f t="shared" si="15"/>
        <v/>
      </c>
      <c r="M76" t="str">
        <f t="shared" si="16"/>
        <v/>
      </c>
    </row>
    <row r="77" spans="1:20" ht="15" thickBot="1" x14ac:dyDescent="0.35">
      <c r="A77" s="4" t="s">
        <v>192</v>
      </c>
      <c r="B77" s="22" t="s">
        <v>79</v>
      </c>
      <c r="C77" s="22" t="s">
        <v>79</v>
      </c>
      <c r="D77" s="22" t="s">
        <v>79</v>
      </c>
      <c r="E77" s="22" t="s">
        <v>79</v>
      </c>
      <c r="F77" s="22" t="s">
        <v>79</v>
      </c>
      <c r="G77" s="23"/>
      <c r="H77" t="str">
        <f t="shared" si="17"/>
        <v>Q16.23</v>
      </c>
      <c r="I77" t="str">
        <f t="shared" si="12"/>
        <v/>
      </c>
      <c r="J77" t="str">
        <f t="shared" si="13"/>
        <v/>
      </c>
      <c r="K77" t="str">
        <f t="shared" si="14"/>
        <v/>
      </c>
      <c r="L77" t="str">
        <f t="shared" si="15"/>
        <v/>
      </c>
      <c r="M77" t="str">
        <f t="shared" si="16"/>
        <v/>
      </c>
    </row>
    <row r="78" spans="1:20" ht="15" thickBot="1" x14ac:dyDescent="0.35">
      <c r="A78" s="4" t="s">
        <v>193</v>
      </c>
      <c r="B78" s="22" t="s">
        <v>79</v>
      </c>
      <c r="C78" s="22" t="s">
        <v>79</v>
      </c>
      <c r="D78" s="22" t="s">
        <v>79</v>
      </c>
      <c r="E78" s="22" t="s">
        <v>79</v>
      </c>
      <c r="F78" s="22" t="s">
        <v>79</v>
      </c>
      <c r="G78" s="23"/>
      <c r="H78" t="str">
        <f t="shared" si="17"/>
        <v>Q16.24</v>
      </c>
      <c r="I78" t="str">
        <f t="shared" si="12"/>
        <v/>
      </c>
      <c r="J78" t="str">
        <f t="shared" si="13"/>
        <v/>
      </c>
      <c r="K78" t="str">
        <f t="shared" si="14"/>
        <v/>
      </c>
      <c r="L78" t="str">
        <f t="shared" si="15"/>
        <v/>
      </c>
      <c r="M78" t="str">
        <f t="shared" si="16"/>
        <v/>
      </c>
    </row>
    <row r="79" spans="1:20" ht="15" thickBot="1" x14ac:dyDescent="0.35">
      <c r="A79" s="4" t="s">
        <v>194</v>
      </c>
      <c r="B79" s="22">
        <v>0.11</v>
      </c>
      <c r="C79" s="22" t="s">
        <v>79</v>
      </c>
      <c r="D79" s="22" t="s">
        <v>79</v>
      </c>
      <c r="E79" s="22" t="s">
        <v>79</v>
      </c>
      <c r="F79" s="22" t="s">
        <v>79</v>
      </c>
      <c r="G79" s="23"/>
      <c r="H79" t="str">
        <f t="shared" si="17"/>
        <v>Q16.25</v>
      </c>
      <c r="I79">
        <f t="shared" si="12"/>
        <v>0.11</v>
      </c>
      <c r="J79" t="str">
        <f t="shared" si="13"/>
        <v/>
      </c>
      <c r="K79" t="str">
        <f t="shared" si="14"/>
        <v/>
      </c>
      <c r="L79" t="str">
        <f t="shared" si="15"/>
        <v/>
      </c>
      <c r="M79" t="str">
        <f t="shared" si="16"/>
        <v/>
      </c>
      <c r="T79" t="s">
        <v>229</v>
      </c>
    </row>
    <row r="80" spans="1:20" ht="15" thickBot="1" x14ac:dyDescent="0.35">
      <c r="A80" s="4" t="s">
        <v>195</v>
      </c>
      <c r="B80" s="22" t="s">
        <v>79</v>
      </c>
      <c r="C80" s="22" t="s">
        <v>79</v>
      </c>
      <c r="D80" s="22" t="s">
        <v>79</v>
      </c>
      <c r="E80" s="22" t="s">
        <v>79</v>
      </c>
      <c r="F80" s="22" t="s">
        <v>79</v>
      </c>
      <c r="G80" s="23"/>
      <c r="H80" t="str">
        <f t="shared" si="17"/>
        <v>Q16.26</v>
      </c>
      <c r="I80" t="str">
        <f t="shared" si="12"/>
        <v/>
      </c>
      <c r="J80" t="str">
        <f t="shared" si="13"/>
        <v/>
      </c>
      <c r="K80" t="str">
        <f t="shared" si="14"/>
        <v/>
      </c>
      <c r="L80" t="str">
        <f t="shared" si="15"/>
        <v/>
      </c>
      <c r="M80" t="str">
        <f t="shared" si="16"/>
        <v/>
      </c>
    </row>
    <row r="81" spans="1:20" ht="15" thickBot="1" x14ac:dyDescent="0.35">
      <c r="A81" s="4" t="s">
        <v>196</v>
      </c>
      <c r="B81" s="22">
        <v>0.13</v>
      </c>
      <c r="C81" s="22" t="s">
        <v>79</v>
      </c>
      <c r="D81" s="22" t="s">
        <v>79</v>
      </c>
      <c r="E81" s="22" t="s">
        <v>79</v>
      </c>
      <c r="F81" s="22" t="s">
        <v>79</v>
      </c>
      <c r="G81" s="23"/>
      <c r="H81" t="str">
        <f t="shared" si="17"/>
        <v>Q16.27</v>
      </c>
      <c r="I81">
        <f t="shared" si="12"/>
        <v>0.13</v>
      </c>
      <c r="J81" t="str">
        <f t="shared" si="13"/>
        <v/>
      </c>
      <c r="K81" t="str">
        <f t="shared" si="14"/>
        <v/>
      </c>
      <c r="L81" t="str">
        <f t="shared" si="15"/>
        <v/>
      </c>
      <c r="M81" t="str">
        <f t="shared" si="16"/>
        <v/>
      </c>
      <c r="T81" t="s">
        <v>230</v>
      </c>
    </row>
    <row r="82" spans="1:20" ht="15" thickBot="1" x14ac:dyDescent="0.35">
      <c r="A82" s="4" t="s">
        <v>197</v>
      </c>
      <c r="B82" s="22">
        <v>0.38</v>
      </c>
      <c r="C82" s="22" t="s">
        <v>79</v>
      </c>
      <c r="D82" s="22">
        <v>-0.22</v>
      </c>
      <c r="E82" s="22" t="s">
        <v>79</v>
      </c>
      <c r="F82" s="22" t="s">
        <v>79</v>
      </c>
      <c r="G82" s="23"/>
      <c r="H82" t="str">
        <f t="shared" si="17"/>
        <v>Q17</v>
      </c>
      <c r="I82">
        <f t="shared" si="12"/>
        <v>0.38</v>
      </c>
      <c r="J82" t="str">
        <f t="shared" si="13"/>
        <v/>
      </c>
      <c r="K82">
        <f t="shared" si="14"/>
        <v>-0.22</v>
      </c>
      <c r="L82" t="str">
        <f t="shared" si="15"/>
        <v/>
      </c>
      <c r="M82" t="str">
        <f t="shared" si="16"/>
        <v/>
      </c>
      <c r="T82" t="s">
        <v>231</v>
      </c>
    </row>
    <row r="83" spans="1:20" ht="15" thickBot="1" x14ac:dyDescent="0.35">
      <c r="A83" s="4" t="s">
        <v>198</v>
      </c>
      <c r="B83" s="22">
        <v>-0.2</v>
      </c>
      <c r="C83" s="22" t="s">
        <v>79</v>
      </c>
      <c r="D83" s="22">
        <v>0.11</v>
      </c>
      <c r="E83" s="22">
        <v>0.11</v>
      </c>
      <c r="F83" s="22" t="s">
        <v>79</v>
      </c>
      <c r="G83" s="23"/>
      <c r="H83" t="str">
        <f t="shared" si="17"/>
        <v>Q18</v>
      </c>
      <c r="I83">
        <f t="shared" si="12"/>
        <v>-0.2</v>
      </c>
      <c r="J83" t="str">
        <f t="shared" si="13"/>
        <v/>
      </c>
      <c r="K83">
        <f t="shared" si="14"/>
        <v>0.11</v>
      </c>
      <c r="L83">
        <f t="shared" si="15"/>
        <v>0.11</v>
      </c>
      <c r="M83" t="str">
        <f t="shared" si="16"/>
        <v/>
      </c>
      <c r="T83" t="s">
        <v>232</v>
      </c>
    </row>
  </sheetData>
  <conditionalFormatting sqref="I3:I83">
    <cfRule type="colorScale" priority="2">
      <colorScale>
        <cfvo type="min"/>
        <cfvo type="percentile" val="50"/>
        <cfvo type="max"/>
        <color rgb="FFF8696B"/>
        <color rgb="FFFFEB84"/>
        <color rgb="FF63BE7B"/>
      </colorScale>
    </cfRule>
  </conditionalFormatting>
  <conditionalFormatting sqref="N3:S83">
    <cfRule type="colorScale" priority="1">
      <colorScale>
        <cfvo type="min"/>
        <cfvo type="percentile" val="50"/>
        <cfvo type="max"/>
        <color rgb="FFF8696B"/>
        <color rgb="FFFFEB84"/>
        <color rgb="FF63BE7B"/>
      </colorScale>
    </cfRule>
  </conditionalFormatting>
  <conditionalFormatting sqref="J3:M83">
    <cfRule type="colorScale" priority="3">
      <colorScale>
        <cfvo type="min"/>
        <cfvo type="percentile" val="50"/>
        <cfvo type="max"/>
        <color rgb="FFF8696B"/>
        <color rgb="FFFFEB84"/>
        <color rgb="FF63BE7B"/>
      </colorScale>
    </cfRule>
  </conditionalFormatting>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C79CE-86FA-496F-95F7-CBCC9B2EF9DA}">
  <sheetPr>
    <tabColor theme="5"/>
  </sheetPr>
  <dimension ref="A1:AE83"/>
  <sheetViews>
    <sheetView workbookViewId="0">
      <selection activeCell="M3" sqref="M3"/>
    </sheetView>
  </sheetViews>
  <sheetFormatPr defaultRowHeight="14.4" x14ac:dyDescent="0.3"/>
  <cols>
    <col min="1" max="1" width="17.33203125" bestFit="1" customWidth="1"/>
    <col min="10" max="13" width="8.88671875" customWidth="1"/>
    <col min="14" max="19" width="8.88671875" hidden="1" customWidth="1"/>
  </cols>
  <sheetData>
    <row r="1" spans="1:31" ht="21" x14ac:dyDescent="0.4">
      <c r="A1" s="25" t="s">
        <v>247</v>
      </c>
      <c r="B1" s="15" t="s">
        <v>205</v>
      </c>
      <c r="I1" s="15" t="s">
        <v>205</v>
      </c>
    </row>
    <row r="2" spans="1:31" x14ac:dyDescent="0.3">
      <c r="B2" s="12" t="s">
        <v>199</v>
      </c>
      <c r="C2" s="12" t="s">
        <v>200</v>
      </c>
      <c r="D2" s="12" t="s">
        <v>201</v>
      </c>
      <c r="E2" s="12" t="s">
        <v>202</v>
      </c>
      <c r="F2" s="12" t="s">
        <v>203</v>
      </c>
      <c r="G2" s="12"/>
      <c r="I2" s="12" t="s">
        <v>280</v>
      </c>
      <c r="J2" s="12" t="s">
        <v>281</v>
      </c>
      <c r="K2" s="12" t="s">
        <v>268</v>
      </c>
      <c r="L2" s="12" t="s">
        <v>248</v>
      </c>
      <c r="M2" s="12" t="s">
        <v>262</v>
      </c>
      <c r="N2" s="12" t="str">
        <f>I2</f>
        <v>Passion &amp; status</v>
      </c>
      <c r="O2" s="12" t="str">
        <f>J2</f>
        <v>Status only</v>
      </c>
      <c r="P2" s="12" t="str">
        <f>K2</f>
        <v>Older guys</v>
      </c>
      <c r="Q2" s="12" t="str">
        <f>L2</f>
        <v>cheapos beginners</v>
      </c>
      <c r="R2" s="12" t="str">
        <f>M2</f>
        <v>Experts</v>
      </c>
      <c r="S2" s="12" t="e">
        <f>#REF!</f>
        <v>#REF!</v>
      </c>
      <c r="AB2" s="12" t="s">
        <v>241</v>
      </c>
    </row>
    <row r="3" spans="1:31" ht="15" thickBot="1" x14ac:dyDescent="0.35">
      <c r="A3" s="4" t="s">
        <v>115</v>
      </c>
      <c r="B3" s="22" t="s">
        <v>79</v>
      </c>
      <c r="C3" s="22" t="s">
        <v>79</v>
      </c>
      <c r="D3" s="22" t="s">
        <v>79</v>
      </c>
      <c r="E3" s="22" t="s">
        <v>79</v>
      </c>
      <c r="F3" s="22" t="s">
        <v>79</v>
      </c>
      <c r="G3" s="23"/>
      <c r="H3" t="str">
        <f>A3</f>
        <v>Q1.1</v>
      </c>
      <c r="T3" t="s">
        <v>0</v>
      </c>
      <c r="AB3" t="s">
        <v>234</v>
      </c>
    </row>
    <row r="4" spans="1:31" ht="15" thickBot="1" x14ac:dyDescent="0.35">
      <c r="A4" s="4" t="s">
        <v>119</v>
      </c>
      <c r="B4" s="22">
        <v>-0.28999999999999998</v>
      </c>
      <c r="C4" s="22">
        <v>-0.12</v>
      </c>
      <c r="D4" s="22" t="s">
        <v>79</v>
      </c>
      <c r="E4" s="22">
        <v>0.39</v>
      </c>
      <c r="F4" s="22" t="s">
        <v>79</v>
      </c>
      <c r="G4" s="23"/>
      <c r="H4" t="str">
        <f t="shared" ref="H4:H67" si="0">A4</f>
        <v>Q1.2</v>
      </c>
      <c r="I4">
        <f t="shared" ref="I4:I35" si="1">IF(ISNUMBER(B4),B4,"")</f>
        <v>-0.28999999999999998</v>
      </c>
      <c r="J4">
        <f t="shared" ref="J4:J35" si="2">IF(ISNUMBER(C4),C4,"")</f>
        <v>-0.12</v>
      </c>
      <c r="K4" t="str">
        <f t="shared" ref="K4:K35" si="3">IF(ISNUMBER(D4),D4,"")</f>
        <v/>
      </c>
      <c r="L4">
        <f t="shared" ref="L4:L35" si="4">IF(ISNUMBER(E4),E4,"")</f>
        <v>0.39</v>
      </c>
      <c r="M4" t="str">
        <f t="shared" ref="M4:M35" si="5">IF(ISNUMBER(F4),F4,"")</f>
        <v/>
      </c>
      <c r="T4" t="s">
        <v>1</v>
      </c>
      <c r="AB4" t="s">
        <v>235</v>
      </c>
    </row>
    <row r="5" spans="1:31" ht="15" thickBot="1" x14ac:dyDescent="0.35">
      <c r="A5" s="4" t="s">
        <v>96</v>
      </c>
      <c r="B5" s="22">
        <v>0.17</v>
      </c>
      <c r="C5" s="22" t="s">
        <v>79</v>
      </c>
      <c r="D5" s="22">
        <v>-0.2</v>
      </c>
      <c r="E5" s="22">
        <v>0.12</v>
      </c>
      <c r="F5" s="22">
        <v>-0.2</v>
      </c>
      <c r="G5" s="23"/>
      <c r="H5" t="str">
        <f t="shared" si="0"/>
        <v>Q1.3</v>
      </c>
      <c r="I5">
        <f t="shared" si="1"/>
        <v>0.17</v>
      </c>
      <c r="J5" t="str">
        <f t="shared" si="2"/>
        <v/>
      </c>
      <c r="K5">
        <f t="shared" si="3"/>
        <v>-0.2</v>
      </c>
      <c r="L5">
        <f t="shared" si="4"/>
        <v>0.12</v>
      </c>
      <c r="M5">
        <f t="shared" si="5"/>
        <v>-0.2</v>
      </c>
      <c r="T5" t="s">
        <v>2</v>
      </c>
      <c r="AB5" t="s">
        <v>236</v>
      </c>
    </row>
    <row r="6" spans="1:31" ht="15" thickBot="1" x14ac:dyDescent="0.35">
      <c r="A6" s="4" t="s">
        <v>114</v>
      </c>
      <c r="B6" s="22" t="s">
        <v>79</v>
      </c>
      <c r="C6" s="22" t="s">
        <v>79</v>
      </c>
      <c r="D6" s="22" t="s">
        <v>79</v>
      </c>
      <c r="E6" s="22" t="s">
        <v>79</v>
      </c>
      <c r="F6" s="22" t="s">
        <v>79</v>
      </c>
      <c r="G6" s="23"/>
      <c r="H6" t="str">
        <f t="shared" si="0"/>
        <v>Q1.4</v>
      </c>
      <c r="I6" t="str">
        <f t="shared" si="1"/>
        <v/>
      </c>
      <c r="J6" t="str">
        <f t="shared" si="2"/>
        <v/>
      </c>
      <c r="K6" t="str">
        <f t="shared" si="3"/>
        <v/>
      </c>
      <c r="L6" t="str">
        <f t="shared" si="4"/>
        <v/>
      </c>
      <c r="M6" t="str">
        <f t="shared" si="5"/>
        <v/>
      </c>
      <c r="T6" t="s">
        <v>3</v>
      </c>
      <c r="AB6" t="s">
        <v>237</v>
      </c>
    </row>
    <row r="7" spans="1:31" ht="15" thickBot="1" x14ac:dyDescent="0.35">
      <c r="A7" s="4" t="s">
        <v>108</v>
      </c>
      <c r="B7" s="22">
        <v>0.12</v>
      </c>
      <c r="C7" s="22" t="s">
        <v>79</v>
      </c>
      <c r="D7" s="22" t="s">
        <v>79</v>
      </c>
      <c r="E7" s="22" t="s">
        <v>79</v>
      </c>
      <c r="F7" s="22">
        <v>-0.1</v>
      </c>
      <c r="G7" s="23"/>
      <c r="H7" t="str">
        <f t="shared" si="0"/>
        <v>Q1.5</v>
      </c>
      <c r="I7">
        <f t="shared" si="1"/>
        <v>0.12</v>
      </c>
      <c r="J7" t="str">
        <f t="shared" si="2"/>
        <v/>
      </c>
      <c r="K7" t="str">
        <f t="shared" si="3"/>
        <v/>
      </c>
      <c r="L7" t="str">
        <f t="shared" si="4"/>
        <v/>
      </c>
      <c r="M7">
        <f t="shared" si="5"/>
        <v>-0.1</v>
      </c>
      <c r="T7" t="s">
        <v>4</v>
      </c>
      <c r="AB7" t="s">
        <v>238</v>
      </c>
    </row>
    <row r="8" spans="1:31" ht="15" thickBot="1" x14ac:dyDescent="0.35">
      <c r="A8" s="4" t="s">
        <v>102</v>
      </c>
      <c r="B8" s="22" t="s">
        <v>79</v>
      </c>
      <c r="C8" s="22" t="s">
        <v>79</v>
      </c>
      <c r="D8" s="22">
        <v>-0.1</v>
      </c>
      <c r="E8" s="22" t="s">
        <v>79</v>
      </c>
      <c r="F8" s="22" t="s">
        <v>79</v>
      </c>
      <c r="G8" s="23"/>
      <c r="H8" t="str">
        <f t="shared" si="0"/>
        <v>Q1.6</v>
      </c>
      <c r="I8" t="str">
        <f t="shared" si="1"/>
        <v/>
      </c>
      <c r="J8" t="str">
        <f t="shared" si="2"/>
        <v/>
      </c>
      <c r="K8">
        <f t="shared" si="3"/>
        <v>-0.1</v>
      </c>
      <c r="L8" t="str">
        <f t="shared" si="4"/>
        <v/>
      </c>
      <c r="M8" t="str">
        <f t="shared" si="5"/>
        <v/>
      </c>
      <c r="T8" t="s">
        <v>5</v>
      </c>
      <c r="AB8" t="s">
        <v>239</v>
      </c>
    </row>
    <row r="9" spans="1:31" ht="15" thickBot="1" x14ac:dyDescent="0.35">
      <c r="A9" s="4" t="s">
        <v>97</v>
      </c>
      <c r="B9" s="22">
        <v>0.11</v>
      </c>
      <c r="C9" s="22" t="s">
        <v>79</v>
      </c>
      <c r="D9" s="22">
        <v>-0.14000000000000001</v>
      </c>
      <c r="E9" s="22" t="s">
        <v>79</v>
      </c>
      <c r="F9" s="22">
        <v>-0.12</v>
      </c>
      <c r="G9" s="23"/>
      <c r="H9" t="str">
        <f t="shared" si="0"/>
        <v>Q1.7</v>
      </c>
      <c r="I9">
        <f t="shared" si="1"/>
        <v>0.11</v>
      </c>
      <c r="J9" t="str">
        <f t="shared" si="2"/>
        <v/>
      </c>
      <c r="K9">
        <f t="shared" si="3"/>
        <v>-0.14000000000000001</v>
      </c>
      <c r="L9" t="str">
        <f t="shared" si="4"/>
        <v/>
      </c>
      <c r="M9">
        <f t="shared" si="5"/>
        <v>-0.12</v>
      </c>
      <c r="T9" t="s">
        <v>6</v>
      </c>
      <c r="AB9" t="s">
        <v>240</v>
      </c>
    </row>
    <row r="10" spans="1:31" ht="15" thickBot="1" x14ac:dyDescent="0.35">
      <c r="A10" s="4" t="s">
        <v>118</v>
      </c>
      <c r="B10" s="22" t="s">
        <v>79</v>
      </c>
      <c r="C10" s="22" t="s">
        <v>79</v>
      </c>
      <c r="D10" s="22" t="s">
        <v>79</v>
      </c>
      <c r="E10" s="22" t="s">
        <v>79</v>
      </c>
      <c r="F10" s="22" t="s">
        <v>79</v>
      </c>
      <c r="G10" s="23"/>
      <c r="H10" t="str">
        <f t="shared" si="0"/>
        <v>Q1.8</v>
      </c>
      <c r="I10" t="str">
        <f t="shared" si="1"/>
        <v/>
      </c>
      <c r="J10" t="str">
        <f t="shared" si="2"/>
        <v/>
      </c>
      <c r="K10" t="str">
        <f t="shared" si="3"/>
        <v/>
      </c>
      <c r="L10" t="str">
        <f t="shared" si="4"/>
        <v/>
      </c>
      <c r="M10" t="str">
        <f t="shared" si="5"/>
        <v/>
      </c>
      <c r="T10" t="s">
        <v>7</v>
      </c>
    </row>
    <row r="11" spans="1:31" ht="15" thickBot="1" x14ac:dyDescent="0.35">
      <c r="A11" s="4" t="s">
        <v>104</v>
      </c>
      <c r="B11" s="22">
        <v>0.23</v>
      </c>
      <c r="C11" s="22">
        <v>0.15</v>
      </c>
      <c r="D11" s="22">
        <v>-0.34</v>
      </c>
      <c r="E11" s="22">
        <v>0.23</v>
      </c>
      <c r="F11" s="22">
        <v>-0.39</v>
      </c>
      <c r="G11" s="23"/>
      <c r="H11" t="str">
        <f t="shared" si="0"/>
        <v>Q1.9</v>
      </c>
      <c r="I11">
        <f t="shared" si="1"/>
        <v>0.23</v>
      </c>
      <c r="J11">
        <f t="shared" si="2"/>
        <v>0.15</v>
      </c>
      <c r="K11">
        <f t="shared" si="3"/>
        <v>-0.34</v>
      </c>
      <c r="L11">
        <f t="shared" si="4"/>
        <v>0.23</v>
      </c>
      <c r="M11">
        <f t="shared" si="5"/>
        <v>-0.39</v>
      </c>
      <c r="T11" t="s">
        <v>8</v>
      </c>
      <c r="AE11" s="12" t="s">
        <v>244</v>
      </c>
    </row>
    <row r="12" spans="1:31" ht="15" thickBot="1" x14ac:dyDescent="0.35">
      <c r="A12" s="4" t="s">
        <v>117</v>
      </c>
      <c r="B12" s="22">
        <v>-0.11</v>
      </c>
      <c r="C12" s="22" t="s">
        <v>79</v>
      </c>
      <c r="D12" s="22">
        <v>0.13</v>
      </c>
      <c r="E12" s="22">
        <v>0.12</v>
      </c>
      <c r="F12" s="22">
        <v>-0.28000000000000003</v>
      </c>
      <c r="G12" s="23"/>
      <c r="H12" t="str">
        <f t="shared" si="0"/>
        <v>Q1.10</v>
      </c>
      <c r="I12">
        <f t="shared" si="1"/>
        <v>-0.11</v>
      </c>
      <c r="J12" t="str">
        <f t="shared" si="2"/>
        <v/>
      </c>
      <c r="K12">
        <f t="shared" si="3"/>
        <v>0.13</v>
      </c>
      <c r="L12">
        <f t="shared" si="4"/>
        <v>0.12</v>
      </c>
      <c r="M12">
        <f t="shared" si="5"/>
        <v>-0.28000000000000003</v>
      </c>
      <c r="T12" t="s">
        <v>9</v>
      </c>
      <c r="AB12">
        <v>21</v>
      </c>
      <c r="AC12" s="24" t="s">
        <v>20</v>
      </c>
      <c r="AE12" t="s">
        <v>128</v>
      </c>
    </row>
    <row r="13" spans="1:31" ht="15" thickBot="1" x14ac:dyDescent="0.35">
      <c r="A13" s="4" t="s">
        <v>116</v>
      </c>
      <c r="B13" s="22" t="s">
        <v>79</v>
      </c>
      <c r="C13" s="22" t="s">
        <v>79</v>
      </c>
      <c r="D13" s="22" t="s">
        <v>79</v>
      </c>
      <c r="E13" s="22" t="s">
        <v>79</v>
      </c>
      <c r="F13" s="22" t="s">
        <v>79</v>
      </c>
      <c r="G13" s="23"/>
      <c r="H13" t="str">
        <f t="shared" si="0"/>
        <v>Q1.11</v>
      </c>
      <c r="I13" t="str">
        <f t="shared" si="1"/>
        <v/>
      </c>
      <c r="J13" t="str">
        <f t="shared" si="2"/>
        <v/>
      </c>
      <c r="K13" t="str">
        <f t="shared" si="3"/>
        <v/>
      </c>
      <c r="L13" t="str">
        <f t="shared" si="4"/>
        <v/>
      </c>
      <c r="M13" t="str">
        <f t="shared" si="5"/>
        <v/>
      </c>
      <c r="T13" t="s">
        <v>10</v>
      </c>
      <c r="AB13">
        <v>9</v>
      </c>
      <c r="AC13" s="24" t="s">
        <v>8</v>
      </c>
      <c r="AE13" t="s">
        <v>242</v>
      </c>
    </row>
    <row r="14" spans="1:31" ht="15" thickBot="1" x14ac:dyDescent="0.35">
      <c r="A14" s="4" t="s">
        <v>120</v>
      </c>
      <c r="B14" s="22">
        <v>-0.16</v>
      </c>
      <c r="C14" s="22" t="s">
        <v>79</v>
      </c>
      <c r="D14" s="22" t="s">
        <v>79</v>
      </c>
      <c r="E14" s="22">
        <v>0.15</v>
      </c>
      <c r="F14" s="22" t="s">
        <v>79</v>
      </c>
      <c r="G14" s="23"/>
      <c r="H14" t="str">
        <f t="shared" si="0"/>
        <v>Q1.12</v>
      </c>
      <c r="I14">
        <f t="shared" si="1"/>
        <v>-0.16</v>
      </c>
      <c r="J14" t="str">
        <f t="shared" si="2"/>
        <v/>
      </c>
      <c r="K14" t="str">
        <f t="shared" si="3"/>
        <v/>
      </c>
      <c r="L14">
        <f t="shared" si="4"/>
        <v>0.15</v>
      </c>
      <c r="M14" t="str">
        <f t="shared" si="5"/>
        <v/>
      </c>
      <c r="T14" t="s">
        <v>11</v>
      </c>
      <c r="AB14">
        <v>27</v>
      </c>
      <c r="AC14" s="24" t="s">
        <v>26</v>
      </c>
      <c r="AE14" t="s">
        <v>129</v>
      </c>
    </row>
    <row r="15" spans="1:31" ht="15" thickBot="1" x14ac:dyDescent="0.35">
      <c r="A15" s="4" t="s">
        <v>100</v>
      </c>
      <c r="B15" s="22">
        <v>0.13</v>
      </c>
      <c r="C15" s="22" t="s">
        <v>79</v>
      </c>
      <c r="D15" s="22">
        <v>-0.16</v>
      </c>
      <c r="E15" s="22">
        <v>0.11</v>
      </c>
      <c r="F15" s="22">
        <v>-0.17</v>
      </c>
      <c r="G15" s="23"/>
      <c r="H15" t="str">
        <f t="shared" si="0"/>
        <v>Q1.13</v>
      </c>
      <c r="I15">
        <f t="shared" si="1"/>
        <v>0.13</v>
      </c>
      <c r="J15" t="str">
        <f t="shared" si="2"/>
        <v/>
      </c>
      <c r="K15">
        <f t="shared" si="3"/>
        <v>-0.16</v>
      </c>
      <c r="L15">
        <f t="shared" si="4"/>
        <v>0.11</v>
      </c>
      <c r="M15">
        <f t="shared" si="5"/>
        <v>-0.17</v>
      </c>
      <c r="T15" t="s">
        <v>13</v>
      </c>
      <c r="AB15">
        <v>4</v>
      </c>
      <c r="AC15" s="24" t="s">
        <v>3</v>
      </c>
      <c r="AE15" t="s">
        <v>243</v>
      </c>
    </row>
    <row r="16" spans="1:31" ht="15" thickBot="1" x14ac:dyDescent="0.35">
      <c r="A16" s="4" t="s">
        <v>93</v>
      </c>
      <c r="B16" s="22">
        <v>0.14000000000000001</v>
      </c>
      <c r="C16" s="22" t="s">
        <v>79</v>
      </c>
      <c r="D16" s="22">
        <v>-0.15</v>
      </c>
      <c r="E16" s="22" t="s">
        <v>79</v>
      </c>
      <c r="F16" s="22">
        <v>-0.12</v>
      </c>
      <c r="G16" s="23"/>
      <c r="H16" t="str">
        <f t="shared" si="0"/>
        <v>Q1.14</v>
      </c>
      <c r="I16">
        <f t="shared" si="1"/>
        <v>0.14000000000000001</v>
      </c>
      <c r="J16" t="str">
        <f t="shared" si="2"/>
        <v/>
      </c>
      <c r="K16">
        <f t="shared" si="3"/>
        <v>-0.15</v>
      </c>
      <c r="L16" t="str">
        <f t="shared" si="4"/>
        <v/>
      </c>
      <c r="M16">
        <f t="shared" si="5"/>
        <v>-0.12</v>
      </c>
      <c r="T16" t="s">
        <v>12</v>
      </c>
      <c r="AB16">
        <v>8</v>
      </c>
      <c r="AC16" s="24" t="s">
        <v>7</v>
      </c>
      <c r="AD16" t="s">
        <v>11</v>
      </c>
      <c r="AE16" t="s">
        <v>89</v>
      </c>
    </row>
    <row r="17" spans="1:31" ht="15" thickBot="1" x14ac:dyDescent="0.35">
      <c r="A17" s="4" t="s">
        <v>98</v>
      </c>
      <c r="B17" s="22">
        <v>0.11</v>
      </c>
      <c r="C17" s="22" t="s">
        <v>79</v>
      </c>
      <c r="D17" s="22" t="s">
        <v>79</v>
      </c>
      <c r="E17" s="22" t="s">
        <v>79</v>
      </c>
      <c r="F17" s="22" t="s">
        <v>79</v>
      </c>
      <c r="G17" s="23"/>
      <c r="H17" t="str">
        <f t="shared" si="0"/>
        <v>Q1.15</v>
      </c>
      <c r="I17">
        <f t="shared" si="1"/>
        <v>0.11</v>
      </c>
      <c r="J17" t="str">
        <f t="shared" si="2"/>
        <v/>
      </c>
      <c r="K17" t="str">
        <f t="shared" si="3"/>
        <v/>
      </c>
      <c r="L17" t="str">
        <f t="shared" si="4"/>
        <v/>
      </c>
      <c r="M17" t="str">
        <f t="shared" si="5"/>
        <v/>
      </c>
      <c r="T17" t="s">
        <v>14</v>
      </c>
      <c r="AB17">
        <v>10</v>
      </c>
      <c r="AC17" s="24" t="s">
        <v>9</v>
      </c>
      <c r="AE17" t="s">
        <v>141</v>
      </c>
    </row>
    <row r="18" spans="1:31" ht="15" thickBot="1" x14ac:dyDescent="0.35">
      <c r="A18" s="4" t="s">
        <v>99</v>
      </c>
      <c r="B18" s="22">
        <v>0.17</v>
      </c>
      <c r="C18" s="22" t="s">
        <v>79</v>
      </c>
      <c r="D18" s="22">
        <v>-0.21</v>
      </c>
      <c r="E18" s="22">
        <v>0.1</v>
      </c>
      <c r="F18" s="22" t="s">
        <v>79</v>
      </c>
      <c r="G18" s="23"/>
      <c r="H18" t="str">
        <f t="shared" si="0"/>
        <v>Q1.16</v>
      </c>
      <c r="I18">
        <f t="shared" si="1"/>
        <v>0.17</v>
      </c>
      <c r="J18" t="str">
        <f t="shared" si="2"/>
        <v/>
      </c>
      <c r="K18">
        <f t="shared" si="3"/>
        <v>-0.21</v>
      </c>
      <c r="L18">
        <f t="shared" si="4"/>
        <v>0.1</v>
      </c>
      <c r="M18" t="str">
        <f t="shared" si="5"/>
        <v/>
      </c>
      <c r="T18" t="s">
        <v>15</v>
      </c>
      <c r="AB18">
        <v>1</v>
      </c>
      <c r="AC18" s="24" t="s">
        <v>0</v>
      </c>
      <c r="AE18" t="s">
        <v>132</v>
      </c>
    </row>
    <row r="19" spans="1:31" ht="15" thickBot="1" x14ac:dyDescent="0.35">
      <c r="A19" s="4" t="s">
        <v>105</v>
      </c>
      <c r="B19" s="22">
        <v>0.12</v>
      </c>
      <c r="C19" s="22" t="s">
        <v>79</v>
      </c>
      <c r="D19" s="22">
        <v>-0.18</v>
      </c>
      <c r="E19" s="22" t="s">
        <v>79</v>
      </c>
      <c r="F19" s="22" t="s">
        <v>79</v>
      </c>
      <c r="G19" s="23"/>
      <c r="H19" t="str">
        <f t="shared" si="0"/>
        <v>Q1.17</v>
      </c>
      <c r="I19">
        <f t="shared" si="1"/>
        <v>0.12</v>
      </c>
      <c r="J19" t="str">
        <f t="shared" si="2"/>
        <v/>
      </c>
      <c r="K19">
        <f t="shared" si="3"/>
        <v>-0.18</v>
      </c>
      <c r="L19" t="str">
        <f t="shared" si="4"/>
        <v/>
      </c>
      <c r="M19" t="str">
        <f t="shared" si="5"/>
        <v/>
      </c>
      <c r="T19" t="s">
        <v>16</v>
      </c>
    </row>
    <row r="20" spans="1:31" ht="15" thickBot="1" x14ac:dyDescent="0.35">
      <c r="A20" s="4" t="s">
        <v>109</v>
      </c>
      <c r="B20" s="22" t="s">
        <v>79</v>
      </c>
      <c r="C20" s="22" t="s">
        <v>79</v>
      </c>
      <c r="D20" s="22" t="s">
        <v>79</v>
      </c>
      <c r="E20" s="22" t="s">
        <v>79</v>
      </c>
      <c r="F20" s="22" t="s">
        <v>79</v>
      </c>
      <c r="G20" s="23"/>
      <c r="H20" t="str">
        <f t="shared" si="0"/>
        <v>Q1.18</v>
      </c>
      <c r="I20" t="str">
        <f t="shared" si="1"/>
        <v/>
      </c>
      <c r="J20" t="str">
        <f t="shared" si="2"/>
        <v/>
      </c>
      <c r="K20" t="str">
        <f t="shared" si="3"/>
        <v/>
      </c>
      <c r="L20" t="str">
        <f t="shared" si="4"/>
        <v/>
      </c>
      <c r="M20" t="str">
        <f t="shared" si="5"/>
        <v/>
      </c>
      <c r="T20" t="s">
        <v>17</v>
      </c>
    </row>
    <row r="21" spans="1:31" ht="15" thickBot="1" x14ac:dyDescent="0.35">
      <c r="A21" s="4" t="s">
        <v>112</v>
      </c>
      <c r="B21" s="22" t="s">
        <v>79</v>
      </c>
      <c r="C21" s="22" t="s">
        <v>79</v>
      </c>
      <c r="D21" s="22" t="s">
        <v>79</v>
      </c>
      <c r="E21" s="22" t="s">
        <v>79</v>
      </c>
      <c r="F21" s="22" t="s">
        <v>79</v>
      </c>
      <c r="G21" s="23"/>
      <c r="H21" t="str">
        <f t="shared" si="0"/>
        <v>Q1.19</v>
      </c>
      <c r="I21" t="str">
        <f t="shared" si="1"/>
        <v/>
      </c>
      <c r="J21" t="str">
        <f t="shared" si="2"/>
        <v/>
      </c>
      <c r="K21" t="str">
        <f t="shared" si="3"/>
        <v/>
      </c>
      <c r="L21" t="str">
        <f t="shared" si="4"/>
        <v/>
      </c>
      <c r="M21" t="str">
        <f t="shared" si="5"/>
        <v/>
      </c>
      <c r="T21" t="s">
        <v>18</v>
      </c>
    </row>
    <row r="22" spans="1:31" ht="15" thickBot="1" x14ac:dyDescent="0.35">
      <c r="A22" s="4" t="s">
        <v>94</v>
      </c>
      <c r="B22" s="22">
        <v>0.12</v>
      </c>
      <c r="C22" s="22" t="s">
        <v>79</v>
      </c>
      <c r="D22" s="22">
        <v>-0.16</v>
      </c>
      <c r="E22" s="22">
        <v>0.11</v>
      </c>
      <c r="F22" s="22" t="s">
        <v>79</v>
      </c>
      <c r="G22" s="23"/>
      <c r="H22" t="str">
        <f t="shared" si="0"/>
        <v>Q1.20</v>
      </c>
      <c r="I22">
        <f t="shared" si="1"/>
        <v>0.12</v>
      </c>
      <c r="J22" t="str">
        <f t="shared" si="2"/>
        <v/>
      </c>
      <c r="K22">
        <f t="shared" si="3"/>
        <v>-0.16</v>
      </c>
      <c r="L22">
        <f t="shared" si="4"/>
        <v>0.11</v>
      </c>
      <c r="M22" t="str">
        <f t="shared" si="5"/>
        <v/>
      </c>
      <c r="T22" t="s">
        <v>19</v>
      </c>
    </row>
    <row r="23" spans="1:31" ht="15" thickBot="1" x14ac:dyDescent="0.35">
      <c r="A23" s="4" t="s">
        <v>111</v>
      </c>
      <c r="B23" s="22" t="s">
        <v>79</v>
      </c>
      <c r="C23" s="22" t="s">
        <v>79</v>
      </c>
      <c r="D23" s="22">
        <v>-0.11</v>
      </c>
      <c r="E23" s="22" t="s">
        <v>79</v>
      </c>
      <c r="F23" s="22" t="s">
        <v>79</v>
      </c>
      <c r="G23" s="23"/>
      <c r="H23" t="str">
        <f t="shared" si="0"/>
        <v>Q1.21</v>
      </c>
      <c r="I23" t="str">
        <f t="shared" si="1"/>
        <v/>
      </c>
      <c r="J23" t="str">
        <f t="shared" si="2"/>
        <v/>
      </c>
      <c r="K23">
        <f t="shared" si="3"/>
        <v>-0.11</v>
      </c>
      <c r="L23" t="str">
        <f t="shared" si="4"/>
        <v/>
      </c>
      <c r="M23" t="str">
        <f t="shared" si="5"/>
        <v/>
      </c>
      <c r="T23" t="s">
        <v>20</v>
      </c>
    </row>
    <row r="24" spans="1:31" ht="15" thickBot="1" x14ac:dyDescent="0.35">
      <c r="A24" s="4" t="s">
        <v>106</v>
      </c>
      <c r="B24" s="22" t="s">
        <v>79</v>
      </c>
      <c r="C24" s="22" t="s">
        <v>79</v>
      </c>
      <c r="D24" s="22" t="s">
        <v>79</v>
      </c>
      <c r="E24" s="22" t="s">
        <v>79</v>
      </c>
      <c r="F24" s="22" t="s">
        <v>79</v>
      </c>
      <c r="G24" s="23"/>
      <c r="H24" t="str">
        <f t="shared" si="0"/>
        <v>Q1.22</v>
      </c>
      <c r="I24" t="str">
        <f t="shared" si="1"/>
        <v/>
      </c>
      <c r="J24" t="str">
        <f t="shared" si="2"/>
        <v/>
      </c>
      <c r="K24" t="str">
        <f t="shared" si="3"/>
        <v/>
      </c>
      <c r="L24" t="str">
        <f t="shared" si="4"/>
        <v/>
      </c>
      <c r="M24" t="str">
        <f t="shared" si="5"/>
        <v/>
      </c>
      <c r="T24" t="s">
        <v>21</v>
      </c>
    </row>
    <row r="25" spans="1:31" ht="15" thickBot="1" x14ac:dyDescent="0.35">
      <c r="A25" s="4" t="s">
        <v>107</v>
      </c>
      <c r="B25" s="22">
        <v>0.12</v>
      </c>
      <c r="C25" s="22" t="s">
        <v>79</v>
      </c>
      <c r="D25" s="22">
        <v>-0.12</v>
      </c>
      <c r="E25" s="22" t="s">
        <v>79</v>
      </c>
      <c r="F25" s="22" t="s">
        <v>79</v>
      </c>
      <c r="G25" s="23"/>
      <c r="H25" t="str">
        <f t="shared" si="0"/>
        <v>Q1.23</v>
      </c>
      <c r="I25">
        <f t="shared" si="1"/>
        <v>0.12</v>
      </c>
      <c r="J25" t="str">
        <f t="shared" si="2"/>
        <v/>
      </c>
      <c r="K25">
        <f t="shared" si="3"/>
        <v>-0.12</v>
      </c>
      <c r="L25" t="str">
        <f t="shared" si="4"/>
        <v/>
      </c>
      <c r="M25" t="str">
        <f t="shared" si="5"/>
        <v/>
      </c>
      <c r="T25" t="s">
        <v>22</v>
      </c>
    </row>
    <row r="26" spans="1:31" ht="15" thickBot="1" x14ac:dyDescent="0.35">
      <c r="A26" s="4" t="s">
        <v>110</v>
      </c>
      <c r="B26" s="22" t="s">
        <v>79</v>
      </c>
      <c r="C26" s="22" t="s">
        <v>79</v>
      </c>
      <c r="D26" s="22" t="s">
        <v>79</v>
      </c>
      <c r="E26" s="22" t="s">
        <v>79</v>
      </c>
      <c r="F26" s="22" t="s">
        <v>79</v>
      </c>
      <c r="G26" s="23"/>
      <c r="H26" t="str">
        <f t="shared" si="0"/>
        <v>Q1.24</v>
      </c>
      <c r="I26" t="str">
        <f t="shared" si="1"/>
        <v/>
      </c>
      <c r="J26" t="str">
        <f t="shared" si="2"/>
        <v/>
      </c>
      <c r="K26" t="str">
        <f t="shared" si="3"/>
        <v/>
      </c>
      <c r="L26" t="str">
        <f t="shared" si="4"/>
        <v/>
      </c>
      <c r="M26" t="str">
        <f t="shared" si="5"/>
        <v/>
      </c>
      <c r="T26" t="s">
        <v>23</v>
      </c>
    </row>
    <row r="27" spans="1:31" ht="15" thickBot="1" x14ac:dyDescent="0.35">
      <c r="A27" s="4" t="s">
        <v>101</v>
      </c>
      <c r="B27" s="22">
        <v>0.1</v>
      </c>
      <c r="C27" s="22" t="s">
        <v>79</v>
      </c>
      <c r="D27" s="22">
        <v>-0.12</v>
      </c>
      <c r="E27" s="22" t="s">
        <v>79</v>
      </c>
      <c r="F27" s="22" t="s">
        <v>79</v>
      </c>
      <c r="G27" s="23"/>
      <c r="H27" t="str">
        <f t="shared" si="0"/>
        <v>Q1.25</v>
      </c>
      <c r="I27">
        <f t="shared" si="1"/>
        <v>0.1</v>
      </c>
      <c r="J27" t="str">
        <f t="shared" si="2"/>
        <v/>
      </c>
      <c r="K27">
        <f t="shared" si="3"/>
        <v>-0.12</v>
      </c>
      <c r="L27" t="str">
        <f t="shared" si="4"/>
        <v/>
      </c>
      <c r="M27" t="str">
        <f t="shared" si="5"/>
        <v/>
      </c>
      <c r="T27" t="s">
        <v>24</v>
      </c>
    </row>
    <row r="28" spans="1:31" ht="15" thickBot="1" x14ac:dyDescent="0.35">
      <c r="A28" s="4" t="s">
        <v>103</v>
      </c>
      <c r="B28" s="22">
        <v>0.15</v>
      </c>
      <c r="C28" s="22" t="s">
        <v>79</v>
      </c>
      <c r="D28" s="22">
        <v>-0.2</v>
      </c>
      <c r="E28" s="22">
        <v>0.16</v>
      </c>
      <c r="F28" s="22">
        <v>-0.19</v>
      </c>
      <c r="G28" s="23"/>
      <c r="H28" t="str">
        <f t="shared" si="0"/>
        <v>Q1.26</v>
      </c>
      <c r="I28">
        <f t="shared" si="1"/>
        <v>0.15</v>
      </c>
      <c r="J28" t="str">
        <f t="shared" si="2"/>
        <v/>
      </c>
      <c r="K28">
        <f t="shared" si="3"/>
        <v>-0.2</v>
      </c>
      <c r="L28">
        <f t="shared" si="4"/>
        <v>0.16</v>
      </c>
      <c r="M28">
        <f t="shared" si="5"/>
        <v>-0.19</v>
      </c>
      <c r="T28" t="s">
        <v>25</v>
      </c>
    </row>
    <row r="29" spans="1:31" ht="15" thickBot="1" x14ac:dyDescent="0.35">
      <c r="A29" s="4" t="s">
        <v>95</v>
      </c>
      <c r="B29" s="22">
        <v>0.17</v>
      </c>
      <c r="C29" s="22" t="s">
        <v>79</v>
      </c>
      <c r="D29" s="22">
        <v>-0.18</v>
      </c>
      <c r="E29" s="22">
        <v>0.14000000000000001</v>
      </c>
      <c r="F29" s="22">
        <v>-0.14000000000000001</v>
      </c>
      <c r="G29" s="23"/>
      <c r="H29" t="str">
        <f t="shared" si="0"/>
        <v>Q1.27</v>
      </c>
      <c r="I29">
        <f t="shared" si="1"/>
        <v>0.17</v>
      </c>
      <c r="J29" t="str">
        <f t="shared" si="2"/>
        <v/>
      </c>
      <c r="K29">
        <f t="shared" si="3"/>
        <v>-0.18</v>
      </c>
      <c r="L29">
        <f t="shared" si="4"/>
        <v>0.14000000000000001</v>
      </c>
      <c r="M29">
        <f t="shared" si="5"/>
        <v>-0.14000000000000001</v>
      </c>
      <c r="T29" t="s">
        <v>26</v>
      </c>
    </row>
    <row r="30" spans="1:31" ht="15" thickBot="1" x14ac:dyDescent="0.35">
      <c r="A30" s="4" t="s">
        <v>92</v>
      </c>
      <c r="B30" s="22">
        <v>0.22</v>
      </c>
      <c r="C30" s="22">
        <v>-0.12</v>
      </c>
      <c r="D30" s="22">
        <v>-0.2</v>
      </c>
      <c r="E30" s="22">
        <v>0.14000000000000001</v>
      </c>
      <c r="F30" s="22" t="s">
        <v>79</v>
      </c>
      <c r="G30" s="23"/>
      <c r="H30" t="str">
        <f t="shared" si="0"/>
        <v>Q1.28</v>
      </c>
      <c r="I30">
        <f t="shared" si="1"/>
        <v>0.22</v>
      </c>
      <c r="J30">
        <f t="shared" si="2"/>
        <v>-0.12</v>
      </c>
      <c r="K30">
        <f t="shared" si="3"/>
        <v>-0.2</v>
      </c>
      <c r="L30">
        <f t="shared" si="4"/>
        <v>0.14000000000000001</v>
      </c>
      <c r="M30" t="str">
        <f t="shared" si="5"/>
        <v/>
      </c>
      <c r="T30" t="s">
        <v>27</v>
      </c>
    </row>
    <row r="31" spans="1:31" ht="15" thickBot="1" x14ac:dyDescent="0.35">
      <c r="A31" s="4" t="s">
        <v>113</v>
      </c>
      <c r="B31" s="22" t="s">
        <v>79</v>
      </c>
      <c r="C31" s="22" t="s">
        <v>79</v>
      </c>
      <c r="D31" s="22" t="s">
        <v>79</v>
      </c>
      <c r="E31" s="22" t="s">
        <v>79</v>
      </c>
      <c r="F31" s="22" t="s">
        <v>79</v>
      </c>
      <c r="G31" s="23"/>
      <c r="H31" t="str">
        <f t="shared" si="0"/>
        <v>Q1.29</v>
      </c>
      <c r="I31" t="str">
        <f t="shared" si="1"/>
        <v/>
      </c>
      <c r="J31" t="str">
        <f t="shared" si="2"/>
        <v/>
      </c>
      <c r="K31" t="str">
        <f t="shared" si="3"/>
        <v/>
      </c>
      <c r="L31" t="str">
        <f t="shared" si="4"/>
        <v/>
      </c>
      <c r="M31" t="str">
        <f t="shared" si="5"/>
        <v/>
      </c>
      <c r="T31" t="s">
        <v>28</v>
      </c>
    </row>
    <row r="32" spans="1:31" ht="15" thickBot="1" x14ac:dyDescent="0.35">
      <c r="A32" s="4" t="s">
        <v>147</v>
      </c>
      <c r="B32" s="22" t="s">
        <v>79</v>
      </c>
      <c r="C32" s="22" t="s">
        <v>79</v>
      </c>
      <c r="D32" s="22" t="s">
        <v>79</v>
      </c>
      <c r="E32" s="22" t="s">
        <v>79</v>
      </c>
      <c r="F32" s="22" t="s">
        <v>79</v>
      </c>
      <c r="G32" s="23"/>
      <c r="H32" t="str">
        <f t="shared" si="0"/>
        <v>Q2</v>
      </c>
      <c r="I32" t="str">
        <f t="shared" si="1"/>
        <v/>
      </c>
      <c r="J32" t="str">
        <f t="shared" si="2"/>
        <v/>
      </c>
      <c r="K32" t="str">
        <f t="shared" si="3"/>
        <v/>
      </c>
      <c r="L32" t="str">
        <f t="shared" si="4"/>
        <v/>
      </c>
      <c r="M32" t="str">
        <f t="shared" si="5"/>
        <v/>
      </c>
      <c r="T32" t="s">
        <v>206</v>
      </c>
    </row>
    <row r="33" spans="1:20" ht="15" thickBot="1" x14ac:dyDescent="0.35">
      <c r="A33" s="4" t="s">
        <v>148</v>
      </c>
      <c r="B33" s="22" t="s">
        <v>79</v>
      </c>
      <c r="C33" s="22" t="s">
        <v>79</v>
      </c>
      <c r="D33" s="22" t="s">
        <v>79</v>
      </c>
      <c r="E33" s="22" t="s">
        <v>79</v>
      </c>
      <c r="F33" s="22">
        <v>0.11</v>
      </c>
      <c r="G33" s="23"/>
      <c r="H33" t="str">
        <f t="shared" si="0"/>
        <v>Q2.Cluster</v>
      </c>
      <c r="I33" t="str">
        <f t="shared" si="1"/>
        <v/>
      </c>
      <c r="J33" t="str">
        <f t="shared" si="2"/>
        <v/>
      </c>
      <c r="K33" t="str">
        <f t="shared" si="3"/>
        <v/>
      </c>
      <c r="L33" t="str">
        <f t="shared" si="4"/>
        <v/>
      </c>
      <c r="M33">
        <f t="shared" si="5"/>
        <v>0.11</v>
      </c>
      <c r="T33" t="s">
        <v>206</v>
      </c>
    </row>
    <row r="34" spans="1:20" ht="15" thickBot="1" x14ac:dyDescent="0.35">
      <c r="A34" s="4" t="s">
        <v>149</v>
      </c>
      <c r="B34" s="22" t="s">
        <v>79</v>
      </c>
      <c r="C34" s="22" t="s">
        <v>79</v>
      </c>
      <c r="D34" s="22" t="s">
        <v>79</v>
      </c>
      <c r="E34" s="22" t="s">
        <v>79</v>
      </c>
      <c r="F34" s="22" t="s">
        <v>79</v>
      </c>
      <c r="G34" s="23"/>
      <c r="H34" t="str">
        <f t="shared" si="0"/>
        <v>Q3</v>
      </c>
      <c r="I34" t="str">
        <f t="shared" si="1"/>
        <v/>
      </c>
      <c r="J34" t="str">
        <f t="shared" si="2"/>
        <v/>
      </c>
      <c r="K34" t="str">
        <f t="shared" si="3"/>
        <v/>
      </c>
      <c r="L34" t="str">
        <f t="shared" si="4"/>
        <v/>
      </c>
      <c r="M34" t="str">
        <f t="shared" si="5"/>
        <v/>
      </c>
      <c r="T34" t="s">
        <v>207</v>
      </c>
    </row>
    <row r="35" spans="1:20" ht="15" thickBot="1" x14ac:dyDescent="0.35">
      <c r="A35" s="4" t="s">
        <v>150</v>
      </c>
      <c r="B35" s="22">
        <v>0.11</v>
      </c>
      <c r="C35" s="22" t="s">
        <v>79</v>
      </c>
      <c r="D35" s="22" t="s">
        <v>79</v>
      </c>
      <c r="E35" s="22" t="s">
        <v>79</v>
      </c>
      <c r="F35" s="22" t="s">
        <v>79</v>
      </c>
      <c r="G35" s="23"/>
      <c r="H35" t="str">
        <f t="shared" si="0"/>
        <v>Q4</v>
      </c>
      <c r="I35">
        <f t="shared" si="1"/>
        <v>0.11</v>
      </c>
      <c r="J35" t="str">
        <f t="shared" si="2"/>
        <v/>
      </c>
      <c r="K35" t="str">
        <f t="shared" si="3"/>
        <v/>
      </c>
      <c r="L35" t="str">
        <f t="shared" si="4"/>
        <v/>
      </c>
      <c r="M35" t="str">
        <f t="shared" si="5"/>
        <v/>
      </c>
      <c r="T35" t="s">
        <v>208</v>
      </c>
    </row>
    <row r="36" spans="1:20" ht="15" thickBot="1" x14ac:dyDescent="0.35">
      <c r="A36" s="4" t="s">
        <v>151</v>
      </c>
      <c r="B36" s="22">
        <v>0.12</v>
      </c>
      <c r="C36" s="22" t="s">
        <v>79</v>
      </c>
      <c r="D36" s="22">
        <v>-0.17</v>
      </c>
      <c r="E36" s="22">
        <v>0.14000000000000001</v>
      </c>
      <c r="F36" s="22">
        <v>-0.17</v>
      </c>
      <c r="G36" s="23"/>
      <c r="H36" t="str">
        <f t="shared" si="0"/>
        <v>Q5</v>
      </c>
      <c r="I36">
        <f t="shared" ref="I36:I67" si="6">IF(ISNUMBER(B36),B36,"")</f>
        <v>0.12</v>
      </c>
      <c r="J36" t="str">
        <f t="shared" ref="J36:J67" si="7">IF(ISNUMBER(C36),C36,"")</f>
        <v/>
      </c>
      <c r="K36">
        <f t="shared" ref="K36:K67" si="8">IF(ISNUMBER(D36),D36,"")</f>
        <v>-0.17</v>
      </c>
      <c r="L36">
        <f t="shared" ref="L36:L67" si="9">IF(ISNUMBER(E36),E36,"")</f>
        <v>0.14000000000000001</v>
      </c>
      <c r="M36">
        <f t="shared" ref="M36:M67" si="10">IF(ISNUMBER(F36),F36,"")</f>
        <v>-0.17</v>
      </c>
      <c r="T36" t="s">
        <v>209</v>
      </c>
    </row>
    <row r="37" spans="1:20" ht="15" thickBot="1" x14ac:dyDescent="0.35">
      <c r="A37" s="4" t="s">
        <v>152</v>
      </c>
      <c r="B37" s="22" t="s">
        <v>79</v>
      </c>
      <c r="C37" s="22" t="s">
        <v>79</v>
      </c>
      <c r="D37" s="22" t="s">
        <v>79</v>
      </c>
      <c r="E37" s="22" t="s">
        <v>79</v>
      </c>
      <c r="F37" s="22" t="s">
        <v>79</v>
      </c>
      <c r="G37" s="23"/>
      <c r="H37" t="str">
        <f t="shared" si="0"/>
        <v>Q6</v>
      </c>
      <c r="I37" t="str">
        <f t="shared" si="6"/>
        <v/>
      </c>
      <c r="J37" t="str">
        <f t="shared" si="7"/>
        <v/>
      </c>
      <c r="K37" t="str">
        <f t="shared" si="8"/>
        <v/>
      </c>
      <c r="L37" t="str">
        <f t="shared" si="9"/>
        <v/>
      </c>
      <c r="M37" t="str">
        <f t="shared" si="10"/>
        <v/>
      </c>
      <c r="T37" t="s">
        <v>210</v>
      </c>
    </row>
    <row r="38" spans="1:20" ht="15" thickBot="1" x14ac:dyDescent="0.35">
      <c r="A38" s="4" t="s">
        <v>153</v>
      </c>
      <c r="B38" s="22" t="s">
        <v>79</v>
      </c>
      <c r="C38" s="22" t="s">
        <v>79</v>
      </c>
      <c r="D38" s="22" t="s">
        <v>79</v>
      </c>
      <c r="E38" s="22">
        <v>0.13</v>
      </c>
      <c r="F38" s="22" t="s">
        <v>79</v>
      </c>
      <c r="G38" s="23"/>
      <c r="H38" t="str">
        <f t="shared" si="0"/>
        <v>Q7.1</v>
      </c>
      <c r="I38" t="str">
        <f t="shared" si="6"/>
        <v/>
      </c>
      <c r="J38" t="str">
        <f t="shared" si="7"/>
        <v/>
      </c>
      <c r="K38" t="str">
        <f t="shared" si="8"/>
        <v/>
      </c>
      <c r="L38">
        <f t="shared" si="9"/>
        <v>0.13</v>
      </c>
      <c r="M38" t="str">
        <f t="shared" si="10"/>
        <v/>
      </c>
      <c r="T38" t="s">
        <v>211</v>
      </c>
    </row>
    <row r="39" spans="1:20" ht="15" thickBot="1" x14ac:dyDescent="0.35">
      <c r="A39" s="4" t="s">
        <v>154</v>
      </c>
      <c r="B39" s="22" t="s">
        <v>79</v>
      </c>
      <c r="C39" s="22" t="s">
        <v>79</v>
      </c>
      <c r="D39" s="22" t="s">
        <v>79</v>
      </c>
      <c r="E39" s="22" t="s">
        <v>79</v>
      </c>
      <c r="F39" s="22" t="s">
        <v>79</v>
      </c>
      <c r="G39" s="23"/>
      <c r="H39" t="str">
        <f t="shared" si="0"/>
        <v>Q7.2</v>
      </c>
      <c r="I39" t="str">
        <f t="shared" si="6"/>
        <v/>
      </c>
      <c r="J39" t="str">
        <f t="shared" si="7"/>
        <v/>
      </c>
      <c r="K39" t="str">
        <f t="shared" si="8"/>
        <v/>
      </c>
      <c r="L39" t="str">
        <f t="shared" si="9"/>
        <v/>
      </c>
      <c r="M39" t="str">
        <f t="shared" si="10"/>
        <v/>
      </c>
      <c r="T39" t="s">
        <v>212</v>
      </c>
    </row>
    <row r="40" spans="1:20" ht="15" thickBot="1" x14ac:dyDescent="0.35">
      <c r="A40" s="4" t="s">
        <v>155</v>
      </c>
      <c r="B40" s="22" t="s">
        <v>79</v>
      </c>
      <c r="C40" s="22" t="s">
        <v>79</v>
      </c>
      <c r="D40" s="22" t="s">
        <v>79</v>
      </c>
      <c r="E40" s="22" t="s">
        <v>79</v>
      </c>
      <c r="F40" s="22" t="s">
        <v>79</v>
      </c>
      <c r="G40" s="23"/>
      <c r="H40" t="str">
        <f t="shared" si="0"/>
        <v>Q7.3</v>
      </c>
      <c r="I40" t="str">
        <f t="shared" si="6"/>
        <v/>
      </c>
      <c r="J40" t="str">
        <f t="shared" si="7"/>
        <v/>
      </c>
      <c r="K40" t="str">
        <f t="shared" si="8"/>
        <v/>
      </c>
      <c r="L40" t="str">
        <f t="shared" si="9"/>
        <v/>
      </c>
      <c r="M40" t="str">
        <f t="shared" si="10"/>
        <v/>
      </c>
      <c r="T40" t="s">
        <v>213</v>
      </c>
    </row>
    <row r="41" spans="1:20" ht="15" thickBot="1" x14ac:dyDescent="0.35">
      <c r="A41" s="4" t="s">
        <v>156</v>
      </c>
      <c r="B41" s="22" t="s">
        <v>79</v>
      </c>
      <c r="C41" s="22" t="s">
        <v>79</v>
      </c>
      <c r="D41" s="22" t="s">
        <v>79</v>
      </c>
      <c r="E41" s="22" t="s">
        <v>79</v>
      </c>
      <c r="F41" s="22" t="s">
        <v>79</v>
      </c>
      <c r="G41" s="23"/>
      <c r="H41" t="str">
        <f t="shared" si="0"/>
        <v>Q7.4</v>
      </c>
      <c r="I41" t="str">
        <f t="shared" si="6"/>
        <v/>
      </c>
      <c r="J41" t="str">
        <f t="shared" si="7"/>
        <v/>
      </c>
      <c r="K41" t="str">
        <f t="shared" si="8"/>
        <v/>
      </c>
      <c r="L41" t="str">
        <f t="shared" si="9"/>
        <v/>
      </c>
      <c r="M41" t="str">
        <f t="shared" si="10"/>
        <v/>
      </c>
      <c r="T41" t="s">
        <v>214</v>
      </c>
    </row>
    <row r="42" spans="1:20" ht="15" thickBot="1" x14ac:dyDescent="0.35">
      <c r="A42" s="4" t="s">
        <v>157</v>
      </c>
      <c r="B42" s="22">
        <v>0.1</v>
      </c>
      <c r="C42" s="22" t="s">
        <v>79</v>
      </c>
      <c r="D42" s="22" t="s">
        <v>79</v>
      </c>
      <c r="E42" s="22" t="s">
        <v>79</v>
      </c>
      <c r="F42" s="22" t="s">
        <v>79</v>
      </c>
      <c r="G42" s="23"/>
      <c r="H42" t="str">
        <f t="shared" si="0"/>
        <v>Q8</v>
      </c>
      <c r="I42">
        <f t="shared" si="6"/>
        <v>0.1</v>
      </c>
      <c r="J42" t="str">
        <f t="shared" si="7"/>
        <v/>
      </c>
      <c r="K42" t="str">
        <f t="shared" si="8"/>
        <v/>
      </c>
      <c r="L42" t="str">
        <f t="shared" si="9"/>
        <v/>
      </c>
      <c r="M42" t="str">
        <f t="shared" si="10"/>
        <v/>
      </c>
      <c r="T42" t="s">
        <v>215</v>
      </c>
    </row>
    <row r="43" spans="1:20" ht="15" thickBot="1" x14ac:dyDescent="0.35">
      <c r="A43" s="4" t="s">
        <v>158</v>
      </c>
      <c r="B43" s="22" t="s">
        <v>79</v>
      </c>
      <c r="C43" s="22" t="s">
        <v>79</v>
      </c>
      <c r="D43" s="22" t="s">
        <v>79</v>
      </c>
      <c r="E43" s="22" t="s">
        <v>79</v>
      </c>
      <c r="F43" s="22" t="s">
        <v>79</v>
      </c>
      <c r="G43" s="23"/>
      <c r="H43" t="str">
        <f t="shared" si="0"/>
        <v>Q9.1</v>
      </c>
      <c r="I43" t="str">
        <f t="shared" si="6"/>
        <v/>
      </c>
      <c r="J43" t="str">
        <f t="shared" si="7"/>
        <v/>
      </c>
      <c r="K43" t="str">
        <f t="shared" si="8"/>
        <v/>
      </c>
      <c r="L43" t="str">
        <f t="shared" si="9"/>
        <v/>
      </c>
      <c r="M43" t="str">
        <f t="shared" si="10"/>
        <v/>
      </c>
      <c r="T43" t="s">
        <v>216</v>
      </c>
    </row>
    <row r="44" spans="1:20" ht="15" thickBot="1" x14ac:dyDescent="0.35">
      <c r="A44" s="4" t="s">
        <v>159</v>
      </c>
      <c r="B44" s="22" t="s">
        <v>79</v>
      </c>
      <c r="C44" s="22" t="s">
        <v>79</v>
      </c>
      <c r="D44" s="22" t="s">
        <v>79</v>
      </c>
      <c r="E44" s="22" t="s">
        <v>79</v>
      </c>
      <c r="F44" s="22" t="s">
        <v>79</v>
      </c>
      <c r="G44" s="23"/>
      <c r="H44" t="str">
        <f t="shared" si="0"/>
        <v>Q9.2</v>
      </c>
      <c r="I44" t="str">
        <f t="shared" si="6"/>
        <v/>
      </c>
      <c r="J44" t="str">
        <f t="shared" si="7"/>
        <v/>
      </c>
      <c r="K44" t="str">
        <f t="shared" si="8"/>
        <v/>
      </c>
      <c r="L44" t="str">
        <f t="shared" si="9"/>
        <v/>
      </c>
      <c r="M44" t="str">
        <f t="shared" si="10"/>
        <v/>
      </c>
      <c r="T44" t="s">
        <v>217</v>
      </c>
    </row>
    <row r="45" spans="1:20" ht="15" thickBot="1" x14ac:dyDescent="0.35">
      <c r="A45" s="4" t="s">
        <v>160</v>
      </c>
      <c r="B45" s="22" t="s">
        <v>79</v>
      </c>
      <c r="C45" s="22" t="s">
        <v>79</v>
      </c>
      <c r="D45" s="22" t="s">
        <v>79</v>
      </c>
      <c r="E45" s="22" t="s">
        <v>79</v>
      </c>
      <c r="F45" s="22" t="s">
        <v>79</v>
      </c>
      <c r="G45" s="23"/>
      <c r="H45" t="str">
        <f t="shared" si="0"/>
        <v>Q9.3</v>
      </c>
      <c r="I45" t="str">
        <f t="shared" si="6"/>
        <v/>
      </c>
      <c r="J45" t="str">
        <f t="shared" si="7"/>
        <v/>
      </c>
      <c r="K45" t="str">
        <f t="shared" si="8"/>
        <v/>
      </c>
      <c r="L45" t="str">
        <f t="shared" si="9"/>
        <v/>
      </c>
      <c r="M45" t="str">
        <f t="shared" si="10"/>
        <v/>
      </c>
      <c r="T45" t="s">
        <v>218</v>
      </c>
    </row>
    <row r="46" spans="1:20" ht="15" thickBot="1" x14ac:dyDescent="0.35">
      <c r="A46" s="4" t="s">
        <v>161</v>
      </c>
      <c r="B46" s="22" t="s">
        <v>79</v>
      </c>
      <c r="C46" s="22" t="s">
        <v>79</v>
      </c>
      <c r="D46" s="22" t="s">
        <v>79</v>
      </c>
      <c r="E46" s="22" t="s">
        <v>79</v>
      </c>
      <c r="F46" s="22" t="s">
        <v>79</v>
      </c>
      <c r="G46" s="23"/>
      <c r="H46" t="str">
        <f t="shared" si="0"/>
        <v>Q9.4</v>
      </c>
      <c r="I46" t="str">
        <f t="shared" si="6"/>
        <v/>
      </c>
      <c r="J46" t="str">
        <f t="shared" si="7"/>
        <v/>
      </c>
      <c r="K46" t="str">
        <f t="shared" si="8"/>
        <v/>
      </c>
      <c r="L46" t="str">
        <f t="shared" si="9"/>
        <v/>
      </c>
      <c r="M46" t="str">
        <f t="shared" si="10"/>
        <v/>
      </c>
      <c r="T46" t="s">
        <v>219</v>
      </c>
    </row>
    <row r="47" spans="1:20" ht="15" thickBot="1" x14ac:dyDescent="0.35">
      <c r="A47" s="4" t="s">
        <v>162</v>
      </c>
      <c r="B47" s="22" t="s">
        <v>79</v>
      </c>
      <c r="C47" s="22" t="s">
        <v>79</v>
      </c>
      <c r="D47" s="22" t="s">
        <v>79</v>
      </c>
      <c r="E47" s="22" t="s">
        <v>79</v>
      </c>
      <c r="F47" s="22">
        <v>-0.1</v>
      </c>
      <c r="G47" s="23"/>
      <c r="H47" t="str">
        <f t="shared" si="0"/>
        <v>Q9.5</v>
      </c>
      <c r="I47" t="str">
        <f t="shared" si="6"/>
        <v/>
      </c>
      <c r="J47" t="str">
        <f t="shared" si="7"/>
        <v/>
      </c>
      <c r="K47" t="str">
        <f t="shared" si="8"/>
        <v/>
      </c>
      <c r="L47" t="str">
        <f t="shared" si="9"/>
        <v/>
      </c>
      <c r="M47">
        <f t="shared" si="10"/>
        <v>-0.1</v>
      </c>
      <c r="T47" t="s">
        <v>220</v>
      </c>
    </row>
    <row r="48" spans="1:20" ht="15" thickBot="1" x14ac:dyDescent="0.35">
      <c r="A48" s="4" t="s">
        <v>163</v>
      </c>
      <c r="B48" s="22" t="s">
        <v>79</v>
      </c>
      <c r="C48" s="22" t="s">
        <v>79</v>
      </c>
      <c r="D48" s="22" t="s">
        <v>79</v>
      </c>
      <c r="E48" s="22" t="s">
        <v>79</v>
      </c>
      <c r="F48" s="22" t="s">
        <v>79</v>
      </c>
      <c r="G48" s="23"/>
      <c r="H48" t="str">
        <f t="shared" si="0"/>
        <v>Q10</v>
      </c>
      <c r="I48" t="str">
        <f t="shared" si="6"/>
        <v/>
      </c>
      <c r="J48" t="str">
        <f t="shared" si="7"/>
        <v/>
      </c>
      <c r="K48" t="str">
        <f t="shared" si="8"/>
        <v/>
      </c>
      <c r="L48" t="str">
        <f t="shared" si="9"/>
        <v/>
      </c>
      <c r="M48" t="str">
        <f t="shared" si="10"/>
        <v/>
      </c>
      <c r="T48" t="s">
        <v>221</v>
      </c>
    </row>
    <row r="49" spans="1:20" ht="15" thickBot="1" x14ac:dyDescent="0.35">
      <c r="A49" s="4" t="s">
        <v>164</v>
      </c>
      <c r="B49" s="22" t="s">
        <v>79</v>
      </c>
      <c r="C49" s="22" t="s">
        <v>79</v>
      </c>
      <c r="D49" s="22" t="s">
        <v>79</v>
      </c>
      <c r="E49" s="22" t="s">
        <v>79</v>
      </c>
      <c r="F49" s="22" t="s">
        <v>79</v>
      </c>
      <c r="G49" s="23"/>
      <c r="H49" t="str">
        <f t="shared" si="0"/>
        <v>Q11</v>
      </c>
      <c r="I49" t="str">
        <f t="shared" si="6"/>
        <v/>
      </c>
      <c r="J49" t="str">
        <f t="shared" si="7"/>
        <v/>
      </c>
      <c r="K49" t="str">
        <f t="shared" si="8"/>
        <v/>
      </c>
      <c r="L49" t="str">
        <f t="shared" si="9"/>
        <v/>
      </c>
      <c r="M49" t="str">
        <f t="shared" si="10"/>
        <v/>
      </c>
    </row>
    <row r="50" spans="1:20" ht="15" thickBot="1" x14ac:dyDescent="0.35">
      <c r="A50" s="4" t="s">
        <v>165</v>
      </c>
      <c r="B50" s="22" t="s">
        <v>79</v>
      </c>
      <c r="C50" s="22" t="s">
        <v>79</v>
      </c>
      <c r="D50" s="22" t="s">
        <v>79</v>
      </c>
      <c r="E50" s="22" t="s">
        <v>79</v>
      </c>
      <c r="F50" s="22" t="s">
        <v>79</v>
      </c>
      <c r="G50" s="23"/>
      <c r="H50" t="str">
        <f t="shared" si="0"/>
        <v>Q12</v>
      </c>
      <c r="I50" t="str">
        <f t="shared" si="6"/>
        <v/>
      </c>
      <c r="J50" t="str">
        <f t="shared" si="7"/>
        <v/>
      </c>
      <c r="K50" t="str">
        <f t="shared" si="8"/>
        <v/>
      </c>
      <c r="L50" t="str">
        <f t="shared" si="9"/>
        <v/>
      </c>
      <c r="M50" t="str">
        <f t="shared" si="10"/>
        <v/>
      </c>
      <c r="T50" t="s">
        <v>233</v>
      </c>
    </row>
    <row r="51" spans="1:20" ht="15" thickBot="1" x14ac:dyDescent="0.35">
      <c r="A51" s="4" t="s">
        <v>166</v>
      </c>
      <c r="B51" s="22" t="s">
        <v>79</v>
      </c>
      <c r="C51" s="22" t="s">
        <v>79</v>
      </c>
      <c r="D51" s="22" t="s">
        <v>79</v>
      </c>
      <c r="E51" s="22">
        <v>0.12</v>
      </c>
      <c r="F51" s="22" t="s">
        <v>79</v>
      </c>
      <c r="G51" s="23"/>
      <c r="H51" t="str">
        <f t="shared" si="0"/>
        <v>Q13</v>
      </c>
      <c r="I51" t="str">
        <f t="shared" si="6"/>
        <v/>
      </c>
      <c r="J51" t="str">
        <f t="shared" si="7"/>
        <v/>
      </c>
      <c r="K51" t="str">
        <f t="shared" si="8"/>
        <v/>
      </c>
      <c r="L51">
        <f t="shared" si="9"/>
        <v>0.12</v>
      </c>
      <c r="M51" t="str">
        <f t="shared" si="10"/>
        <v/>
      </c>
      <c r="T51" t="s">
        <v>222</v>
      </c>
    </row>
    <row r="52" spans="1:20" ht="15" thickBot="1" x14ac:dyDescent="0.35">
      <c r="A52" s="4" t="s">
        <v>167</v>
      </c>
      <c r="B52" s="22" t="s">
        <v>79</v>
      </c>
      <c r="C52" s="22" t="s">
        <v>79</v>
      </c>
      <c r="D52" s="22">
        <v>0.16</v>
      </c>
      <c r="E52" s="22">
        <v>-0.14000000000000001</v>
      </c>
      <c r="F52" s="22">
        <v>0.1</v>
      </c>
      <c r="G52" s="23"/>
      <c r="H52" t="str">
        <f t="shared" si="0"/>
        <v>Q14</v>
      </c>
      <c r="I52" t="str">
        <f t="shared" si="6"/>
        <v/>
      </c>
      <c r="J52" t="str">
        <f t="shared" si="7"/>
        <v/>
      </c>
      <c r="K52">
        <f t="shared" si="8"/>
        <v>0.16</v>
      </c>
      <c r="L52">
        <f t="shared" si="9"/>
        <v>-0.14000000000000001</v>
      </c>
      <c r="M52">
        <f t="shared" si="10"/>
        <v>0.1</v>
      </c>
      <c r="T52" t="s">
        <v>223</v>
      </c>
    </row>
    <row r="53" spans="1:20" ht="15" thickBot="1" x14ac:dyDescent="0.35">
      <c r="A53" s="4" t="s">
        <v>168</v>
      </c>
      <c r="B53" s="22" t="s">
        <v>79</v>
      </c>
      <c r="C53" s="22" t="s">
        <v>79</v>
      </c>
      <c r="D53" s="22">
        <v>0.12</v>
      </c>
      <c r="E53" s="22">
        <v>-0.15</v>
      </c>
      <c r="F53" s="22">
        <v>0.12</v>
      </c>
      <c r="G53" s="23"/>
      <c r="H53" t="str">
        <f t="shared" si="0"/>
        <v>Q15</v>
      </c>
      <c r="I53" t="str">
        <f t="shared" si="6"/>
        <v/>
      </c>
      <c r="J53" t="str">
        <f t="shared" si="7"/>
        <v/>
      </c>
      <c r="K53">
        <f t="shared" si="8"/>
        <v>0.12</v>
      </c>
      <c r="L53">
        <f t="shared" si="9"/>
        <v>-0.15</v>
      </c>
      <c r="M53">
        <f t="shared" si="10"/>
        <v>0.12</v>
      </c>
      <c r="T53" t="s">
        <v>224</v>
      </c>
    </row>
    <row r="54" spans="1:20" ht="15" thickBot="1" x14ac:dyDescent="0.35">
      <c r="A54" s="4" t="s">
        <v>169</v>
      </c>
      <c r="B54" s="22" t="s">
        <v>79</v>
      </c>
      <c r="C54" s="22" t="s">
        <v>79</v>
      </c>
      <c r="D54" s="22" t="s">
        <v>79</v>
      </c>
      <c r="E54" s="22" t="s">
        <v>79</v>
      </c>
      <c r="F54" s="22" t="s">
        <v>79</v>
      </c>
      <c r="G54" s="23"/>
      <c r="H54" t="str">
        <f t="shared" si="0"/>
        <v>Q16</v>
      </c>
      <c r="I54" t="str">
        <f t="shared" si="6"/>
        <v/>
      </c>
      <c r="J54" t="str">
        <f t="shared" si="7"/>
        <v/>
      </c>
      <c r="K54" t="str">
        <f t="shared" si="8"/>
        <v/>
      </c>
      <c r="L54" t="str">
        <f t="shared" si="9"/>
        <v/>
      </c>
      <c r="M54" t="str">
        <f t="shared" si="10"/>
        <v/>
      </c>
    </row>
    <row r="55" spans="1:20" ht="15" thickBot="1" x14ac:dyDescent="0.35">
      <c r="A55" s="4" t="s">
        <v>170</v>
      </c>
      <c r="B55" s="22" t="s">
        <v>79</v>
      </c>
      <c r="C55" s="22" t="s">
        <v>79</v>
      </c>
      <c r="D55" s="22" t="s">
        <v>79</v>
      </c>
      <c r="E55" s="22" t="s">
        <v>79</v>
      </c>
      <c r="F55" s="22" t="s">
        <v>79</v>
      </c>
      <c r="G55" s="23"/>
      <c r="H55" t="str">
        <f t="shared" si="0"/>
        <v>Q16.1</v>
      </c>
      <c r="I55" t="str">
        <f t="shared" si="6"/>
        <v/>
      </c>
      <c r="J55" t="str">
        <f t="shared" si="7"/>
        <v/>
      </c>
      <c r="K55" t="str">
        <f t="shared" si="8"/>
        <v/>
      </c>
      <c r="L55" t="str">
        <f t="shared" si="9"/>
        <v/>
      </c>
      <c r="M55" t="str">
        <f t="shared" si="10"/>
        <v/>
      </c>
    </row>
    <row r="56" spans="1:20" ht="15" thickBot="1" x14ac:dyDescent="0.35">
      <c r="A56" s="4" t="s">
        <v>171</v>
      </c>
      <c r="B56" s="22" t="s">
        <v>79</v>
      </c>
      <c r="C56" s="22" t="s">
        <v>79</v>
      </c>
      <c r="D56" s="22" t="s">
        <v>79</v>
      </c>
      <c r="E56" s="22" t="s">
        <v>79</v>
      </c>
      <c r="F56" s="22" t="s">
        <v>79</v>
      </c>
      <c r="G56" s="23"/>
      <c r="H56" t="str">
        <f t="shared" si="0"/>
        <v>Q16.2</v>
      </c>
      <c r="I56" t="str">
        <f t="shared" si="6"/>
        <v/>
      </c>
      <c r="J56" t="str">
        <f t="shared" si="7"/>
        <v/>
      </c>
      <c r="K56" t="str">
        <f t="shared" si="8"/>
        <v/>
      </c>
      <c r="L56" t="str">
        <f t="shared" si="9"/>
        <v/>
      </c>
      <c r="M56" t="str">
        <f t="shared" si="10"/>
        <v/>
      </c>
      <c r="T56" t="s">
        <v>225</v>
      </c>
    </row>
    <row r="57" spans="1:20" ht="15" thickBot="1" x14ac:dyDescent="0.35">
      <c r="A57" s="4" t="s">
        <v>172</v>
      </c>
      <c r="B57" s="22" t="s">
        <v>79</v>
      </c>
      <c r="C57" s="22" t="s">
        <v>79</v>
      </c>
      <c r="D57" s="22" t="s">
        <v>79</v>
      </c>
      <c r="E57" s="22" t="s">
        <v>79</v>
      </c>
      <c r="F57" s="22" t="s">
        <v>79</v>
      </c>
      <c r="G57" s="23"/>
      <c r="H57" t="str">
        <f t="shared" si="0"/>
        <v>Q16.3</v>
      </c>
      <c r="I57" t="str">
        <f t="shared" si="6"/>
        <v/>
      </c>
      <c r="J57" t="str">
        <f t="shared" si="7"/>
        <v/>
      </c>
      <c r="K57" t="str">
        <f t="shared" si="8"/>
        <v/>
      </c>
      <c r="L57" t="str">
        <f t="shared" si="9"/>
        <v/>
      </c>
      <c r="M57" t="str">
        <f t="shared" si="10"/>
        <v/>
      </c>
    </row>
    <row r="58" spans="1:20" ht="15" thickBot="1" x14ac:dyDescent="0.35">
      <c r="A58" s="4" t="s">
        <v>173</v>
      </c>
      <c r="B58" s="22" t="s">
        <v>79</v>
      </c>
      <c r="C58" s="22" t="s">
        <v>79</v>
      </c>
      <c r="D58" s="22" t="s">
        <v>79</v>
      </c>
      <c r="E58" s="22" t="s">
        <v>79</v>
      </c>
      <c r="F58" s="22" t="s">
        <v>79</v>
      </c>
      <c r="G58" s="23"/>
      <c r="H58" t="str">
        <f t="shared" si="0"/>
        <v>Q16.4</v>
      </c>
      <c r="I58" t="str">
        <f t="shared" si="6"/>
        <v/>
      </c>
      <c r="J58" t="str">
        <f t="shared" si="7"/>
        <v/>
      </c>
      <c r="K58" t="str">
        <f t="shared" si="8"/>
        <v/>
      </c>
      <c r="L58" t="str">
        <f t="shared" si="9"/>
        <v/>
      </c>
      <c r="M58" t="str">
        <f t="shared" si="10"/>
        <v/>
      </c>
    </row>
    <row r="59" spans="1:20" ht="15" thickBot="1" x14ac:dyDescent="0.35">
      <c r="A59" s="4" t="s">
        <v>174</v>
      </c>
      <c r="B59" s="22" t="s">
        <v>79</v>
      </c>
      <c r="C59" s="22" t="s">
        <v>79</v>
      </c>
      <c r="D59" s="22" t="s">
        <v>79</v>
      </c>
      <c r="E59" s="22" t="s">
        <v>79</v>
      </c>
      <c r="F59" s="22" t="s">
        <v>79</v>
      </c>
      <c r="G59" s="23"/>
      <c r="H59" t="str">
        <f t="shared" si="0"/>
        <v>Q16.5</v>
      </c>
      <c r="I59" t="str">
        <f t="shared" si="6"/>
        <v/>
      </c>
      <c r="J59" t="str">
        <f t="shared" si="7"/>
        <v/>
      </c>
      <c r="K59" t="str">
        <f t="shared" si="8"/>
        <v/>
      </c>
      <c r="L59" t="str">
        <f t="shared" si="9"/>
        <v/>
      </c>
      <c r="M59" t="str">
        <f t="shared" si="10"/>
        <v/>
      </c>
    </row>
    <row r="60" spans="1:20" ht="15" thickBot="1" x14ac:dyDescent="0.35">
      <c r="A60" s="4" t="s">
        <v>175</v>
      </c>
      <c r="B60" s="22" t="s">
        <v>79</v>
      </c>
      <c r="C60" s="22" t="s">
        <v>79</v>
      </c>
      <c r="D60" s="22" t="s">
        <v>79</v>
      </c>
      <c r="E60" s="22" t="s">
        <v>79</v>
      </c>
      <c r="F60" s="22" t="s">
        <v>79</v>
      </c>
      <c r="G60" s="23"/>
      <c r="H60" t="str">
        <f t="shared" si="0"/>
        <v>Q16.6</v>
      </c>
      <c r="I60" t="str">
        <f t="shared" si="6"/>
        <v/>
      </c>
      <c r="J60" t="str">
        <f t="shared" si="7"/>
        <v/>
      </c>
      <c r="K60" t="str">
        <f t="shared" si="8"/>
        <v/>
      </c>
      <c r="L60" t="str">
        <f t="shared" si="9"/>
        <v/>
      </c>
      <c r="M60" t="str">
        <f t="shared" si="10"/>
        <v/>
      </c>
    </row>
    <row r="61" spans="1:20" ht="15" thickBot="1" x14ac:dyDescent="0.35">
      <c r="A61" s="4" t="s">
        <v>176</v>
      </c>
      <c r="B61" s="22" t="s">
        <v>79</v>
      </c>
      <c r="C61" s="22" t="s">
        <v>79</v>
      </c>
      <c r="D61" s="22" t="s">
        <v>79</v>
      </c>
      <c r="E61" s="22" t="s">
        <v>79</v>
      </c>
      <c r="F61" s="22" t="s">
        <v>79</v>
      </c>
      <c r="G61" s="23"/>
      <c r="H61" t="str">
        <f t="shared" si="0"/>
        <v>Q16.7</v>
      </c>
      <c r="I61" t="str">
        <f t="shared" si="6"/>
        <v/>
      </c>
      <c r="J61" t="str">
        <f t="shared" si="7"/>
        <v/>
      </c>
      <c r="K61" t="str">
        <f t="shared" si="8"/>
        <v/>
      </c>
      <c r="L61" t="str">
        <f t="shared" si="9"/>
        <v/>
      </c>
      <c r="M61" t="str">
        <f t="shared" si="10"/>
        <v/>
      </c>
    </row>
    <row r="62" spans="1:20" ht="15" thickBot="1" x14ac:dyDescent="0.35">
      <c r="A62" s="4" t="s">
        <v>177</v>
      </c>
      <c r="B62" s="22" t="s">
        <v>79</v>
      </c>
      <c r="C62" s="22" t="s">
        <v>79</v>
      </c>
      <c r="D62" s="22" t="s">
        <v>79</v>
      </c>
      <c r="E62" s="22" t="s">
        <v>79</v>
      </c>
      <c r="F62" s="22" t="s">
        <v>79</v>
      </c>
      <c r="G62" s="23"/>
      <c r="H62" t="str">
        <f t="shared" si="0"/>
        <v>Q16.8</v>
      </c>
      <c r="I62" t="str">
        <f t="shared" si="6"/>
        <v/>
      </c>
      <c r="J62" t="str">
        <f t="shared" si="7"/>
        <v/>
      </c>
      <c r="K62" t="str">
        <f t="shared" si="8"/>
        <v/>
      </c>
      <c r="L62" t="str">
        <f t="shared" si="9"/>
        <v/>
      </c>
      <c r="M62" t="str">
        <f t="shared" si="10"/>
        <v/>
      </c>
    </row>
    <row r="63" spans="1:20" ht="15" thickBot="1" x14ac:dyDescent="0.35">
      <c r="A63" s="4" t="s">
        <v>178</v>
      </c>
      <c r="B63" s="22" t="s">
        <v>79</v>
      </c>
      <c r="C63" s="22" t="s">
        <v>79</v>
      </c>
      <c r="D63" s="22" t="s">
        <v>79</v>
      </c>
      <c r="E63" s="22" t="s">
        <v>79</v>
      </c>
      <c r="F63" s="22" t="s">
        <v>79</v>
      </c>
      <c r="G63" s="23"/>
      <c r="H63" t="str">
        <f t="shared" si="0"/>
        <v>Q16.9</v>
      </c>
      <c r="I63" t="str">
        <f t="shared" si="6"/>
        <v/>
      </c>
      <c r="J63" t="str">
        <f t="shared" si="7"/>
        <v/>
      </c>
      <c r="K63" t="str">
        <f t="shared" si="8"/>
        <v/>
      </c>
      <c r="L63" t="str">
        <f t="shared" si="9"/>
        <v/>
      </c>
      <c r="M63" t="str">
        <f t="shared" si="10"/>
        <v/>
      </c>
    </row>
    <row r="64" spans="1:20" ht="15" thickBot="1" x14ac:dyDescent="0.35">
      <c r="A64" s="4" t="s">
        <v>179</v>
      </c>
      <c r="B64" s="22" t="s">
        <v>79</v>
      </c>
      <c r="C64" s="22" t="s">
        <v>79</v>
      </c>
      <c r="D64" s="22" t="s">
        <v>79</v>
      </c>
      <c r="E64" s="22" t="s">
        <v>79</v>
      </c>
      <c r="F64" s="22" t="s">
        <v>79</v>
      </c>
      <c r="G64" s="23"/>
      <c r="H64" t="str">
        <f t="shared" si="0"/>
        <v>Q16.10</v>
      </c>
      <c r="I64" t="str">
        <f t="shared" si="6"/>
        <v/>
      </c>
      <c r="J64" t="str">
        <f t="shared" si="7"/>
        <v/>
      </c>
      <c r="K64" t="str">
        <f t="shared" si="8"/>
        <v/>
      </c>
      <c r="L64" t="str">
        <f t="shared" si="9"/>
        <v/>
      </c>
      <c r="M64" t="str">
        <f t="shared" si="10"/>
        <v/>
      </c>
    </row>
    <row r="65" spans="1:20" ht="15" thickBot="1" x14ac:dyDescent="0.35">
      <c r="A65" s="4" t="s">
        <v>180</v>
      </c>
      <c r="B65" s="22" t="s">
        <v>79</v>
      </c>
      <c r="C65" s="22" t="s">
        <v>79</v>
      </c>
      <c r="D65" s="22" t="s">
        <v>79</v>
      </c>
      <c r="E65" s="22" t="s">
        <v>79</v>
      </c>
      <c r="F65" s="22" t="s">
        <v>79</v>
      </c>
      <c r="G65" s="23"/>
      <c r="H65" t="str">
        <f t="shared" si="0"/>
        <v>Q16.11</v>
      </c>
      <c r="I65" t="str">
        <f t="shared" si="6"/>
        <v/>
      </c>
      <c r="J65" t="str">
        <f t="shared" si="7"/>
        <v/>
      </c>
      <c r="K65" t="str">
        <f t="shared" si="8"/>
        <v/>
      </c>
      <c r="L65" t="str">
        <f t="shared" si="9"/>
        <v/>
      </c>
      <c r="M65" t="str">
        <f t="shared" si="10"/>
        <v/>
      </c>
    </row>
    <row r="66" spans="1:20" ht="15" thickBot="1" x14ac:dyDescent="0.35">
      <c r="A66" s="4" t="s">
        <v>181</v>
      </c>
      <c r="B66" s="22" t="s">
        <v>79</v>
      </c>
      <c r="C66" s="22" t="s">
        <v>79</v>
      </c>
      <c r="D66" s="22" t="s">
        <v>79</v>
      </c>
      <c r="E66" s="22" t="s">
        <v>79</v>
      </c>
      <c r="F66" s="22" t="s">
        <v>79</v>
      </c>
      <c r="G66" s="23"/>
      <c r="H66" t="str">
        <f t="shared" si="0"/>
        <v>Q16.12</v>
      </c>
      <c r="I66" t="str">
        <f t="shared" si="6"/>
        <v/>
      </c>
      <c r="J66" t="str">
        <f t="shared" si="7"/>
        <v/>
      </c>
      <c r="K66" t="str">
        <f t="shared" si="8"/>
        <v/>
      </c>
      <c r="L66" t="str">
        <f t="shared" si="9"/>
        <v/>
      </c>
      <c r="M66" t="str">
        <f t="shared" si="10"/>
        <v/>
      </c>
    </row>
    <row r="67" spans="1:20" ht="15" thickBot="1" x14ac:dyDescent="0.35">
      <c r="A67" s="4" t="s">
        <v>182</v>
      </c>
      <c r="B67" s="22" t="s">
        <v>79</v>
      </c>
      <c r="C67" s="22" t="s">
        <v>79</v>
      </c>
      <c r="D67" s="22" t="s">
        <v>79</v>
      </c>
      <c r="E67" s="22" t="s">
        <v>79</v>
      </c>
      <c r="F67" s="22" t="s">
        <v>79</v>
      </c>
      <c r="G67" s="23"/>
      <c r="H67" t="str">
        <f t="shared" si="0"/>
        <v>Q16.13</v>
      </c>
      <c r="I67" t="str">
        <f t="shared" si="6"/>
        <v/>
      </c>
      <c r="J67" t="str">
        <f t="shared" si="7"/>
        <v/>
      </c>
      <c r="K67" t="str">
        <f t="shared" si="8"/>
        <v/>
      </c>
      <c r="L67" t="str">
        <f t="shared" si="9"/>
        <v/>
      </c>
      <c r="M67" t="str">
        <f t="shared" si="10"/>
        <v/>
      </c>
      <c r="T67" t="s">
        <v>226</v>
      </c>
    </row>
    <row r="68" spans="1:20" ht="15" thickBot="1" x14ac:dyDescent="0.35">
      <c r="A68" s="4" t="s">
        <v>183</v>
      </c>
      <c r="B68" s="22" t="s">
        <v>79</v>
      </c>
      <c r="C68" s="22" t="s">
        <v>79</v>
      </c>
      <c r="D68" s="22" t="s">
        <v>79</v>
      </c>
      <c r="E68" s="22" t="s">
        <v>79</v>
      </c>
      <c r="F68" s="22" t="s">
        <v>79</v>
      </c>
      <c r="G68" s="23"/>
      <c r="H68" t="str">
        <f t="shared" ref="H68:H83" si="11">A68</f>
        <v>Q16.14</v>
      </c>
      <c r="I68" t="str">
        <f t="shared" ref="I68:I83" si="12">IF(ISNUMBER(B68),B68,"")</f>
        <v/>
      </c>
      <c r="J68" t="str">
        <f t="shared" ref="J68:J83" si="13">IF(ISNUMBER(C68),C68,"")</f>
        <v/>
      </c>
      <c r="K68" t="str">
        <f t="shared" ref="K68:K83" si="14">IF(ISNUMBER(D68),D68,"")</f>
        <v/>
      </c>
      <c r="L68" t="str">
        <f t="shared" ref="L68:L83" si="15">IF(ISNUMBER(E68),E68,"")</f>
        <v/>
      </c>
      <c r="M68" t="str">
        <f t="shared" ref="M68:M83" si="16">IF(ISNUMBER(F68),F68,"")</f>
        <v/>
      </c>
      <c r="T68" t="s">
        <v>227</v>
      </c>
    </row>
    <row r="69" spans="1:20" ht="15" thickBot="1" x14ac:dyDescent="0.35">
      <c r="A69" s="4" t="s">
        <v>184</v>
      </c>
      <c r="B69" s="22" t="s">
        <v>79</v>
      </c>
      <c r="C69" s="22" t="s">
        <v>79</v>
      </c>
      <c r="D69" s="22" t="s">
        <v>79</v>
      </c>
      <c r="E69" s="22" t="s">
        <v>79</v>
      </c>
      <c r="F69" s="22" t="s">
        <v>79</v>
      </c>
      <c r="G69" s="23"/>
      <c r="H69" t="str">
        <f t="shared" si="11"/>
        <v>Q16.15</v>
      </c>
      <c r="I69" t="str">
        <f t="shared" si="12"/>
        <v/>
      </c>
      <c r="J69" t="str">
        <f t="shared" si="13"/>
        <v/>
      </c>
      <c r="K69" t="str">
        <f t="shared" si="14"/>
        <v/>
      </c>
      <c r="L69" t="str">
        <f t="shared" si="15"/>
        <v/>
      </c>
      <c r="M69" t="str">
        <f t="shared" si="16"/>
        <v/>
      </c>
    </row>
    <row r="70" spans="1:20" ht="15" thickBot="1" x14ac:dyDescent="0.35">
      <c r="A70" s="4" t="s">
        <v>185</v>
      </c>
      <c r="B70" s="22" t="s">
        <v>79</v>
      </c>
      <c r="C70" s="22" t="s">
        <v>79</v>
      </c>
      <c r="D70" s="22" t="s">
        <v>79</v>
      </c>
      <c r="E70" s="22" t="s">
        <v>79</v>
      </c>
      <c r="F70" s="22" t="s">
        <v>79</v>
      </c>
      <c r="G70" s="23"/>
      <c r="H70" t="str">
        <f t="shared" si="11"/>
        <v>Q16.16</v>
      </c>
      <c r="I70" t="str">
        <f t="shared" si="12"/>
        <v/>
      </c>
      <c r="J70" t="str">
        <f t="shared" si="13"/>
        <v/>
      </c>
      <c r="K70" t="str">
        <f t="shared" si="14"/>
        <v/>
      </c>
      <c r="L70" t="str">
        <f t="shared" si="15"/>
        <v/>
      </c>
      <c r="M70" t="str">
        <f t="shared" si="16"/>
        <v/>
      </c>
      <c r="T70" t="s">
        <v>228</v>
      </c>
    </row>
    <row r="71" spans="1:20" ht="15" thickBot="1" x14ac:dyDescent="0.35">
      <c r="A71" s="4" t="s">
        <v>186</v>
      </c>
      <c r="B71" s="22" t="s">
        <v>79</v>
      </c>
      <c r="C71" s="22" t="s">
        <v>79</v>
      </c>
      <c r="D71" s="22" t="s">
        <v>79</v>
      </c>
      <c r="E71" s="22" t="s">
        <v>79</v>
      </c>
      <c r="F71" s="22" t="s">
        <v>79</v>
      </c>
      <c r="G71" s="23"/>
      <c r="H71" t="str">
        <f t="shared" si="11"/>
        <v>Q16.17</v>
      </c>
      <c r="I71" t="str">
        <f t="shared" si="12"/>
        <v/>
      </c>
      <c r="J71" t="str">
        <f t="shared" si="13"/>
        <v/>
      </c>
      <c r="K71" t="str">
        <f t="shared" si="14"/>
        <v/>
      </c>
      <c r="L71" t="str">
        <f t="shared" si="15"/>
        <v/>
      </c>
      <c r="M71" t="str">
        <f t="shared" si="16"/>
        <v/>
      </c>
    </row>
    <row r="72" spans="1:20" ht="15" thickBot="1" x14ac:dyDescent="0.35">
      <c r="A72" s="4" t="s">
        <v>187</v>
      </c>
      <c r="B72" s="22" t="s">
        <v>79</v>
      </c>
      <c r="C72" s="22" t="s">
        <v>79</v>
      </c>
      <c r="D72" s="22" t="s">
        <v>79</v>
      </c>
      <c r="E72" s="22" t="s">
        <v>79</v>
      </c>
      <c r="F72" s="22" t="s">
        <v>79</v>
      </c>
      <c r="G72" s="23"/>
      <c r="H72" t="str">
        <f t="shared" si="11"/>
        <v>Q16.18</v>
      </c>
      <c r="I72" t="str">
        <f t="shared" si="12"/>
        <v/>
      </c>
      <c r="J72" t="str">
        <f t="shared" si="13"/>
        <v/>
      </c>
      <c r="K72" t="str">
        <f t="shared" si="14"/>
        <v/>
      </c>
      <c r="L72" t="str">
        <f t="shared" si="15"/>
        <v/>
      </c>
      <c r="M72" t="str">
        <f t="shared" si="16"/>
        <v/>
      </c>
    </row>
    <row r="73" spans="1:20" ht="15" thickBot="1" x14ac:dyDescent="0.35">
      <c r="A73" s="4" t="s">
        <v>188</v>
      </c>
      <c r="B73" s="22" t="s">
        <v>79</v>
      </c>
      <c r="C73" s="22" t="s">
        <v>79</v>
      </c>
      <c r="D73" s="22" t="s">
        <v>79</v>
      </c>
      <c r="E73" s="22" t="s">
        <v>79</v>
      </c>
      <c r="F73" s="22" t="s">
        <v>79</v>
      </c>
      <c r="G73" s="23"/>
      <c r="H73" t="str">
        <f t="shared" si="11"/>
        <v>Q16.19</v>
      </c>
      <c r="I73" t="str">
        <f t="shared" si="12"/>
        <v/>
      </c>
      <c r="J73" t="str">
        <f t="shared" si="13"/>
        <v/>
      </c>
      <c r="K73" t="str">
        <f t="shared" si="14"/>
        <v/>
      </c>
      <c r="L73" t="str">
        <f t="shared" si="15"/>
        <v/>
      </c>
      <c r="M73" t="str">
        <f t="shared" si="16"/>
        <v/>
      </c>
    </row>
    <row r="74" spans="1:20" ht="15" thickBot="1" x14ac:dyDescent="0.35">
      <c r="A74" s="4" t="s">
        <v>189</v>
      </c>
      <c r="B74" s="22" t="s">
        <v>79</v>
      </c>
      <c r="C74" s="22" t="s">
        <v>79</v>
      </c>
      <c r="D74" s="22" t="s">
        <v>79</v>
      </c>
      <c r="E74" s="22" t="s">
        <v>79</v>
      </c>
      <c r="F74" s="22" t="s">
        <v>79</v>
      </c>
      <c r="G74" s="23"/>
      <c r="H74" t="str">
        <f t="shared" si="11"/>
        <v>Q16.20</v>
      </c>
      <c r="I74" t="str">
        <f t="shared" si="12"/>
        <v/>
      </c>
      <c r="J74" t="str">
        <f t="shared" si="13"/>
        <v/>
      </c>
      <c r="K74" t="str">
        <f t="shared" si="14"/>
        <v/>
      </c>
      <c r="L74" t="str">
        <f t="shared" si="15"/>
        <v/>
      </c>
      <c r="M74" t="str">
        <f t="shared" si="16"/>
        <v/>
      </c>
    </row>
    <row r="75" spans="1:20" ht="15" thickBot="1" x14ac:dyDescent="0.35">
      <c r="A75" s="4" t="s">
        <v>190</v>
      </c>
      <c r="B75" s="22" t="s">
        <v>79</v>
      </c>
      <c r="C75" s="22" t="s">
        <v>79</v>
      </c>
      <c r="D75" s="22" t="s">
        <v>79</v>
      </c>
      <c r="E75" s="22" t="s">
        <v>79</v>
      </c>
      <c r="F75" s="22" t="s">
        <v>79</v>
      </c>
      <c r="G75" s="23"/>
      <c r="H75" t="str">
        <f t="shared" si="11"/>
        <v>Q16.21</v>
      </c>
      <c r="I75" t="str">
        <f t="shared" si="12"/>
        <v/>
      </c>
      <c r="J75" t="str">
        <f t="shared" si="13"/>
        <v/>
      </c>
      <c r="K75" t="str">
        <f t="shared" si="14"/>
        <v/>
      </c>
      <c r="L75" t="str">
        <f t="shared" si="15"/>
        <v/>
      </c>
      <c r="M75" t="str">
        <f t="shared" si="16"/>
        <v/>
      </c>
    </row>
    <row r="76" spans="1:20" ht="15" thickBot="1" x14ac:dyDescent="0.35">
      <c r="A76" s="4" t="s">
        <v>191</v>
      </c>
      <c r="B76" s="22" t="s">
        <v>79</v>
      </c>
      <c r="C76" s="22" t="s">
        <v>79</v>
      </c>
      <c r="D76" s="22" t="s">
        <v>79</v>
      </c>
      <c r="E76" s="22" t="s">
        <v>79</v>
      </c>
      <c r="F76" s="22" t="s">
        <v>79</v>
      </c>
      <c r="G76" s="23"/>
      <c r="H76" t="str">
        <f t="shared" si="11"/>
        <v>Q16.22</v>
      </c>
      <c r="I76" t="str">
        <f t="shared" si="12"/>
        <v/>
      </c>
      <c r="J76" t="str">
        <f t="shared" si="13"/>
        <v/>
      </c>
      <c r="K76" t="str">
        <f t="shared" si="14"/>
        <v/>
      </c>
      <c r="L76" t="str">
        <f t="shared" si="15"/>
        <v/>
      </c>
      <c r="M76" t="str">
        <f t="shared" si="16"/>
        <v/>
      </c>
    </row>
    <row r="77" spans="1:20" ht="15" thickBot="1" x14ac:dyDescent="0.35">
      <c r="A77" s="4" t="s">
        <v>192</v>
      </c>
      <c r="B77" s="22" t="s">
        <v>79</v>
      </c>
      <c r="C77" s="22" t="s">
        <v>79</v>
      </c>
      <c r="D77" s="22" t="s">
        <v>79</v>
      </c>
      <c r="E77" s="22" t="s">
        <v>79</v>
      </c>
      <c r="F77" s="22" t="s">
        <v>79</v>
      </c>
      <c r="G77" s="23"/>
      <c r="H77" t="str">
        <f t="shared" si="11"/>
        <v>Q16.23</v>
      </c>
      <c r="I77" t="str">
        <f t="shared" si="12"/>
        <v/>
      </c>
      <c r="J77" t="str">
        <f t="shared" si="13"/>
        <v/>
      </c>
      <c r="K77" t="str">
        <f t="shared" si="14"/>
        <v/>
      </c>
      <c r="L77" t="str">
        <f t="shared" si="15"/>
        <v/>
      </c>
      <c r="M77" t="str">
        <f t="shared" si="16"/>
        <v/>
      </c>
    </row>
    <row r="78" spans="1:20" ht="15" thickBot="1" x14ac:dyDescent="0.35">
      <c r="A78" s="4" t="s">
        <v>193</v>
      </c>
      <c r="B78" s="22" t="s">
        <v>79</v>
      </c>
      <c r="C78" s="22" t="s">
        <v>79</v>
      </c>
      <c r="D78" s="22" t="s">
        <v>79</v>
      </c>
      <c r="E78" s="22" t="s">
        <v>79</v>
      </c>
      <c r="F78" s="22" t="s">
        <v>79</v>
      </c>
      <c r="G78" s="23"/>
      <c r="H78" t="str">
        <f t="shared" si="11"/>
        <v>Q16.24</v>
      </c>
      <c r="I78" t="str">
        <f t="shared" si="12"/>
        <v/>
      </c>
      <c r="J78" t="str">
        <f t="shared" si="13"/>
        <v/>
      </c>
      <c r="K78" t="str">
        <f t="shared" si="14"/>
        <v/>
      </c>
      <c r="L78" t="str">
        <f t="shared" si="15"/>
        <v/>
      </c>
      <c r="M78" t="str">
        <f t="shared" si="16"/>
        <v/>
      </c>
    </row>
    <row r="79" spans="1:20" ht="15" thickBot="1" x14ac:dyDescent="0.35">
      <c r="A79" s="4" t="s">
        <v>194</v>
      </c>
      <c r="B79" s="22" t="s">
        <v>79</v>
      </c>
      <c r="C79" s="22" t="s">
        <v>79</v>
      </c>
      <c r="D79" s="22" t="s">
        <v>79</v>
      </c>
      <c r="E79" s="22" t="s">
        <v>79</v>
      </c>
      <c r="F79" s="22" t="s">
        <v>79</v>
      </c>
      <c r="G79" s="23"/>
      <c r="H79" t="str">
        <f t="shared" si="11"/>
        <v>Q16.25</v>
      </c>
      <c r="I79" t="str">
        <f t="shared" si="12"/>
        <v/>
      </c>
      <c r="J79" t="str">
        <f t="shared" si="13"/>
        <v/>
      </c>
      <c r="K79" t="str">
        <f t="shared" si="14"/>
        <v/>
      </c>
      <c r="L79" t="str">
        <f t="shared" si="15"/>
        <v/>
      </c>
      <c r="M79" t="str">
        <f t="shared" si="16"/>
        <v/>
      </c>
      <c r="T79" t="s">
        <v>229</v>
      </c>
    </row>
    <row r="80" spans="1:20" ht="15" thickBot="1" x14ac:dyDescent="0.35">
      <c r="A80" s="4" t="s">
        <v>195</v>
      </c>
      <c r="B80" s="22" t="s">
        <v>79</v>
      </c>
      <c r="C80" s="22" t="s">
        <v>79</v>
      </c>
      <c r="D80" s="22" t="s">
        <v>79</v>
      </c>
      <c r="E80" s="22" t="s">
        <v>79</v>
      </c>
      <c r="F80" s="22" t="s">
        <v>79</v>
      </c>
      <c r="G80" s="23"/>
      <c r="H80" t="str">
        <f t="shared" si="11"/>
        <v>Q16.26</v>
      </c>
      <c r="I80" t="str">
        <f t="shared" si="12"/>
        <v/>
      </c>
      <c r="J80" t="str">
        <f t="shared" si="13"/>
        <v/>
      </c>
      <c r="K80" t="str">
        <f t="shared" si="14"/>
        <v/>
      </c>
      <c r="L80" t="str">
        <f t="shared" si="15"/>
        <v/>
      </c>
      <c r="M80" t="str">
        <f t="shared" si="16"/>
        <v/>
      </c>
    </row>
    <row r="81" spans="1:20" ht="15" thickBot="1" x14ac:dyDescent="0.35">
      <c r="A81" s="4" t="s">
        <v>196</v>
      </c>
      <c r="B81" s="22" t="s">
        <v>79</v>
      </c>
      <c r="C81" s="22" t="s">
        <v>79</v>
      </c>
      <c r="D81" s="22" t="s">
        <v>79</v>
      </c>
      <c r="E81" s="22" t="s">
        <v>79</v>
      </c>
      <c r="F81" s="22" t="s">
        <v>79</v>
      </c>
      <c r="G81" s="23"/>
      <c r="H81" t="str">
        <f t="shared" si="11"/>
        <v>Q16.27</v>
      </c>
      <c r="I81" t="str">
        <f t="shared" si="12"/>
        <v/>
      </c>
      <c r="J81" t="str">
        <f t="shared" si="13"/>
        <v/>
      </c>
      <c r="K81" t="str">
        <f t="shared" si="14"/>
        <v/>
      </c>
      <c r="L81" t="str">
        <f t="shared" si="15"/>
        <v/>
      </c>
      <c r="M81" t="str">
        <f t="shared" si="16"/>
        <v/>
      </c>
      <c r="T81" t="s">
        <v>230</v>
      </c>
    </row>
    <row r="82" spans="1:20" ht="15" thickBot="1" x14ac:dyDescent="0.35">
      <c r="A82" s="4" t="s">
        <v>197</v>
      </c>
      <c r="B82" s="22">
        <v>0.27</v>
      </c>
      <c r="C82" s="22">
        <v>-0.1</v>
      </c>
      <c r="D82" s="22">
        <v>-0.26</v>
      </c>
      <c r="E82" s="22" t="s">
        <v>79</v>
      </c>
      <c r="F82" s="22" t="s">
        <v>79</v>
      </c>
      <c r="G82" s="23"/>
      <c r="H82" t="str">
        <f t="shared" si="11"/>
        <v>Q17</v>
      </c>
      <c r="I82">
        <f t="shared" si="12"/>
        <v>0.27</v>
      </c>
      <c r="J82">
        <f t="shared" si="13"/>
        <v>-0.1</v>
      </c>
      <c r="K82">
        <f t="shared" si="14"/>
        <v>-0.26</v>
      </c>
      <c r="L82" t="str">
        <f t="shared" si="15"/>
        <v/>
      </c>
      <c r="M82" t="str">
        <f t="shared" si="16"/>
        <v/>
      </c>
      <c r="T82" t="s">
        <v>231</v>
      </c>
    </row>
    <row r="83" spans="1:20" ht="15" thickBot="1" x14ac:dyDescent="0.35">
      <c r="A83" s="4" t="s">
        <v>198</v>
      </c>
      <c r="B83" s="22" t="s">
        <v>79</v>
      </c>
      <c r="C83" s="22" t="s">
        <v>79</v>
      </c>
      <c r="D83" s="22">
        <v>0.16</v>
      </c>
      <c r="E83" s="22">
        <v>-0.15</v>
      </c>
      <c r="F83" s="22" t="s">
        <v>79</v>
      </c>
      <c r="G83" s="23"/>
      <c r="H83" t="str">
        <f t="shared" si="11"/>
        <v>Q18</v>
      </c>
      <c r="I83" t="str">
        <f t="shared" si="12"/>
        <v/>
      </c>
      <c r="J83" t="str">
        <f t="shared" si="13"/>
        <v/>
      </c>
      <c r="K83">
        <f t="shared" si="14"/>
        <v>0.16</v>
      </c>
      <c r="L83">
        <f t="shared" si="15"/>
        <v>-0.15</v>
      </c>
      <c r="M83" t="str">
        <f t="shared" si="16"/>
        <v/>
      </c>
      <c r="T83" t="s">
        <v>232</v>
      </c>
    </row>
  </sheetData>
  <conditionalFormatting sqref="I3:I83">
    <cfRule type="colorScale" priority="4">
      <colorScale>
        <cfvo type="min"/>
        <cfvo type="percentile" val="50"/>
        <cfvo type="max"/>
        <color rgb="FFF8696B"/>
        <color rgb="FFFFEB84"/>
        <color rgb="FF63BE7B"/>
      </colorScale>
    </cfRule>
  </conditionalFormatting>
  <conditionalFormatting sqref="N3:S83">
    <cfRule type="colorScale" priority="3">
      <colorScale>
        <cfvo type="min"/>
        <cfvo type="percentile" val="50"/>
        <cfvo type="max"/>
        <color rgb="FFF8696B"/>
        <color rgb="FFFFEB84"/>
        <color rgb="FF63BE7B"/>
      </colorScale>
    </cfRule>
  </conditionalFormatting>
  <conditionalFormatting sqref="J3:M83">
    <cfRule type="colorScale" priority="5">
      <colorScale>
        <cfvo type="min"/>
        <cfvo type="percentile" val="50"/>
        <cfvo type="max"/>
        <color rgb="FFF8696B"/>
        <color rgb="FFFFEB84"/>
        <color rgb="FF63BE7B"/>
      </colorScale>
    </cfRule>
  </conditionalFormatting>
  <conditionalFormatting sqref="I2">
    <cfRule type="colorScale" priority="1">
      <colorScale>
        <cfvo type="min"/>
        <cfvo type="percentile" val="50"/>
        <cfvo type="max"/>
        <color rgb="FFF8696B"/>
        <color rgb="FFFFEB84"/>
        <color rgb="FF63BE7B"/>
      </colorScale>
    </cfRule>
  </conditionalFormatting>
  <conditionalFormatting sqref="J2:M2">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4FC72-F41A-4F28-8F93-5AEEB7C2BCFB}">
  <dimension ref="A1:AE83"/>
  <sheetViews>
    <sheetView workbookViewId="0">
      <selection activeCell="I2" sqref="I2"/>
    </sheetView>
  </sheetViews>
  <sheetFormatPr defaultRowHeight="14.4" x14ac:dyDescent="0.3"/>
  <cols>
    <col min="1" max="1" width="17.33203125" bestFit="1" customWidth="1"/>
    <col min="10" max="13" width="8.88671875" customWidth="1"/>
    <col min="14" max="19" width="8.88671875" hidden="1" customWidth="1"/>
  </cols>
  <sheetData>
    <row r="1" spans="1:31" ht="21" x14ac:dyDescent="0.4">
      <c r="A1" s="25" t="s">
        <v>249</v>
      </c>
      <c r="B1" s="15" t="s">
        <v>205</v>
      </c>
      <c r="I1" s="15" t="s">
        <v>205</v>
      </c>
    </row>
    <row r="2" spans="1:31" x14ac:dyDescent="0.3">
      <c r="B2" s="12" t="s">
        <v>199</v>
      </c>
      <c r="C2" s="12" t="s">
        <v>200</v>
      </c>
      <c r="D2" s="12" t="s">
        <v>201</v>
      </c>
      <c r="E2" s="12" t="s">
        <v>202</v>
      </c>
      <c r="F2" s="12" t="s">
        <v>203</v>
      </c>
      <c r="G2" s="12"/>
      <c r="I2" s="12" t="s">
        <v>278</v>
      </c>
      <c r="J2" s="12" t="s">
        <v>141</v>
      </c>
      <c r="K2" s="12" t="s">
        <v>277</v>
      </c>
      <c r="L2" s="12" t="s">
        <v>264</v>
      </c>
      <c r="M2" s="12" t="s">
        <v>276</v>
      </c>
      <c r="N2" s="12" t="str">
        <f>I2</f>
        <v>Status guy not price sensitive</v>
      </c>
      <c r="O2" s="12" t="str">
        <f>J2</f>
        <v>Expert</v>
      </c>
      <c r="P2" s="12" t="str">
        <f>K2</f>
        <v>Status guys price sensitive</v>
      </c>
      <c r="Q2" s="12" t="str">
        <f>L2</f>
        <v>Beginner</v>
      </c>
      <c r="R2" s="12" t="str">
        <f>M2</f>
        <v>Older anti-status guys</v>
      </c>
      <c r="S2" s="12" t="e">
        <f>#REF!</f>
        <v>#REF!</v>
      </c>
      <c r="AB2" s="12" t="s">
        <v>241</v>
      </c>
    </row>
    <row r="3" spans="1:31" ht="15" thickBot="1" x14ac:dyDescent="0.35">
      <c r="A3" s="4" t="s">
        <v>115</v>
      </c>
      <c r="B3" t="s">
        <v>79</v>
      </c>
      <c r="C3" t="s">
        <v>79</v>
      </c>
      <c r="D3" t="s">
        <v>79</v>
      </c>
      <c r="E3" t="s">
        <v>79</v>
      </c>
      <c r="F3" t="s">
        <v>79</v>
      </c>
      <c r="G3" s="23"/>
      <c r="H3" t="str">
        <f>A3</f>
        <v>Q1.1</v>
      </c>
      <c r="T3" t="s">
        <v>0</v>
      </c>
      <c r="AB3" t="s">
        <v>234</v>
      </c>
    </row>
    <row r="4" spans="1:31" ht="15" thickBot="1" x14ac:dyDescent="0.35">
      <c r="A4" s="4" t="s">
        <v>119</v>
      </c>
      <c r="B4">
        <v>-0.16</v>
      </c>
      <c r="C4" t="s">
        <v>79</v>
      </c>
      <c r="D4">
        <v>0.38</v>
      </c>
      <c r="E4" t="s">
        <v>79</v>
      </c>
      <c r="F4" t="s">
        <v>79</v>
      </c>
      <c r="G4" s="23"/>
      <c r="H4" t="str">
        <f t="shared" ref="H4:H67" si="0">A4</f>
        <v>Q1.2</v>
      </c>
      <c r="I4">
        <f t="shared" ref="I4:I35" si="1">IF(ISNUMBER(B4),B4,"")</f>
        <v>-0.16</v>
      </c>
      <c r="J4" t="str">
        <f t="shared" ref="J4:J35" si="2">IF(ISNUMBER(C4),C4,"")</f>
        <v/>
      </c>
      <c r="K4">
        <f t="shared" ref="K4:K35" si="3">IF(ISNUMBER(D4),D4,"")</f>
        <v>0.38</v>
      </c>
      <c r="L4" t="str">
        <f t="shared" ref="L4:L35" si="4">IF(ISNUMBER(E4),E4,"")</f>
        <v/>
      </c>
      <c r="M4" t="str">
        <f t="shared" ref="M4:M35" si="5">IF(ISNUMBER(F4),F4,"")</f>
        <v/>
      </c>
      <c r="T4" t="s">
        <v>1</v>
      </c>
      <c r="AB4" t="s">
        <v>235</v>
      </c>
    </row>
    <row r="5" spans="1:31" ht="15" thickBot="1" x14ac:dyDescent="0.35">
      <c r="A5" s="4" t="s">
        <v>96</v>
      </c>
      <c r="B5">
        <v>0.19</v>
      </c>
      <c r="C5" t="s">
        <v>79</v>
      </c>
      <c r="D5">
        <v>0.21</v>
      </c>
      <c r="E5">
        <v>-0.13</v>
      </c>
      <c r="F5">
        <v>-0.24</v>
      </c>
      <c r="G5" s="23"/>
      <c r="H5" t="str">
        <f t="shared" si="0"/>
        <v>Q1.3</v>
      </c>
      <c r="I5">
        <f t="shared" si="1"/>
        <v>0.19</v>
      </c>
      <c r="J5" t="str">
        <f t="shared" si="2"/>
        <v/>
      </c>
      <c r="K5">
        <f t="shared" si="3"/>
        <v>0.21</v>
      </c>
      <c r="L5">
        <f t="shared" si="4"/>
        <v>-0.13</v>
      </c>
      <c r="M5">
        <f t="shared" si="5"/>
        <v>-0.24</v>
      </c>
      <c r="T5" t="s">
        <v>2</v>
      </c>
      <c r="AB5" t="s">
        <v>236</v>
      </c>
    </row>
    <row r="6" spans="1:31" ht="15" thickBot="1" x14ac:dyDescent="0.35">
      <c r="A6" s="4" t="s">
        <v>114</v>
      </c>
      <c r="B6" t="s">
        <v>79</v>
      </c>
      <c r="C6" t="s">
        <v>79</v>
      </c>
      <c r="D6" t="s">
        <v>79</v>
      </c>
      <c r="E6" t="s">
        <v>79</v>
      </c>
      <c r="F6" t="s">
        <v>79</v>
      </c>
      <c r="G6" s="23"/>
      <c r="H6" t="str">
        <f t="shared" si="0"/>
        <v>Q1.4</v>
      </c>
      <c r="I6" t="str">
        <f t="shared" si="1"/>
        <v/>
      </c>
      <c r="J6" t="str">
        <f t="shared" si="2"/>
        <v/>
      </c>
      <c r="K6" t="str">
        <f t="shared" si="3"/>
        <v/>
      </c>
      <c r="L6" t="str">
        <f t="shared" si="4"/>
        <v/>
      </c>
      <c r="M6" t="str">
        <f t="shared" si="5"/>
        <v/>
      </c>
      <c r="T6" t="s">
        <v>3</v>
      </c>
      <c r="AB6" t="s">
        <v>237</v>
      </c>
    </row>
    <row r="7" spans="1:31" ht="15" thickBot="1" x14ac:dyDescent="0.35">
      <c r="A7" s="4" t="s">
        <v>108</v>
      </c>
      <c r="B7">
        <v>0.14000000000000001</v>
      </c>
      <c r="C7" t="s">
        <v>79</v>
      </c>
      <c r="D7" t="s">
        <v>79</v>
      </c>
      <c r="E7" t="s">
        <v>79</v>
      </c>
      <c r="F7">
        <v>-0.17</v>
      </c>
      <c r="G7" s="23"/>
      <c r="H7" t="str">
        <f t="shared" si="0"/>
        <v>Q1.5</v>
      </c>
      <c r="I7">
        <f t="shared" si="1"/>
        <v>0.14000000000000001</v>
      </c>
      <c r="J7" t="str">
        <f t="shared" si="2"/>
        <v/>
      </c>
      <c r="K7" t="str">
        <f t="shared" si="3"/>
        <v/>
      </c>
      <c r="L7" t="str">
        <f t="shared" si="4"/>
        <v/>
      </c>
      <c r="M7">
        <f t="shared" si="5"/>
        <v>-0.17</v>
      </c>
      <c r="T7" t="s">
        <v>4</v>
      </c>
      <c r="AB7" t="s">
        <v>238</v>
      </c>
    </row>
    <row r="8" spans="1:31" ht="15" thickBot="1" x14ac:dyDescent="0.35">
      <c r="A8" s="4" t="s">
        <v>102</v>
      </c>
      <c r="B8">
        <v>0.12</v>
      </c>
      <c r="C8" t="s">
        <v>79</v>
      </c>
      <c r="D8" t="s">
        <v>79</v>
      </c>
      <c r="E8">
        <v>-0.1</v>
      </c>
      <c r="F8">
        <v>-0.11</v>
      </c>
      <c r="G8" s="23"/>
      <c r="H8" t="str">
        <f t="shared" si="0"/>
        <v>Q1.6</v>
      </c>
      <c r="I8">
        <f t="shared" si="1"/>
        <v>0.12</v>
      </c>
      <c r="J8" t="str">
        <f t="shared" si="2"/>
        <v/>
      </c>
      <c r="K8" t="str">
        <f t="shared" si="3"/>
        <v/>
      </c>
      <c r="L8">
        <f t="shared" si="4"/>
        <v>-0.1</v>
      </c>
      <c r="M8">
        <f t="shared" si="5"/>
        <v>-0.11</v>
      </c>
      <c r="T8" t="s">
        <v>5</v>
      </c>
      <c r="AB8" t="s">
        <v>239</v>
      </c>
    </row>
    <row r="9" spans="1:31" ht="15" thickBot="1" x14ac:dyDescent="0.35">
      <c r="A9" s="4" t="s">
        <v>97</v>
      </c>
      <c r="B9">
        <v>0.17</v>
      </c>
      <c r="C9" t="s">
        <v>79</v>
      </c>
      <c r="D9" t="s">
        <v>79</v>
      </c>
      <c r="E9">
        <v>-0.1</v>
      </c>
      <c r="F9">
        <v>-0.2</v>
      </c>
      <c r="G9" s="23"/>
      <c r="H9" t="str">
        <f t="shared" si="0"/>
        <v>Q1.7</v>
      </c>
      <c r="I9">
        <f t="shared" si="1"/>
        <v>0.17</v>
      </c>
      <c r="J9" t="str">
        <f t="shared" si="2"/>
        <v/>
      </c>
      <c r="K9" t="str">
        <f t="shared" si="3"/>
        <v/>
      </c>
      <c r="L9">
        <f t="shared" si="4"/>
        <v>-0.1</v>
      </c>
      <c r="M9">
        <f t="shared" si="5"/>
        <v>-0.2</v>
      </c>
      <c r="T9" t="s">
        <v>6</v>
      </c>
      <c r="AB9" t="s">
        <v>240</v>
      </c>
    </row>
    <row r="10" spans="1:31" ht="15" thickBot="1" x14ac:dyDescent="0.35">
      <c r="A10" s="4" t="s">
        <v>118</v>
      </c>
      <c r="B10" t="s">
        <v>79</v>
      </c>
      <c r="C10" t="s">
        <v>79</v>
      </c>
      <c r="D10" t="s">
        <v>79</v>
      </c>
      <c r="E10" t="s">
        <v>79</v>
      </c>
      <c r="F10" t="s">
        <v>79</v>
      </c>
      <c r="G10" s="23"/>
      <c r="H10" t="str">
        <f t="shared" si="0"/>
        <v>Q1.8</v>
      </c>
      <c r="I10" t="str">
        <f t="shared" si="1"/>
        <v/>
      </c>
      <c r="J10" t="str">
        <f t="shared" si="2"/>
        <v/>
      </c>
      <c r="K10" t="str">
        <f t="shared" si="3"/>
        <v/>
      </c>
      <c r="L10" t="str">
        <f t="shared" si="4"/>
        <v/>
      </c>
      <c r="M10" t="str">
        <f t="shared" si="5"/>
        <v/>
      </c>
      <c r="T10" t="s">
        <v>7</v>
      </c>
    </row>
    <row r="11" spans="1:31" ht="15" thickBot="1" x14ac:dyDescent="0.35">
      <c r="A11" s="4" t="s">
        <v>104</v>
      </c>
      <c r="B11">
        <v>0.21</v>
      </c>
      <c r="C11" t="s">
        <v>79</v>
      </c>
      <c r="D11">
        <v>0.3</v>
      </c>
      <c r="E11">
        <v>-0.11</v>
      </c>
      <c r="F11">
        <v>-0.31</v>
      </c>
      <c r="G11" s="23"/>
      <c r="H11" t="str">
        <f t="shared" si="0"/>
        <v>Q1.9</v>
      </c>
      <c r="I11">
        <f t="shared" si="1"/>
        <v>0.21</v>
      </c>
      <c r="J11" t="str">
        <f t="shared" si="2"/>
        <v/>
      </c>
      <c r="K11">
        <f t="shared" si="3"/>
        <v>0.3</v>
      </c>
      <c r="L11">
        <f t="shared" si="4"/>
        <v>-0.11</v>
      </c>
      <c r="M11">
        <f t="shared" si="5"/>
        <v>-0.31</v>
      </c>
      <c r="T11" t="s">
        <v>8</v>
      </c>
      <c r="AE11" s="12" t="s">
        <v>244</v>
      </c>
    </row>
    <row r="12" spans="1:31" ht="15" thickBot="1" x14ac:dyDescent="0.35">
      <c r="A12" s="4" t="s">
        <v>117</v>
      </c>
      <c r="B12" t="s">
        <v>79</v>
      </c>
      <c r="C12" t="s">
        <v>79</v>
      </c>
      <c r="D12">
        <v>0.16</v>
      </c>
      <c r="E12" t="s">
        <v>79</v>
      </c>
      <c r="F12" t="s">
        <v>79</v>
      </c>
      <c r="G12" s="23"/>
      <c r="H12" t="str">
        <f t="shared" si="0"/>
        <v>Q1.10</v>
      </c>
      <c r="I12" t="str">
        <f t="shared" si="1"/>
        <v/>
      </c>
      <c r="J12" t="str">
        <f t="shared" si="2"/>
        <v/>
      </c>
      <c r="K12">
        <f t="shared" si="3"/>
        <v>0.16</v>
      </c>
      <c r="L12" t="str">
        <f t="shared" si="4"/>
        <v/>
      </c>
      <c r="M12" t="str">
        <f t="shared" si="5"/>
        <v/>
      </c>
      <c r="T12" t="s">
        <v>9</v>
      </c>
      <c r="AB12">
        <v>21</v>
      </c>
      <c r="AC12" s="24" t="s">
        <v>20</v>
      </c>
      <c r="AE12" t="s">
        <v>128</v>
      </c>
    </row>
    <row r="13" spans="1:31" ht="15" thickBot="1" x14ac:dyDescent="0.35">
      <c r="A13" s="4" t="s">
        <v>116</v>
      </c>
      <c r="B13" t="s">
        <v>79</v>
      </c>
      <c r="C13">
        <v>0.15</v>
      </c>
      <c r="D13">
        <v>0.1</v>
      </c>
      <c r="E13">
        <v>-0.4</v>
      </c>
      <c r="F13">
        <v>0.17</v>
      </c>
      <c r="G13" s="23"/>
      <c r="H13" t="str">
        <f t="shared" si="0"/>
        <v>Q1.11</v>
      </c>
      <c r="I13" t="str">
        <f t="shared" si="1"/>
        <v/>
      </c>
      <c r="J13">
        <f t="shared" si="2"/>
        <v>0.15</v>
      </c>
      <c r="K13">
        <f t="shared" si="3"/>
        <v>0.1</v>
      </c>
      <c r="L13">
        <f t="shared" si="4"/>
        <v>-0.4</v>
      </c>
      <c r="M13">
        <f t="shared" si="5"/>
        <v>0.17</v>
      </c>
      <c r="T13" t="s">
        <v>10</v>
      </c>
      <c r="AB13">
        <v>9</v>
      </c>
      <c r="AC13" s="24" t="s">
        <v>8</v>
      </c>
      <c r="AE13" t="s">
        <v>242</v>
      </c>
    </row>
    <row r="14" spans="1:31" ht="15" thickBot="1" x14ac:dyDescent="0.35">
      <c r="A14" s="4" t="s">
        <v>120</v>
      </c>
      <c r="B14">
        <v>-0.25</v>
      </c>
      <c r="C14" t="s">
        <v>79</v>
      </c>
      <c r="D14">
        <v>0.38</v>
      </c>
      <c r="E14" t="s">
        <v>79</v>
      </c>
      <c r="F14">
        <v>0.2</v>
      </c>
      <c r="G14" s="23"/>
      <c r="H14" t="str">
        <f t="shared" si="0"/>
        <v>Q1.12</v>
      </c>
      <c r="I14">
        <f t="shared" si="1"/>
        <v>-0.25</v>
      </c>
      <c r="J14" t="str">
        <f t="shared" si="2"/>
        <v/>
      </c>
      <c r="K14">
        <f t="shared" si="3"/>
        <v>0.38</v>
      </c>
      <c r="L14" t="str">
        <f t="shared" si="4"/>
        <v/>
      </c>
      <c r="M14">
        <f t="shared" si="5"/>
        <v>0.2</v>
      </c>
      <c r="T14" t="s">
        <v>11</v>
      </c>
      <c r="AB14">
        <v>27</v>
      </c>
      <c r="AC14" s="24" t="s">
        <v>26</v>
      </c>
      <c r="AE14" t="s">
        <v>129</v>
      </c>
    </row>
    <row r="15" spans="1:31" ht="15" thickBot="1" x14ac:dyDescent="0.35">
      <c r="A15" s="4" t="s">
        <v>100</v>
      </c>
      <c r="B15">
        <v>0.22</v>
      </c>
      <c r="C15" t="s">
        <v>79</v>
      </c>
      <c r="D15">
        <v>0.28000000000000003</v>
      </c>
      <c r="E15">
        <v>-0.11</v>
      </c>
      <c r="F15">
        <v>-0.32</v>
      </c>
      <c r="G15" s="23"/>
      <c r="H15" t="str">
        <f t="shared" si="0"/>
        <v>Q1.13</v>
      </c>
      <c r="I15">
        <f t="shared" si="1"/>
        <v>0.22</v>
      </c>
      <c r="J15" t="str">
        <f t="shared" si="2"/>
        <v/>
      </c>
      <c r="K15">
        <f t="shared" si="3"/>
        <v>0.28000000000000003</v>
      </c>
      <c r="L15">
        <f t="shared" si="4"/>
        <v>-0.11</v>
      </c>
      <c r="M15">
        <f t="shared" si="5"/>
        <v>-0.32</v>
      </c>
      <c r="T15" t="s">
        <v>13</v>
      </c>
      <c r="AB15">
        <v>4</v>
      </c>
      <c r="AC15" s="24" t="s">
        <v>3</v>
      </c>
      <c r="AE15" t="s">
        <v>243</v>
      </c>
    </row>
    <row r="16" spans="1:31" ht="15" thickBot="1" x14ac:dyDescent="0.35">
      <c r="A16" s="4" t="s">
        <v>93</v>
      </c>
      <c r="B16">
        <v>0.19</v>
      </c>
      <c r="C16" t="s">
        <v>79</v>
      </c>
      <c r="D16">
        <v>0.2</v>
      </c>
      <c r="E16">
        <v>-0.14000000000000001</v>
      </c>
      <c r="F16">
        <v>-0.23</v>
      </c>
      <c r="G16" s="23"/>
      <c r="H16" t="str">
        <f t="shared" si="0"/>
        <v>Q1.14</v>
      </c>
      <c r="I16">
        <f t="shared" si="1"/>
        <v>0.19</v>
      </c>
      <c r="J16" t="str">
        <f t="shared" si="2"/>
        <v/>
      </c>
      <c r="K16">
        <f t="shared" si="3"/>
        <v>0.2</v>
      </c>
      <c r="L16">
        <f t="shared" si="4"/>
        <v>-0.14000000000000001</v>
      </c>
      <c r="M16">
        <f t="shared" si="5"/>
        <v>-0.23</v>
      </c>
      <c r="T16" t="s">
        <v>12</v>
      </c>
      <c r="AB16">
        <v>8</v>
      </c>
      <c r="AC16" s="24" t="s">
        <v>7</v>
      </c>
      <c r="AD16" t="s">
        <v>11</v>
      </c>
      <c r="AE16" t="s">
        <v>89</v>
      </c>
    </row>
    <row r="17" spans="1:31" ht="15" thickBot="1" x14ac:dyDescent="0.35">
      <c r="A17" s="4" t="s">
        <v>98</v>
      </c>
      <c r="B17">
        <v>0.14000000000000001</v>
      </c>
      <c r="C17" t="s">
        <v>79</v>
      </c>
      <c r="D17">
        <v>0.1</v>
      </c>
      <c r="E17">
        <v>-0.13</v>
      </c>
      <c r="F17">
        <v>-0.14000000000000001</v>
      </c>
      <c r="G17" s="23"/>
      <c r="H17" t="str">
        <f t="shared" si="0"/>
        <v>Q1.15</v>
      </c>
      <c r="I17">
        <f t="shared" si="1"/>
        <v>0.14000000000000001</v>
      </c>
      <c r="J17" t="str">
        <f t="shared" si="2"/>
        <v/>
      </c>
      <c r="K17">
        <f t="shared" si="3"/>
        <v>0.1</v>
      </c>
      <c r="L17">
        <f t="shared" si="4"/>
        <v>-0.13</v>
      </c>
      <c r="M17">
        <f t="shared" si="5"/>
        <v>-0.14000000000000001</v>
      </c>
      <c r="T17" t="s">
        <v>14</v>
      </c>
      <c r="AB17">
        <v>10</v>
      </c>
      <c r="AC17" s="24" t="s">
        <v>9</v>
      </c>
      <c r="AE17" t="s">
        <v>141</v>
      </c>
    </row>
    <row r="18" spans="1:31" ht="15" thickBot="1" x14ac:dyDescent="0.35">
      <c r="A18" s="4" t="s">
        <v>99</v>
      </c>
      <c r="B18">
        <v>0.16</v>
      </c>
      <c r="C18" t="s">
        <v>79</v>
      </c>
      <c r="D18">
        <v>0.22</v>
      </c>
      <c r="E18">
        <v>-0.22</v>
      </c>
      <c r="F18">
        <v>-0.19</v>
      </c>
      <c r="G18" s="23"/>
      <c r="H18" t="str">
        <f t="shared" si="0"/>
        <v>Q1.16</v>
      </c>
      <c r="I18">
        <f t="shared" si="1"/>
        <v>0.16</v>
      </c>
      <c r="J18" t="str">
        <f t="shared" si="2"/>
        <v/>
      </c>
      <c r="K18">
        <f t="shared" si="3"/>
        <v>0.22</v>
      </c>
      <c r="L18">
        <f t="shared" si="4"/>
        <v>-0.22</v>
      </c>
      <c r="M18">
        <f t="shared" si="5"/>
        <v>-0.19</v>
      </c>
      <c r="T18" t="s">
        <v>15</v>
      </c>
      <c r="AB18">
        <v>1</v>
      </c>
      <c r="AC18" s="24" t="s">
        <v>0</v>
      </c>
      <c r="AE18" t="s">
        <v>132</v>
      </c>
    </row>
    <row r="19" spans="1:31" ht="15" thickBot="1" x14ac:dyDescent="0.35">
      <c r="A19" s="4" t="s">
        <v>105</v>
      </c>
      <c r="B19">
        <v>0.13</v>
      </c>
      <c r="C19" t="s">
        <v>79</v>
      </c>
      <c r="D19">
        <v>0.21</v>
      </c>
      <c r="E19">
        <v>-0.18</v>
      </c>
      <c r="F19">
        <v>-0.15</v>
      </c>
      <c r="G19" s="23"/>
      <c r="H19" t="str">
        <f t="shared" si="0"/>
        <v>Q1.17</v>
      </c>
      <c r="I19">
        <f t="shared" si="1"/>
        <v>0.13</v>
      </c>
      <c r="J19" t="str">
        <f t="shared" si="2"/>
        <v/>
      </c>
      <c r="K19">
        <f t="shared" si="3"/>
        <v>0.21</v>
      </c>
      <c r="L19">
        <f t="shared" si="4"/>
        <v>-0.18</v>
      </c>
      <c r="M19">
        <f t="shared" si="5"/>
        <v>-0.15</v>
      </c>
      <c r="T19" t="s">
        <v>16</v>
      </c>
    </row>
    <row r="20" spans="1:31" ht="15" thickBot="1" x14ac:dyDescent="0.35">
      <c r="A20" s="4" t="s">
        <v>109</v>
      </c>
      <c r="B20">
        <v>0.1</v>
      </c>
      <c r="C20" t="s">
        <v>79</v>
      </c>
      <c r="D20" t="s">
        <v>79</v>
      </c>
      <c r="E20" t="s">
        <v>79</v>
      </c>
      <c r="F20" t="s">
        <v>79</v>
      </c>
      <c r="G20" s="23"/>
      <c r="H20" t="str">
        <f t="shared" si="0"/>
        <v>Q1.18</v>
      </c>
      <c r="I20">
        <f t="shared" si="1"/>
        <v>0.1</v>
      </c>
      <c r="J20" t="str">
        <f t="shared" si="2"/>
        <v/>
      </c>
      <c r="K20" t="str">
        <f t="shared" si="3"/>
        <v/>
      </c>
      <c r="L20" t="str">
        <f t="shared" si="4"/>
        <v/>
      </c>
      <c r="M20" t="str">
        <f t="shared" si="5"/>
        <v/>
      </c>
      <c r="T20" t="s">
        <v>17</v>
      </c>
    </row>
    <row r="21" spans="1:31" ht="15" thickBot="1" x14ac:dyDescent="0.35">
      <c r="A21" s="4" t="s">
        <v>112</v>
      </c>
      <c r="B21" t="s">
        <v>79</v>
      </c>
      <c r="C21" t="s">
        <v>79</v>
      </c>
      <c r="D21" t="s">
        <v>79</v>
      </c>
      <c r="E21" t="s">
        <v>79</v>
      </c>
      <c r="F21" t="s">
        <v>79</v>
      </c>
      <c r="G21" s="23"/>
      <c r="H21" t="str">
        <f t="shared" si="0"/>
        <v>Q1.19</v>
      </c>
      <c r="I21" t="str">
        <f t="shared" si="1"/>
        <v/>
      </c>
      <c r="J21" t="str">
        <f t="shared" si="2"/>
        <v/>
      </c>
      <c r="K21" t="str">
        <f t="shared" si="3"/>
        <v/>
      </c>
      <c r="L21" t="str">
        <f t="shared" si="4"/>
        <v/>
      </c>
      <c r="M21" t="str">
        <f t="shared" si="5"/>
        <v/>
      </c>
      <c r="T21" t="s">
        <v>18</v>
      </c>
    </row>
    <row r="22" spans="1:31" ht="15" thickBot="1" x14ac:dyDescent="0.35">
      <c r="A22" s="4" t="s">
        <v>94</v>
      </c>
      <c r="B22">
        <v>0.15</v>
      </c>
      <c r="C22" t="s">
        <v>79</v>
      </c>
      <c r="D22">
        <v>0.19</v>
      </c>
      <c r="E22">
        <v>-0.19</v>
      </c>
      <c r="F22">
        <v>-0.18</v>
      </c>
      <c r="G22" s="23"/>
      <c r="H22" t="str">
        <f t="shared" si="0"/>
        <v>Q1.20</v>
      </c>
      <c r="I22">
        <f t="shared" si="1"/>
        <v>0.15</v>
      </c>
      <c r="J22" t="str">
        <f t="shared" si="2"/>
        <v/>
      </c>
      <c r="K22">
        <f t="shared" si="3"/>
        <v>0.19</v>
      </c>
      <c r="L22">
        <f t="shared" si="4"/>
        <v>-0.19</v>
      </c>
      <c r="M22">
        <f t="shared" si="5"/>
        <v>-0.18</v>
      </c>
      <c r="T22" t="s">
        <v>19</v>
      </c>
    </row>
    <row r="23" spans="1:31" ht="15" thickBot="1" x14ac:dyDescent="0.35">
      <c r="A23" s="4" t="s">
        <v>111</v>
      </c>
      <c r="B23" t="s">
        <v>79</v>
      </c>
      <c r="C23" t="s">
        <v>79</v>
      </c>
      <c r="D23" t="s">
        <v>79</v>
      </c>
      <c r="E23" t="s">
        <v>79</v>
      </c>
      <c r="F23" t="s">
        <v>79</v>
      </c>
      <c r="G23" s="23"/>
      <c r="H23" t="str">
        <f t="shared" si="0"/>
        <v>Q1.21</v>
      </c>
      <c r="I23" t="str">
        <f t="shared" si="1"/>
        <v/>
      </c>
      <c r="J23" t="str">
        <f t="shared" si="2"/>
        <v/>
      </c>
      <c r="K23" t="str">
        <f t="shared" si="3"/>
        <v/>
      </c>
      <c r="L23" t="str">
        <f t="shared" si="4"/>
        <v/>
      </c>
      <c r="M23" t="str">
        <f t="shared" si="5"/>
        <v/>
      </c>
      <c r="T23" t="s">
        <v>20</v>
      </c>
    </row>
    <row r="24" spans="1:31" ht="15" thickBot="1" x14ac:dyDescent="0.35">
      <c r="A24" s="4" t="s">
        <v>106</v>
      </c>
      <c r="B24">
        <v>0.1</v>
      </c>
      <c r="C24" t="s">
        <v>79</v>
      </c>
      <c r="D24" t="s">
        <v>79</v>
      </c>
      <c r="E24" t="s">
        <v>79</v>
      </c>
      <c r="F24" t="s">
        <v>79</v>
      </c>
      <c r="G24" s="23"/>
      <c r="H24" t="str">
        <f t="shared" si="0"/>
        <v>Q1.22</v>
      </c>
      <c r="I24">
        <f t="shared" si="1"/>
        <v>0.1</v>
      </c>
      <c r="J24" t="str">
        <f t="shared" si="2"/>
        <v/>
      </c>
      <c r="K24" t="str">
        <f t="shared" si="3"/>
        <v/>
      </c>
      <c r="L24" t="str">
        <f t="shared" si="4"/>
        <v/>
      </c>
      <c r="M24" t="str">
        <f t="shared" si="5"/>
        <v/>
      </c>
      <c r="T24" t="s">
        <v>21</v>
      </c>
    </row>
    <row r="25" spans="1:31" ht="15" thickBot="1" x14ac:dyDescent="0.35">
      <c r="A25" s="4" t="s">
        <v>107</v>
      </c>
      <c r="B25">
        <v>0.16</v>
      </c>
      <c r="C25" t="s">
        <v>79</v>
      </c>
      <c r="D25" t="s">
        <v>79</v>
      </c>
      <c r="E25">
        <v>-0.16</v>
      </c>
      <c r="F25">
        <v>-0.17</v>
      </c>
      <c r="G25" s="23"/>
      <c r="H25" t="str">
        <f t="shared" si="0"/>
        <v>Q1.23</v>
      </c>
      <c r="I25">
        <f t="shared" si="1"/>
        <v>0.16</v>
      </c>
      <c r="J25" t="str">
        <f t="shared" si="2"/>
        <v/>
      </c>
      <c r="K25" t="str">
        <f t="shared" si="3"/>
        <v/>
      </c>
      <c r="L25">
        <f t="shared" si="4"/>
        <v>-0.16</v>
      </c>
      <c r="M25">
        <f t="shared" si="5"/>
        <v>-0.17</v>
      </c>
      <c r="T25" t="s">
        <v>22</v>
      </c>
    </row>
    <row r="26" spans="1:31" ht="15" thickBot="1" x14ac:dyDescent="0.35">
      <c r="A26" s="4" t="s">
        <v>110</v>
      </c>
      <c r="B26">
        <v>0.11</v>
      </c>
      <c r="C26" t="s">
        <v>79</v>
      </c>
      <c r="D26" t="s">
        <v>79</v>
      </c>
      <c r="E26" t="s">
        <v>79</v>
      </c>
      <c r="F26" t="s">
        <v>79</v>
      </c>
      <c r="G26" s="23"/>
      <c r="H26" t="str">
        <f t="shared" si="0"/>
        <v>Q1.24</v>
      </c>
      <c r="I26">
        <f t="shared" si="1"/>
        <v>0.11</v>
      </c>
      <c r="J26" t="str">
        <f t="shared" si="2"/>
        <v/>
      </c>
      <c r="K26" t="str">
        <f t="shared" si="3"/>
        <v/>
      </c>
      <c r="L26" t="str">
        <f t="shared" si="4"/>
        <v/>
      </c>
      <c r="M26" t="str">
        <f t="shared" si="5"/>
        <v/>
      </c>
      <c r="T26" t="s">
        <v>23</v>
      </c>
    </row>
    <row r="27" spans="1:31" ht="15" thickBot="1" x14ac:dyDescent="0.35">
      <c r="A27" s="4" t="s">
        <v>101</v>
      </c>
      <c r="B27">
        <v>0.13</v>
      </c>
      <c r="C27" t="s">
        <v>79</v>
      </c>
      <c r="D27" t="s">
        <v>79</v>
      </c>
      <c r="E27">
        <v>-0.15</v>
      </c>
      <c r="F27">
        <v>-0.1</v>
      </c>
      <c r="G27" s="23"/>
      <c r="H27" t="str">
        <f t="shared" si="0"/>
        <v>Q1.25</v>
      </c>
      <c r="I27">
        <f t="shared" si="1"/>
        <v>0.13</v>
      </c>
      <c r="J27" t="str">
        <f t="shared" si="2"/>
        <v/>
      </c>
      <c r="K27" t="str">
        <f t="shared" si="3"/>
        <v/>
      </c>
      <c r="L27">
        <f t="shared" si="4"/>
        <v>-0.15</v>
      </c>
      <c r="M27">
        <f t="shared" si="5"/>
        <v>-0.1</v>
      </c>
      <c r="T27" t="s">
        <v>24</v>
      </c>
    </row>
    <row r="28" spans="1:31" ht="15" thickBot="1" x14ac:dyDescent="0.35">
      <c r="A28" s="4" t="s">
        <v>103</v>
      </c>
      <c r="B28">
        <v>0.25</v>
      </c>
      <c r="C28" t="s">
        <v>79</v>
      </c>
      <c r="D28">
        <v>0.32</v>
      </c>
      <c r="E28">
        <v>-0.16</v>
      </c>
      <c r="F28">
        <v>-0.34</v>
      </c>
      <c r="G28" s="23"/>
      <c r="H28" t="str">
        <f t="shared" si="0"/>
        <v>Q1.26</v>
      </c>
      <c r="I28">
        <f t="shared" si="1"/>
        <v>0.25</v>
      </c>
      <c r="J28" t="str">
        <f t="shared" si="2"/>
        <v/>
      </c>
      <c r="K28">
        <f t="shared" si="3"/>
        <v>0.32</v>
      </c>
      <c r="L28">
        <f t="shared" si="4"/>
        <v>-0.16</v>
      </c>
      <c r="M28">
        <f t="shared" si="5"/>
        <v>-0.34</v>
      </c>
      <c r="T28" t="s">
        <v>25</v>
      </c>
    </row>
    <row r="29" spans="1:31" ht="15" thickBot="1" x14ac:dyDescent="0.35">
      <c r="A29" s="4" t="s">
        <v>95</v>
      </c>
      <c r="B29">
        <v>0.22</v>
      </c>
      <c r="C29" t="s">
        <v>79</v>
      </c>
      <c r="D29">
        <v>0.28999999999999998</v>
      </c>
      <c r="E29">
        <v>-0.2</v>
      </c>
      <c r="F29">
        <v>-0.28999999999999998</v>
      </c>
      <c r="G29" s="23"/>
      <c r="H29" t="str">
        <f t="shared" si="0"/>
        <v>Q1.27</v>
      </c>
      <c r="I29">
        <f t="shared" si="1"/>
        <v>0.22</v>
      </c>
      <c r="J29" t="str">
        <f t="shared" si="2"/>
        <v/>
      </c>
      <c r="K29">
        <f t="shared" si="3"/>
        <v>0.28999999999999998</v>
      </c>
      <c r="L29">
        <f t="shared" si="4"/>
        <v>-0.2</v>
      </c>
      <c r="M29">
        <f t="shared" si="5"/>
        <v>-0.28999999999999998</v>
      </c>
      <c r="T29" t="s">
        <v>26</v>
      </c>
    </row>
    <row r="30" spans="1:31" ht="15" thickBot="1" x14ac:dyDescent="0.35">
      <c r="A30" s="4" t="s">
        <v>92</v>
      </c>
      <c r="B30">
        <v>0.18</v>
      </c>
      <c r="C30" t="s">
        <v>79</v>
      </c>
      <c r="D30">
        <v>0.19</v>
      </c>
      <c r="E30">
        <v>-0.16</v>
      </c>
      <c r="F30">
        <v>-0.23</v>
      </c>
      <c r="G30" s="23"/>
      <c r="H30" t="str">
        <f t="shared" si="0"/>
        <v>Q1.28</v>
      </c>
      <c r="I30">
        <f t="shared" si="1"/>
        <v>0.18</v>
      </c>
      <c r="J30" t="str">
        <f t="shared" si="2"/>
        <v/>
      </c>
      <c r="K30">
        <f t="shared" si="3"/>
        <v>0.19</v>
      </c>
      <c r="L30">
        <f t="shared" si="4"/>
        <v>-0.16</v>
      </c>
      <c r="M30">
        <f t="shared" si="5"/>
        <v>-0.23</v>
      </c>
      <c r="T30" t="s">
        <v>27</v>
      </c>
    </row>
    <row r="31" spans="1:31" ht="15" thickBot="1" x14ac:dyDescent="0.35">
      <c r="A31" s="4" t="s">
        <v>113</v>
      </c>
      <c r="B31" t="s">
        <v>79</v>
      </c>
      <c r="C31" t="s">
        <v>79</v>
      </c>
      <c r="D31" t="s">
        <v>79</v>
      </c>
      <c r="E31" t="s">
        <v>79</v>
      </c>
      <c r="F31" t="s">
        <v>79</v>
      </c>
      <c r="G31" s="23"/>
      <c r="H31" t="str">
        <f t="shared" si="0"/>
        <v>Q1.29</v>
      </c>
      <c r="I31" t="str">
        <f t="shared" si="1"/>
        <v/>
      </c>
      <c r="J31" t="str">
        <f t="shared" si="2"/>
        <v/>
      </c>
      <c r="K31" t="str">
        <f t="shared" si="3"/>
        <v/>
      </c>
      <c r="L31" t="str">
        <f t="shared" si="4"/>
        <v/>
      </c>
      <c r="M31" t="str">
        <f t="shared" si="5"/>
        <v/>
      </c>
      <c r="T31" t="s">
        <v>28</v>
      </c>
    </row>
    <row r="32" spans="1:31" ht="15" thickBot="1" x14ac:dyDescent="0.35">
      <c r="A32" s="4" t="s">
        <v>147</v>
      </c>
      <c r="B32" t="s">
        <v>79</v>
      </c>
      <c r="C32" t="s">
        <v>79</v>
      </c>
      <c r="D32">
        <v>0.17</v>
      </c>
      <c r="E32">
        <v>-0.14000000000000001</v>
      </c>
      <c r="F32" t="s">
        <v>79</v>
      </c>
      <c r="G32" s="23"/>
      <c r="H32" t="str">
        <f t="shared" si="0"/>
        <v>Q2</v>
      </c>
      <c r="I32" t="str">
        <f t="shared" si="1"/>
        <v/>
      </c>
      <c r="J32" t="str">
        <f t="shared" si="2"/>
        <v/>
      </c>
      <c r="K32">
        <f t="shared" si="3"/>
        <v>0.17</v>
      </c>
      <c r="L32">
        <f t="shared" si="4"/>
        <v>-0.14000000000000001</v>
      </c>
      <c r="M32" t="str">
        <f t="shared" si="5"/>
        <v/>
      </c>
      <c r="T32" t="s">
        <v>206</v>
      </c>
    </row>
    <row r="33" spans="1:20" ht="15" thickBot="1" x14ac:dyDescent="0.35">
      <c r="A33" s="4" t="s">
        <v>148</v>
      </c>
      <c r="B33" t="s">
        <v>79</v>
      </c>
      <c r="C33" t="s">
        <v>79</v>
      </c>
      <c r="D33" t="s">
        <v>79</v>
      </c>
      <c r="E33">
        <v>-0.13</v>
      </c>
      <c r="F33" t="s">
        <v>79</v>
      </c>
      <c r="G33" s="23"/>
      <c r="H33" t="str">
        <f t="shared" si="0"/>
        <v>Q2.Cluster</v>
      </c>
      <c r="I33" t="str">
        <f t="shared" si="1"/>
        <v/>
      </c>
      <c r="J33" t="str">
        <f t="shared" si="2"/>
        <v/>
      </c>
      <c r="K33" t="str">
        <f t="shared" si="3"/>
        <v/>
      </c>
      <c r="L33">
        <f t="shared" si="4"/>
        <v>-0.13</v>
      </c>
      <c r="M33" t="str">
        <f t="shared" si="5"/>
        <v/>
      </c>
      <c r="T33" t="s">
        <v>206</v>
      </c>
    </row>
    <row r="34" spans="1:20" ht="15" thickBot="1" x14ac:dyDescent="0.35">
      <c r="A34" s="4" t="s">
        <v>149</v>
      </c>
      <c r="B34" t="s">
        <v>79</v>
      </c>
      <c r="C34" t="s">
        <v>79</v>
      </c>
      <c r="D34" t="s">
        <v>79</v>
      </c>
      <c r="E34" t="s">
        <v>79</v>
      </c>
      <c r="F34" t="s">
        <v>79</v>
      </c>
      <c r="G34" s="23"/>
      <c r="H34" t="str">
        <f t="shared" si="0"/>
        <v>Q3</v>
      </c>
      <c r="I34" t="str">
        <f t="shared" si="1"/>
        <v/>
      </c>
      <c r="J34" t="str">
        <f t="shared" si="2"/>
        <v/>
      </c>
      <c r="K34" t="str">
        <f t="shared" si="3"/>
        <v/>
      </c>
      <c r="L34" t="str">
        <f t="shared" si="4"/>
        <v/>
      </c>
      <c r="M34" t="str">
        <f t="shared" si="5"/>
        <v/>
      </c>
      <c r="T34" t="s">
        <v>207</v>
      </c>
    </row>
    <row r="35" spans="1:20" ht="15" thickBot="1" x14ac:dyDescent="0.35">
      <c r="A35" s="4" t="s">
        <v>150</v>
      </c>
      <c r="B35">
        <v>0.12</v>
      </c>
      <c r="C35" t="s">
        <v>79</v>
      </c>
      <c r="D35">
        <v>0.16</v>
      </c>
      <c r="E35" t="s">
        <v>79</v>
      </c>
      <c r="F35">
        <v>-0.19</v>
      </c>
      <c r="G35" s="23"/>
      <c r="H35" t="str">
        <f t="shared" si="0"/>
        <v>Q4</v>
      </c>
      <c r="I35">
        <f t="shared" si="1"/>
        <v>0.12</v>
      </c>
      <c r="J35" t="str">
        <f t="shared" si="2"/>
        <v/>
      </c>
      <c r="K35">
        <f t="shared" si="3"/>
        <v>0.16</v>
      </c>
      <c r="L35" t="str">
        <f t="shared" si="4"/>
        <v/>
      </c>
      <c r="M35">
        <f t="shared" si="5"/>
        <v>-0.19</v>
      </c>
      <c r="T35" t="s">
        <v>208</v>
      </c>
    </row>
    <row r="36" spans="1:20" ht="15" thickBot="1" x14ac:dyDescent="0.35">
      <c r="A36" s="4" t="s">
        <v>151</v>
      </c>
      <c r="B36">
        <v>0.24</v>
      </c>
      <c r="C36" t="s">
        <v>79</v>
      </c>
      <c r="D36">
        <v>0.28999999999999998</v>
      </c>
      <c r="E36">
        <v>-0.15</v>
      </c>
      <c r="F36">
        <v>-0.28000000000000003</v>
      </c>
      <c r="G36" s="23"/>
      <c r="H36" t="str">
        <f t="shared" si="0"/>
        <v>Q5</v>
      </c>
      <c r="I36">
        <f t="shared" ref="I36:I67" si="6">IF(ISNUMBER(B36),B36,"")</f>
        <v>0.24</v>
      </c>
      <c r="J36" t="str">
        <f t="shared" ref="J36:J67" si="7">IF(ISNUMBER(C36),C36,"")</f>
        <v/>
      </c>
      <c r="K36">
        <f t="shared" ref="K36:K67" si="8">IF(ISNUMBER(D36),D36,"")</f>
        <v>0.28999999999999998</v>
      </c>
      <c r="L36">
        <f t="shared" ref="L36:L67" si="9">IF(ISNUMBER(E36),E36,"")</f>
        <v>-0.15</v>
      </c>
      <c r="M36">
        <f t="shared" ref="M36:M67" si="10">IF(ISNUMBER(F36),F36,"")</f>
        <v>-0.28000000000000003</v>
      </c>
      <c r="T36" t="s">
        <v>209</v>
      </c>
    </row>
    <row r="37" spans="1:20" ht="15" thickBot="1" x14ac:dyDescent="0.35">
      <c r="A37" s="4" t="s">
        <v>152</v>
      </c>
      <c r="B37">
        <v>0.1</v>
      </c>
      <c r="C37" t="s">
        <v>79</v>
      </c>
      <c r="D37" t="s">
        <v>79</v>
      </c>
      <c r="E37" t="s">
        <v>79</v>
      </c>
      <c r="F37">
        <v>-0.12</v>
      </c>
      <c r="G37" s="23"/>
      <c r="H37" t="str">
        <f t="shared" si="0"/>
        <v>Q6</v>
      </c>
      <c r="I37">
        <f t="shared" si="6"/>
        <v>0.1</v>
      </c>
      <c r="J37" t="str">
        <f t="shared" si="7"/>
        <v/>
      </c>
      <c r="K37" t="str">
        <f t="shared" si="8"/>
        <v/>
      </c>
      <c r="L37" t="str">
        <f t="shared" si="9"/>
        <v/>
      </c>
      <c r="M37">
        <f t="shared" si="10"/>
        <v>-0.12</v>
      </c>
      <c r="T37" t="s">
        <v>210</v>
      </c>
    </row>
    <row r="38" spans="1:20" ht="15" thickBot="1" x14ac:dyDescent="0.35">
      <c r="A38" s="4" t="s">
        <v>153</v>
      </c>
      <c r="B38" t="s">
        <v>79</v>
      </c>
      <c r="C38" t="s">
        <v>79</v>
      </c>
      <c r="D38">
        <v>0.32</v>
      </c>
      <c r="E38">
        <v>-0.1</v>
      </c>
      <c r="F38" t="s">
        <v>79</v>
      </c>
      <c r="G38" s="23"/>
      <c r="H38" t="str">
        <f t="shared" si="0"/>
        <v>Q7.1</v>
      </c>
      <c r="I38" t="str">
        <f t="shared" si="6"/>
        <v/>
      </c>
      <c r="J38" t="str">
        <f t="shared" si="7"/>
        <v/>
      </c>
      <c r="K38">
        <f t="shared" si="8"/>
        <v>0.32</v>
      </c>
      <c r="L38">
        <f t="shared" si="9"/>
        <v>-0.1</v>
      </c>
      <c r="M38" t="str">
        <f t="shared" si="10"/>
        <v/>
      </c>
      <c r="T38" t="s">
        <v>211</v>
      </c>
    </row>
    <row r="39" spans="1:20" ht="15" thickBot="1" x14ac:dyDescent="0.35">
      <c r="A39" s="4" t="s">
        <v>154</v>
      </c>
      <c r="B39" t="s">
        <v>79</v>
      </c>
      <c r="C39" t="s">
        <v>79</v>
      </c>
      <c r="D39" t="s">
        <v>79</v>
      </c>
      <c r="E39" t="s">
        <v>79</v>
      </c>
      <c r="F39" t="s">
        <v>79</v>
      </c>
      <c r="G39" s="23"/>
      <c r="H39" t="str">
        <f t="shared" si="0"/>
        <v>Q7.2</v>
      </c>
      <c r="I39" t="str">
        <f t="shared" si="6"/>
        <v/>
      </c>
      <c r="J39" t="str">
        <f t="shared" si="7"/>
        <v/>
      </c>
      <c r="K39" t="str">
        <f t="shared" si="8"/>
        <v/>
      </c>
      <c r="L39" t="str">
        <f t="shared" si="9"/>
        <v/>
      </c>
      <c r="M39" t="str">
        <f t="shared" si="10"/>
        <v/>
      </c>
      <c r="T39" t="s">
        <v>212</v>
      </c>
    </row>
    <row r="40" spans="1:20" ht="15" thickBot="1" x14ac:dyDescent="0.35">
      <c r="A40" s="4" t="s">
        <v>155</v>
      </c>
      <c r="B40" t="s">
        <v>79</v>
      </c>
      <c r="C40" t="s">
        <v>79</v>
      </c>
      <c r="D40" t="s">
        <v>79</v>
      </c>
      <c r="E40" t="s">
        <v>79</v>
      </c>
      <c r="F40" t="s">
        <v>79</v>
      </c>
      <c r="G40" s="23"/>
      <c r="H40" t="str">
        <f t="shared" si="0"/>
        <v>Q7.3</v>
      </c>
      <c r="I40" t="str">
        <f t="shared" si="6"/>
        <v/>
      </c>
      <c r="J40" t="str">
        <f t="shared" si="7"/>
        <v/>
      </c>
      <c r="K40" t="str">
        <f t="shared" si="8"/>
        <v/>
      </c>
      <c r="L40" t="str">
        <f t="shared" si="9"/>
        <v/>
      </c>
      <c r="M40" t="str">
        <f t="shared" si="10"/>
        <v/>
      </c>
      <c r="T40" t="s">
        <v>213</v>
      </c>
    </row>
    <row r="41" spans="1:20" ht="15" thickBot="1" x14ac:dyDescent="0.35">
      <c r="A41" s="4" t="s">
        <v>156</v>
      </c>
      <c r="B41" t="s">
        <v>79</v>
      </c>
      <c r="C41" t="s">
        <v>79</v>
      </c>
      <c r="D41" t="s">
        <v>79</v>
      </c>
      <c r="E41" t="s">
        <v>79</v>
      </c>
      <c r="F41" t="s">
        <v>79</v>
      </c>
      <c r="G41" s="23"/>
      <c r="H41" t="str">
        <f t="shared" si="0"/>
        <v>Q7.4</v>
      </c>
      <c r="I41" t="str">
        <f t="shared" si="6"/>
        <v/>
      </c>
      <c r="J41" t="str">
        <f t="shared" si="7"/>
        <v/>
      </c>
      <c r="K41" t="str">
        <f t="shared" si="8"/>
        <v/>
      </c>
      <c r="L41" t="str">
        <f t="shared" si="9"/>
        <v/>
      </c>
      <c r="M41" t="str">
        <f t="shared" si="10"/>
        <v/>
      </c>
      <c r="T41" t="s">
        <v>214</v>
      </c>
    </row>
    <row r="42" spans="1:20" ht="15" thickBot="1" x14ac:dyDescent="0.35">
      <c r="A42" s="4" t="s">
        <v>157</v>
      </c>
      <c r="B42">
        <v>0.1</v>
      </c>
      <c r="C42" t="s">
        <v>79</v>
      </c>
      <c r="D42" t="s">
        <v>79</v>
      </c>
      <c r="E42">
        <v>-0.15</v>
      </c>
      <c r="F42" t="s">
        <v>79</v>
      </c>
      <c r="G42" s="23"/>
      <c r="H42" t="str">
        <f t="shared" si="0"/>
        <v>Q8</v>
      </c>
      <c r="I42">
        <f t="shared" si="6"/>
        <v>0.1</v>
      </c>
      <c r="J42" t="str">
        <f t="shared" si="7"/>
        <v/>
      </c>
      <c r="K42" t="str">
        <f t="shared" si="8"/>
        <v/>
      </c>
      <c r="L42">
        <f t="shared" si="9"/>
        <v>-0.15</v>
      </c>
      <c r="M42" t="str">
        <f t="shared" si="10"/>
        <v/>
      </c>
      <c r="T42" t="s">
        <v>215</v>
      </c>
    </row>
    <row r="43" spans="1:20" ht="15" thickBot="1" x14ac:dyDescent="0.35">
      <c r="A43" s="4" t="s">
        <v>158</v>
      </c>
      <c r="B43" t="s">
        <v>79</v>
      </c>
      <c r="C43" t="s">
        <v>79</v>
      </c>
      <c r="D43" t="s">
        <v>79</v>
      </c>
      <c r="E43">
        <v>-0.1</v>
      </c>
      <c r="F43" t="s">
        <v>79</v>
      </c>
      <c r="G43" s="23"/>
      <c r="H43" t="str">
        <f t="shared" si="0"/>
        <v>Q9.1</v>
      </c>
      <c r="I43" t="str">
        <f t="shared" si="6"/>
        <v/>
      </c>
      <c r="J43" t="str">
        <f t="shared" si="7"/>
        <v/>
      </c>
      <c r="K43" t="str">
        <f t="shared" si="8"/>
        <v/>
      </c>
      <c r="L43">
        <f t="shared" si="9"/>
        <v>-0.1</v>
      </c>
      <c r="M43" t="str">
        <f t="shared" si="10"/>
        <v/>
      </c>
      <c r="T43" t="s">
        <v>216</v>
      </c>
    </row>
    <row r="44" spans="1:20" ht="15" thickBot="1" x14ac:dyDescent="0.35">
      <c r="A44" s="4" t="s">
        <v>159</v>
      </c>
      <c r="B44" t="s">
        <v>79</v>
      </c>
      <c r="C44" t="s">
        <v>79</v>
      </c>
      <c r="D44" t="s">
        <v>79</v>
      </c>
      <c r="E44" t="s">
        <v>79</v>
      </c>
      <c r="F44" t="s">
        <v>79</v>
      </c>
      <c r="G44" s="23"/>
      <c r="H44" t="str">
        <f t="shared" si="0"/>
        <v>Q9.2</v>
      </c>
      <c r="I44" t="str">
        <f t="shared" si="6"/>
        <v/>
      </c>
      <c r="J44" t="str">
        <f t="shared" si="7"/>
        <v/>
      </c>
      <c r="K44" t="str">
        <f t="shared" si="8"/>
        <v/>
      </c>
      <c r="L44" t="str">
        <f t="shared" si="9"/>
        <v/>
      </c>
      <c r="M44" t="str">
        <f t="shared" si="10"/>
        <v/>
      </c>
      <c r="T44" t="s">
        <v>217</v>
      </c>
    </row>
    <row r="45" spans="1:20" ht="15" thickBot="1" x14ac:dyDescent="0.35">
      <c r="A45" s="4" t="s">
        <v>160</v>
      </c>
      <c r="B45" t="s">
        <v>79</v>
      </c>
      <c r="C45" t="s">
        <v>79</v>
      </c>
      <c r="D45" t="s">
        <v>79</v>
      </c>
      <c r="E45" t="s">
        <v>79</v>
      </c>
      <c r="F45">
        <v>-0.1</v>
      </c>
      <c r="G45" s="23"/>
      <c r="H45" t="str">
        <f t="shared" si="0"/>
        <v>Q9.3</v>
      </c>
      <c r="I45" t="str">
        <f t="shared" si="6"/>
        <v/>
      </c>
      <c r="J45" t="str">
        <f t="shared" si="7"/>
        <v/>
      </c>
      <c r="K45" t="str">
        <f t="shared" si="8"/>
        <v/>
      </c>
      <c r="L45" t="str">
        <f t="shared" si="9"/>
        <v/>
      </c>
      <c r="M45">
        <f t="shared" si="10"/>
        <v>-0.1</v>
      </c>
      <c r="T45" t="s">
        <v>218</v>
      </c>
    </row>
    <row r="46" spans="1:20" ht="15" thickBot="1" x14ac:dyDescent="0.35">
      <c r="A46" s="4" t="s">
        <v>161</v>
      </c>
      <c r="B46" t="s">
        <v>79</v>
      </c>
      <c r="C46" t="s">
        <v>79</v>
      </c>
      <c r="D46">
        <v>0.15</v>
      </c>
      <c r="E46" t="s">
        <v>79</v>
      </c>
      <c r="F46">
        <v>-0.16</v>
      </c>
      <c r="G46" s="23"/>
      <c r="H46" t="str">
        <f t="shared" si="0"/>
        <v>Q9.4</v>
      </c>
      <c r="I46" t="str">
        <f t="shared" si="6"/>
        <v/>
      </c>
      <c r="J46" t="str">
        <f t="shared" si="7"/>
        <v/>
      </c>
      <c r="K46">
        <f t="shared" si="8"/>
        <v>0.15</v>
      </c>
      <c r="L46" t="str">
        <f t="shared" si="9"/>
        <v/>
      </c>
      <c r="M46">
        <f t="shared" si="10"/>
        <v>-0.16</v>
      </c>
      <c r="T46" t="s">
        <v>219</v>
      </c>
    </row>
    <row r="47" spans="1:20" ht="15" thickBot="1" x14ac:dyDescent="0.35">
      <c r="A47" s="4" t="s">
        <v>162</v>
      </c>
      <c r="B47">
        <v>0.1</v>
      </c>
      <c r="C47" t="s">
        <v>79</v>
      </c>
      <c r="D47" t="s">
        <v>79</v>
      </c>
      <c r="E47" t="s">
        <v>79</v>
      </c>
      <c r="F47">
        <v>-0.16</v>
      </c>
      <c r="G47" s="23"/>
      <c r="H47" t="str">
        <f t="shared" si="0"/>
        <v>Q9.5</v>
      </c>
      <c r="I47">
        <f t="shared" si="6"/>
        <v>0.1</v>
      </c>
      <c r="J47" t="str">
        <f t="shared" si="7"/>
        <v/>
      </c>
      <c r="K47" t="str">
        <f t="shared" si="8"/>
        <v/>
      </c>
      <c r="L47" t="str">
        <f t="shared" si="9"/>
        <v/>
      </c>
      <c r="M47">
        <f t="shared" si="10"/>
        <v>-0.16</v>
      </c>
      <c r="T47" t="s">
        <v>220</v>
      </c>
    </row>
    <row r="48" spans="1:20" ht="15" thickBot="1" x14ac:dyDescent="0.35">
      <c r="A48" s="4" t="s">
        <v>163</v>
      </c>
      <c r="B48">
        <v>0.16</v>
      </c>
      <c r="C48" t="s">
        <v>79</v>
      </c>
      <c r="D48" t="s">
        <v>79</v>
      </c>
      <c r="E48" t="s">
        <v>79</v>
      </c>
      <c r="F48">
        <v>-0.18</v>
      </c>
      <c r="G48" s="23"/>
      <c r="H48" t="str">
        <f t="shared" si="0"/>
        <v>Q10</v>
      </c>
      <c r="I48">
        <f t="shared" si="6"/>
        <v>0.16</v>
      </c>
      <c r="J48" t="str">
        <f t="shared" si="7"/>
        <v/>
      </c>
      <c r="K48" t="str">
        <f t="shared" si="8"/>
        <v/>
      </c>
      <c r="L48" t="str">
        <f t="shared" si="9"/>
        <v/>
      </c>
      <c r="M48">
        <f t="shared" si="10"/>
        <v>-0.18</v>
      </c>
      <c r="T48" t="s">
        <v>221</v>
      </c>
    </row>
    <row r="49" spans="1:20" ht="15" thickBot="1" x14ac:dyDescent="0.35">
      <c r="A49" s="4" t="s">
        <v>164</v>
      </c>
      <c r="B49" t="s">
        <v>79</v>
      </c>
      <c r="C49" t="s">
        <v>79</v>
      </c>
      <c r="D49" t="s">
        <v>79</v>
      </c>
      <c r="E49" t="s">
        <v>79</v>
      </c>
      <c r="F49" t="s">
        <v>79</v>
      </c>
      <c r="G49" s="23"/>
      <c r="H49" t="str">
        <f t="shared" si="0"/>
        <v>Q11</v>
      </c>
      <c r="I49" t="str">
        <f t="shared" si="6"/>
        <v/>
      </c>
      <c r="J49" t="str">
        <f t="shared" si="7"/>
        <v/>
      </c>
      <c r="K49" t="str">
        <f t="shared" si="8"/>
        <v/>
      </c>
      <c r="L49" t="str">
        <f t="shared" si="9"/>
        <v/>
      </c>
      <c r="M49" t="str">
        <f t="shared" si="10"/>
        <v/>
      </c>
    </row>
    <row r="50" spans="1:20" ht="15" thickBot="1" x14ac:dyDescent="0.35">
      <c r="A50" s="4" t="s">
        <v>165</v>
      </c>
      <c r="B50" t="s">
        <v>79</v>
      </c>
      <c r="C50" t="s">
        <v>79</v>
      </c>
      <c r="D50" t="s">
        <v>79</v>
      </c>
      <c r="E50" t="s">
        <v>79</v>
      </c>
      <c r="F50" t="s">
        <v>79</v>
      </c>
      <c r="G50" s="23"/>
      <c r="H50" t="str">
        <f t="shared" si="0"/>
        <v>Q12</v>
      </c>
      <c r="I50" t="str">
        <f t="shared" si="6"/>
        <v/>
      </c>
      <c r="J50" t="str">
        <f t="shared" si="7"/>
        <v/>
      </c>
      <c r="K50" t="str">
        <f t="shared" si="8"/>
        <v/>
      </c>
      <c r="L50" t="str">
        <f t="shared" si="9"/>
        <v/>
      </c>
      <c r="M50" t="str">
        <f t="shared" si="10"/>
        <v/>
      </c>
      <c r="T50" t="s">
        <v>233</v>
      </c>
    </row>
    <row r="51" spans="1:20" ht="15" thickBot="1" x14ac:dyDescent="0.35">
      <c r="A51" s="4" t="s">
        <v>166</v>
      </c>
      <c r="B51" t="s">
        <v>79</v>
      </c>
      <c r="C51" t="s">
        <v>79</v>
      </c>
      <c r="D51">
        <v>0.15</v>
      </c>
      <c r="E51" t="s">
        <v>79</v>
      </c>
      <c r="F51">
        <v>-0.14000000000000001</v>
      </c>
      <c r="G51" s="23"/>
      <c r="H51" t="str">
        <f t="shared" si="0"/>
        <v>Q13</v>
      </c>
      <c r="I51" t="str">
        <f t="shared" si="6"/>
        <v/>
      </c>
      <c r="J51" t="str">
        <f t="shared" si="7"/>
        <v/>
      </c>
      <c r="K51">
        <f t="shared" si="8"/>
        <v>0.15</v>
      </c>
      <c r="L51" t="str">
        <f t="shared" si="9"/>
        <v/>
      </c>
      <c r="M51">
        <f t="shared" si="10"/>
        <v>-0.14000000000000001</v>
      </c>
      <c r="T51" t="s">
        <v>222</v>
      </c>
    </row>
    <row r="52" spans="1:20" ht="15" thickBot="1" x14ac:dyDescent="0.35">
      <c r="A52" s="4" t="s">
        <v>167</v>
      </c>
      <c r="B52" t="s">
        <v>79</v>
      </c>
      <c r="C52" t="s">
        <v>79</v>
      </c>
      <c r="D52">
        <v>-0.23</v>
      </c>
      <c r="E52" t="s">
        <v>79</v>
      </c>
      <c r="F52">
        <v>0.17</v>
      </c>
      <c r="G52" s="23"/>
      <c r="H52" t="str">
        <f t="shared" si="0"/>
        <v>Q14</v>
      </c>
      <c r="I52" t="str">
        <f t="shared" si="6"/>
        <v/>
      </c>
      <c r="J52" t="str">
        <f t="shared" si="7"/>
        <v/>
      </c>
      <c r="K52">
        <f t="shared" si="8"/>
        <v>-0.23</v>
      </c>
      <c r="L52" t="str">
        <f t="shared" si="9"/>
        <v/>
      </c>
      <c r="M52">
        <f t="shared" si="10"/>
        <v>0.17</v>
      </c>
      <c r="T52" t="s">
        <v>223</v>
      </c>
    </row>
    <row r="53" spans="1:20" ht="15" thickBot="1" x14ac:dyDescent="0.35">
      <c r="A53" s="4" t="s">
        <v>168</v>
      </c>
      <c r="B53" t="s">
        <v>79</v>
      </c>
      <c r="C53" t="s">
        <v>79</v>
      </c>
      <c r="D53">
        <v>-0.3</v>
      </c>
      <c r="E53" t="s">
        <v>79</v>
      </c>
      <c r="F53">
        <v>0.2</v>
      </c>
      <c r="G53" s="23"/>
      <c r="H53" t="str">
        <f t="shared" si="0"/>
        <v>Q15</v>
      </c>
      <c r="I53" t="str">
        <f t="shared" si="6"/>
        <v/>
      </c>
      <c r="J53" t="str">
        <f t="shared" si="7"/>
        <v/>
      </c>
      <c r="K53">
        <f t="shared" si="8"/>
        <v>-0.3</v>
      </c>
      <c r="L53" t="str">
        <f t="shared" si="9"/>
        <v/>
      </c>
      <c r="M53">
        <f t="shared" si="10"/>
        <v>0.2</v>
      </c>
      <c r="T53" t="s">
        <v>224</v>
      </c>
    </row>
    <row r="54" spans="1:20" ht="15" thickBot="1" x14ac:dyDescent="0.35">
      <c r="A54" s="4" t="s">
        <v>169</v>
      </c>
      <c r="B54" t="s">
        <v>79</v>
      </c>
      <c r="C54" t="s">
        <v>79</v>
      </c>
      <c r="D54">
        <v>-0.11</v>
      </c>
      <c r="E54" t="s">
        <v>79</v>
      </c>
      <c r="F54" t="s">
        <v>79</v>
      </c>
      <c r="G54" s="23"/>
      <c r="H54" t="str">
        <f t="shared" si="0"/>
        <v>Q16</v>
      </c>
      <c r="I54" t="str">
        <f t="shared" si="6"/>
        <v/>
      </c>
      <c r="J54" t="str">
        <f t="shared" si="7"/>
        <v/>
      </c>
      <c r="K54">
        <f t="shared" si="8"/>
        <v>-0.11</v>
      </c>
      <c r="L54" t="str">
        <f t="shared" si="9"/>
        <v/>
      </c>
      <c r="M54" t="str">
        <f t="shared" si="10"/>
        <v/>
      </c>
    </row>
    <row r="55" spans="1:20" ht="15" thickBot="1" x14ac:dyDescent="0.35">
      <c r="A55" s="4" t="s">
        <v>170</v>
      </c>
      <c r="B55" t="s">
        <v>79</v>
      </c>
      <c r="C55" t="s">
        <v>79</v>
      </c>
      <c r="D55" t="s">
        <v>79</v>
      </c>
      <c r="E55" t="s">
        <v>79</v>
      </c>
      <c r="F55" t="s">
        <v>79</v>
      </c>
      <c r="G55" s="23"/>
      <c r="H55" t="str">
        <f t="shared" si="0"/>
        <v>Q16.1</v>
      </c>
      <c r="I55" t="str">
        <f t="shared" si="6"/>
        <v/>
      </c>
      <c r="J55" t="str">
        <f t="shared" si="7"/>
        <v/>
      </c>
      <c r="K55" t="str">
        <f t="shared" si="8"/>
        <v/>
      </c>
      <c r="L55" t="str">
        <f t="shared" si="9"/>
        <v/>
      </c>
      <c r="M55" t="str">
        <f t="shared" si="10"/>
        <v/>
      </c>
    </row>
    <row r="56" spans="1:20" ht="15" thickBot="1" x14ac:dyDescent="0.35">
      <c r="A56" s="4" t="s">
        <v>171</v>
      </c>
      <c r="B56" t="s">
        <v>79</v>
      </c>
      <c r="C56" t="s">
        <v>79</v>
      </c>
      <c r="D56">
        <v>0.11</v>
      </c>
      <c r="E56" t="s">
        <v>79</v>
      </c>
      <c r="F56" t="s">
        <v>79</v>
      </c>
      <c r="G56" s="23"/>
      <c r="H56" t="str">
        <f t="shared" si="0"/>
        <v>Q16.2</v>
      </c>
      <c r="I56" t="str">
        <f t="shared" si="6"/>
        <v/>
      </c>
      <c r="J56" t="str">
        <f t="shared" si="7"/>
        <v/>
      </c>
      <c r="K56">
        <f t="shared" si="8"/>
        <v>0.11</v>
      </c>
      <c r="L56" t="str">
        <f t="shared" si="9"/>
        <v/>
      </c>
      <c r="M56" t="str">
        <f t="shared" si="10"/>
        <v/>
      </c>
      <c r="T56" t="s">
        <v>225</v>
      </c>
    </row>
    <row r="57" spans="1:20" ht="15" thickBot="1" x14ac:dyDescent="0.35">
      <c r="A57" s="4" t="s">
        <v>172</v>
      </c>
      <c r="B57" t="s">
        <v>79</v>
      </c>
      <c r="C57" t="s">
        <v>79</v>
      </c>
      <c r="D57" t="s">
        <v>79</v>
      </c>
      <c r="E57" t="s">
        <v>79</v>
      </c>
      <c r="F57" t="s">
        <v>79</v>
      </c>
      <c r="G57" s="23"/>
      <c r="H57" t="str">
        <f t="shared" si="0"/>
        <v>Q16.3</v>
      </c>
      <c r="I57" t="str">
        <f t="shared" si="6"/>
        <v/>
      </c>
      <c r="J57" t="str">
        <f t="shared" si="7"/>
        <v/>
      </c>
      <c r="K57" t="str">
        <f t="shared" si="8"/>
        <v/>
      </c>
      <c r="L57" t="str">
        <f t="shared" si="9"/>
        <v/>
      </c>
      <c r="M57" t="str">
        <f t="shared" si="10"/>
        <v/>
      </c>
    </row>
    <row r="58" spans="1:20" ht="15" thickBot="1" x14ac:dyDescent="0.35">
      <c r="A58" s="4" t="s">
        <v>173</v>
      </c>
      <c r="B58" t="s">
        <v>79</v>
      </c>
      <c r="C58" t="s">
        <v>79</v>
      </c>
      <c r="D58" t="s">
        <v>79</v>
      </c>
      <c r="E58" t="s">
        <v>79</v>
      </c>
      <c r="F58" t="s">
        <v>79</v>
      </c>
      <c r="G58" s="23"/>
      <c r="H58" t="str">
        <f t="shared" si="0"/>
        <v>Q16.4</v>
      </c>
      <c r="I58" t="str">
        <f t="shared" si="6"/>
        <v/>
      </c>
      <c r="J58" t="str">
        <f t="shared" si="7"/>
        <v/>
      </c>
      <c r="K58" t="str">
        <f t="shared" si="8"/>
        <v/>
      </c>
      <c r="L58" t="str">
        <f t="shared" si="9"/>
        <v/>
      </c>
      <c r="M58" t="str">
        <f t="shared" si="10"/>
        <v/>
      </c>
    </row>
    <row r="59" spans="1:20" ht="15" thickBot="1" x14ac:dyDescent="0.35">
      <c r="A59" s="4" t="s">
        <v>174</v>
      </c>
      <c r="B59" t="s">
        <v>79</v>
      </c>
      <c r="C59" t="s">
        <v>79</v>
      </c>
      <c r="D59" t="s">
        <v>79</v>
      </c>
      <c r="E59" t="s">
        <v>79</v>
      </c>
      <c r="F59" t="s">
        <v>79</v>
      </c>
      <c r="G59" s="23"/>
      <c r="H59" t="str">
        <f t="shared" si="0"/>
        <v>Q16.5</v>
      </c>
      <c r="I59" t="str">
        <f t="shared" si="6"/>
        <v/>
      </c>
      <c r="J59" t="str">
        <f t="shared" si="7"/>
        <v/>
      </c>
      <c r="K59" t="str">
        <f t="shared" si="8"/>
        <v/>
      </c>
      <c r="L59" t="str">
        <f t="shared" si="9"/>
        <v/>
      </c>
      <c r="M59" t="str">
        <f t="shared" si="10"/>
        <v/>
      </c>
    </row>
    <row r="60" spans="1:20" ht="15" thickBot="1" x14ac:dyDescent="0.35">
      <c r="A60" s="4" t="s">
        <v>175</v>
      </c>
      <c r="B60" t="s">
        <v>79</v>
      </c>
      <c r="C60" t="s">
        <v>79</v>
      </c>
      <c r="D60" t="s">
        <v>79</v>
      </c>
      <c r="E60" t="s">
        <v>79</v>
      </c>
      <c r="F60" t="s">
        <v>79</v>
      </c>
      <c r="G60" s="23"/>
      <c r="H60" t="str">
        <f t="shared" si="0"/>
        <v>Q16.6</v>
      </c>
      <c r="I60" t="str">
        <f t="shared" si="6"/>
        <v/>
      </c>
      <c r="J60" t="str">
        <f t="shared" si="7"/>
        <v/>
      </c>
      <c r="K60" t="str">
        <f t="shared" si="8"/>
        <v/>
      </c>
      <c r="L60" t="str">
        <f t="shared" si="9"/>
        <v/>
      </c>
      <c r="M60" t="str">
        <f t="shared" si="10"/>
        <v/>
      </c>
    </row>
    <row r="61" spans="1:20" ht="15" thickBot="1" x14ac:dyDescent="0.35">
      <c r="A61" s="4" t="s">
        <v>176</v>
      </c>
      <c r="B61" t="s">
        <v>79</v>
      </c>
      <c r="C61" t="s">
        <v>79</v>
      </c>
      <c r="D61" t="s">
        <v>79</v>
      </c>
      <c r="E61" t="s">
        <v>79</v>
      </c>
      <c r="F61" t="s">
        <v>79</v>
      </c>
      <c r="G61" s="23"/>
      <c r="H61" t="str">
        <f t="shared" si="0"/>
        <v>Q16.7</v>
      </c>
      <c r="I61" t="str">
        <f t="shared" si="6"/>
        <v/>
      </c>
      <c r="J61" t="str">
        <f t="shared" si="7"/>
        <v/>
      </c>
      <c r="K61" t="str">
        <f t="shared" si="8"/>
        <v/>
      </c>
      <c r="L61" t="str">
        <f t="shared" si="9"/>
        <v/>
      </c>
      <c r="M61" t="str">
        <f t="shared" si="10"/>
        <v/>
      </c>
    </row>
    <row r="62" spans="1:20" ht="15" thickBot="1" x14ac:dyDescent="0.35">
      <c r="A62" s="4" t="s">
        <v>177</v>
      </c>
      <c r="B62" t="s">
        <v>79</v>
      </c>
      <c r="C62" t="s">
        <v>79</v>
      </c>
      <c r="D62" t="s">
        <v>79</v>
      </c>
      <c r="E62" t="s">
        <v>79</v>
      </c>
      <c r="F62" t="s">
        <v>79</v>
      </c>
      <c r="G62" s="23"/>
      <c r="H62" t="str">
        <f t="shared" si="0"/>
        <v>Q16.8</v>
      </c>
      <c r="I62" t="str">
        <f t="shared" si="6"/>
        <v/>
      </c>
      <c r="J62" t="str">
        <f t="shared" si="7"/>
        <v/>
      </c>
      <c r="K62" t="str">
        <f t="shared" si="8"/>
        <v/>
      </c>
      <c r="L62" t="str">
        <f t="shared" si="9"/>
        <v/>
      </c>
      <c r="M62" t="str">
        <f t="shared" si="10"/>
        <v/>
      </c>
    </row>
    <row r="63" spans="1:20" ht="15" thickBot="1" x14ac:dyDescent="0.35">
      <c r="A63" s="4" t="s">
        <v>178</v>
      </c>
      <c r="B63" t="s">
        <v>79</v>
      </c>
      <c r="C63" t="s">
        <v>79</v>
      </c>
      <c r="D63" t="s">
        <v>79</v>
      </c>
      <c r="E63" t="s">
        <v>79</v>
      </c>
      <c r="F63" t="s">
        <v>79</v>
      </c>
      <c r="G63" s="23"/>
      <c r="H63" t="str">
        <f t="shared" si="0"/>
        <v>Q16.9</v>
      </c>
      <c r="I63" t="str">
        <f t="shared" si="6"/>
        <v/>
      </c>
      <c r="J63" t="str">
        <f t="shared" si="7"/>
        <v/>
      </c>
      <c r="K63" t="str">
        <f t="shared" si="8"/>
        <v/>
      </c>
      <c r="L63" t="str">
        <f t="shared" si="9"/>
        <v/>
      </c>
      <c r="M63" t="str">
        <f t="shared" si="10"/>
        <v/>
      </c>
    </row>
    <row r="64" spans="1:20" ht="15" thickBot="1" x14ac:dyDescent="0.35">
      <c r="A64" s="4" t="s">
        <v>179</v>
      </c>
      <c r="B64" t="s">
        <v>79</v>
      </c>
      <c r="C64" t="s">
        <v>79</v>
      </c>
      <c r="D64" t="s">
        <v>79</v>
      </c>
      <c r="E64" t="s">
        <v>79</v>
      </c>
      <c r="F64" t="s">
        <v>79</v>
      </c>
      <c r="G64" s="23"/>
      <c r="H64" t="str">
        <f t="shared" si="0"/>
        <v>Q16.10</v>
      </c>
      <c r="I64" t="str">
        <f t="shared" si="6"/>
        <v/>
      </c>
      <c r="J64" t="str">
        <f t="shared" si="7"/>
        <v/>
      </c>
      <c r="K64" t="str">
        <f t="shared" si="8"/>
        <v/>
      </c>
      <c r="L64" t="str">
        <f t="shared" si="9"/>
        <v/>
      </c>
      <c r="M64" t="str">
        <f t="shared" si="10"/>
        <v/>
      </c>
    </row>
    <row r="65" spans="1:20" ht="15" thickBot="1" x14ac:dyDescent="0.35">
      <c r="A65" s="4" t="s">
        <v>180</v>
      </c>
      <c r="B65" t="s">
        <v>79</v>
      </c>
      <c r="C65" t="s">
        <v>79</v>
      </c>
      <c r="D65">
        <v>0.1</v>
      </c>
      <c r="E65" t="s">
        <v>79</v>
      </c>
      <c r="F65" t="s">
        <v>79</v>
      </c>
      <c r="G65" s="23"/>
      <c r="H65" t="str">
        <f t="shared" si="0"/>
        <v>Q16.11</v>
      </c>
      <c r="I65" t="str">
        <f t="shared" si="6"/>
        <v/>
      </c>
      <c r="J65" t="str">
        <f t="shared" si="7"/>
        <v/>
      </c>
      <c r="K65">
        <f t="shared" si="8"/>
        <v>0.1</v>
      </c>
      <c r="L65" t="str">
        <f t="shared" si="9"/>
        <v/>
      </c>
      <c r="M65" t="str">
        <f t="shared" si="10"/>
        <v/>
      </c>
      <c r="T65" t="s">
        <v>253</v>
      </c>
    </row>
    <row r="66" spans="1:20" ht="15" thickBot="1" x14ac:dyDescent="0.35">
      <c r="A66" s="4" t="s">
        <v>181</v>
      </c>
      <c r="B66" t="s">
        <v>79</v>
      </c>
      <c r="C66" t="s">
        <v>79</v>
      </c>
      <c r="D66" t="s">
        <v>79</v>
      </c>
      <c r="E66" t="s">
        <v>79</v>
      </c>
      <c r="F66">
        <v>-0.11</v>
      </c>
      <c r="G66" s="23"/>
      <c r="H66" t="str">
        <f t="shared" si="0"/>
        <v>Q16.12</v>
      </c>
      <c r="I66" t="str">
        <f t="shared" si="6"/>
        <v/>
      </c>
      <c r="J66" t="str">
        <f t="shared" si="7"/>
        <v/>
      </c>
      <c r="K66" t="str">
        <f t="shared" si="8"/>
        <v/>
      </c>
      <c r="L66" t="str">
        <f t="shared" si="9"/>
        <v/>
      </c>
      <c r="M66">
        <f t="shared" si="10"/>
        <v>-0.11</v>
      </c>
      <c r="T66" t="s">
        <v>252</v>
      </c>
    </row>
    <row r="67" spans="1:20" ht="15" thickBot="1" x14ac:dyDescent="0.35">
      <c r="A67" s="4" t="s">
        <v>182</v>
      </c>
      <c r="B67" t="s">
        <v>79</v>
      </c>
      <c r="C67" t="s">
        <v>79</v>
      </c>
      <c r="D67" t="s">
        <v>79</v>
      </c>
      <c r="E67" t="s">
        <v>79</v>
      </c>
      <c r="F67">
        <v>-0.1</v>
      </c>
      <c r="G67" s="23"/>
      <c r="H67" t="str">
        <f t="shared" si="0"/>
        <v>Q16.13</v>
      </c>
      <c r="I67" t="str">
        <f t="shared" si="6"/>
        <v/>
      </c>
      <c r="J67" t="str">
        <f t="shared" si="7"/>
        <v/>
      </c>
      <c r="K67" t="str">
        <f t="shared" si="8"/>
        <v/>
      </c>
      <c r="L67" t="str">
        <f t="shared" si="9"/>
        <v/>
      </c>
      <c r="M67">
        <f t="shared" si="10"/>
        <v>-0.1</v>
      </c>
      <c r="T67" t="s">
        <v>226</v>
      </c>
    </row>
    <row r="68" spans="1:20" ht="15" thickBot="1" x14ac:dyDescent="0.35">
      <c r="A68" s="4" t="s">
        <v>183</v>
      </c>
      <c r="B68" t="s">
        <v>79</v>
      </c>
      <c r="C68" t="s">
        <v>79</v>
      </c>
      <c r="D68" t="s">
        <v>79</v>
      </c>
      <c r="E68" t="s">
        <v>79</v>
      </c>
      <c r="F68" t="s">
        <v>79</v>
      </c>
      <c r="G68" s="23"/>
      <c r="H68" t="str">
        <f t="shared" ref="H68:H83" si="11">A68</f>
        <v>Q16.14</v>
      </c>
      <c r="I68" t="str">
        <f t="shared" ref="I68:I83" si="12">IF(ISNUMBER(B68),B68,"")</f>
        <v/>
      </c>
      <c r="J68" t="str">
        <f t="shared" ref="J68:J83" si="13">IF(ISNUMBER(C68),C68,"")</f>
        <v/>
      </c>
      <c r="K68" t="str">
        <f t="shared" ref="K68:K83" si="14">IF(ISNUMBER(D68),D68,"")</f>
        <v/>
      </c>
      <c r="L68" t="str">
        <f t="shared" ref="L68:L83" si="15">IF(ISNUMBER(E68),E68,"")</f>
        <v/>
      </c>
      <c r="M68" t="str">
        <f t="shared" ref="M68:M83" si="16">IF(ISNUMBER(F68),F68,"")</f>
        <v/>
      </c>
      <c r="T68" t="s">
        <v>227</v>
      </c>
    </row>
    <row r="69" spans="1:20" ht="15" thickBot="1" x14ac:dyDescent="0.35">
      <c r="A69" s="4" t="s">
        <v>184</v>
      </c>
      <c r="B69" t="s">
        <v>79</v>
      </c>
      <c r="C69" t="s">
        <v>79</v>
      </c>
      <c r="D69" t="s">
        <v>79</v>
      </c>
      <c r="E69" t="s">
        <v>79</v>
      </c>
      <c r="F69" t="s">
        <v>79</v>
      </c>
      <c r="G69" s="23"/>
      <c r="H69" t="str">
        <f t="shared" si="11"/>
        <v>Q16.15</v>
      </c>
      <c r="I69" t="str">
        <f t="shared" si="12"/>
        <v/>
      </c>
      <c r="J69" t="str">
        <f t="shared" si="13"/>
        <v/>
      </c>
      <c r="K69" t="str">
        <f t="shared" si="14"/>
        <v/>
      </c>
      <c r="L69" t="str">
        <f t="shared" si="15"/>
        <v/>
      </c>
      <c r="M69" t="str">
        <f t="shared" si="16"/>
        <v/>
      </c>
    </row>
    <row r="70" spans="1:20" ht="15" thickBot="1" x14ac:dyDescent="0.35">
      <c r="A70" s="4" t="s">
        <v>185</v>
      </c>
      <c r="B70" t="s">
        <v>79</v>
      </c>
      <c r="C70" t="s">
        <v>79</v>
      </c>
      <c r="D70" t="s">
        <v>79</v>
      </c>
      <c r="E70" t="s">
        <v>79</v>
      </c>
      <c r="F70">
        <v>-0.1</v>
      </c>
      <c r="G70" s="23"/>
      <c r="H70" t="str">
        <f t="shared" si="11"/>
        <v>Q16.16</v>
      </c>
      <c r="I70" t="str">
        <f t="shared" si="12"/>
        <v/>
      </c>
      <c r="J70" t="str">
        <f t="shared" si="13"/>
        <v/>
      </c>
      <c r="K70" t="str">
        <f t="shared" si="14"/>
        <v/>
      </c>
      <c r="L70" t="str">
        <f t="shared" si="15"/>
        <v/>
      </c>
      <c r="M70">
        <f t="shared" si="16"/>
        <v>-0.1</v>
      </c>
      <c r="T70" t="s">
        <v>228</v>
      </c>
    </row>
    <row r="71" spans="1:20" ht="15" thickBot="1" x14ac:dyDescent="0.35">
      <c r="A71" s="4" t="s">
        <v>186</v>
      </c>
      <c r="B71" t="s">
        <v>79</v>
      </c>
      <c r="C71" t="s">
        <v>79</v>
      </c>
      <c r="D71" t="s">
        <v>79</v>
      </c>
      <c r="E71" t="s">
        <v>79</v>
      </c>
      <c r="F71" t="s">
        <v>79</v>
      </c>
      <c r="G71" s="23"/>
      <c r="H71" t="str">
        <f t="shared" si="11"/>
        <v>Q16.17</v>
      </c>
      <c r="I71" t="str">
        <f t="shared" si="12"/>
        <v/>
      </c>
      <c r="J71" t="str">
        <f t="shared" si="13"/>
        <v/>
      </c>
      <c r="K71" t="str">
        <f t="shared" si="14"/>
        <v/>
      </c>
      <c r="L71" t="str">
        <f t="shared" si="15"/>
        <v/>
      </c>
      <c r="M71" t="str">
        <f t="shared" si="16"/>
        <v/>
      </c>
    </row>
    <row r="72" spans="1:20" ht="15" thickBot="1" x14ac:dyDescent="0.35">
      <c r="A72" s="4" t="s">
        <v>187</v>
      </c>
      <c r="B72" t="s">
        <v>79</v>
      </c>
      <c r="C72" t="s">
        <v>79</v>
      </c>
      <c r="D72" t="s">
        <v>79</v>
      </c>
      <c r="E72" t="s">
        <v>79</v>
      </c>
      <c r="F72" t="s">
        <v>79</v>
      </c>
      <c r="G72" s="23"/>
      <c r="H72" t="str">
        <f t="shared" si="11"/>
        <v>Q16.18</v>
      </c>
      <c r="I72" t="str">
        <f t="shared" si="12"/>
        <v/>
      </c>
      <c r="J72" t="str">
        <f t="shared" si="13"/>
        <v/>
      </c>
      <c r="K72" t="str">
        <f t="shared" si="14"/>
        <v/>
      </c>
      <c r="L72" t="str">
        <f t="shared" si="15"/>
        <v/>
      </c>
      <c r="M72" t="str">
        <f t="shared" si="16"/>
        <v/>
      </c>
    </row>
    <row r="73" spans="1:20" ht="15" thickBot="1" x14ac:dyDescent="0.35">
      <c r="A73" s="4" t="s">
        <v>188</v>
      </c>
      <c r="B73" t="s">
        <v>79</v>
      </c>
      <c r="C73" t="s">
        <v>79</v>
      </c>
      <c r="D73" t="s">
        <v>79</v>
      </c>
      <c r="E73" t="s">
        <v>79</v>
      </c>
      <c r="F73" t="s">
        <v>79</v>
      </c>
      <c r="G73" s="23"/>
      <c r="H73" t="str">
        <f t="shared" si="11"/>
        <v>Q16.19</v>
      </c>
      <c r="I73" t="str">
        <f t="shared" si="12"/>
        <v/>
      </c>
      <c r="J73" t="str">
        <f t="shared" si="13"/>
        <v/>
      </c>
      <c r="K73" t="str">
        <f t="shared" si="14"/>
        <v/>
      </c>
      <c r="L73" t="str">
        <f t="shared" si="15"/>
        <v/>
      </c>
      <c r="M73" t="str">
        <f t="shared" si="16"/>
        <v/>
      </c>
    </row>
    <row r="74" spans="1:20" ht="15" thickBot="1" x14ac:dyDescent="0.35">
      <c r="A74" s="4" t="s">
        <v>189</v>
      </c>
      <c r="B74" t="s">
        <v>79</v>
      </c>
      <c r="C74" t="s">
        <v>79</v>
      </c>
      <c r="D74" t="s">
        <v>79</v>
      </c>
      <c r="E74" t="s">
        <v>79</v>
      </c>
      <c r="F74" t="s">
        <v>79</v>
      </c>
      <c r="G74" s="23"/>
      <c r="H74" t="str">
        <f t="shared" si="11"/>
        <v>Q16.20</v>
      </c>
      <c r="I74" t="str">
        <f t="shared" si="12"/>
        <v/>
      </c>
      <c r="J74" t="str">
        <f t="shared" si="13"/>
        <v/>
      </c>
      <c r="K74" t="str">
        <f t="shared" si="14"/>
        <v/>
      </c>
      <c r="L74" t="str">
        <f t="shared" si="15"/>
        <v/>
      </c>
      <c r="M74" t="str">
        <f t="shared" si="16"/>
        <v/>
      </c>
    </row>
    <row r="75" spans="1:20" ht="15" thickBot="1" x14ac:dyDescent="0.35">
      <c r="A75" s="4" t="s">
        <v>190</v>
      </c>
      <c r="B75" t="s">
        <v>79</v>
      </c>
      <c r="C75" t="s">
        <v>79</v>
      </c>
      <c r="D75" t="s">
        <v>79</v>
      </c>
      <c r="E75" t="s">
        <v>79</v>
      </c>
      <c r="F75" t="s">
        <v>79</v>
      </c>
      <c r="G75" s="23"/>
      <c r="H75" t="str">
        <f t="shared" si="11"/>
        <v>Q16.21</v>
      </c>
      <c r="I75" t="str">
        <f t="shared" si="12"/>
        <v/>
      </c>
      <c r="J75" t="str">
        <f t="shared" si="13"/>
        <v/>
      </c>
      <c r="K75" t="str">
        <f t="shared" si="14"/>
        <v/>
      </c>
      <c r="L75" t="str">
        <f t="shared" si="15"/>
        <v/>
      </c>
      <c r="M75" t="str">
        <f t="shared" si="16"/>
        <v/>
      </c>
    </row>
    <row r="76" spans="1:20" ht="15" thickBot="1" x14ac:dyDescent="0.35">
      <c r="A76" s="4" t="s">
        <v>191</v>
      </c>
      <c r="B76" t="s">
        <v>79</v>
      </c>
      <c r="C76" t="s">
        <v>79</v>
      </c>
      <c r="D76" t="s">
        <v>79</v>
      </c>
      <c r="E76" t="s">
        <v>79</v>
      </c>
      <c r="F76" t="s">
        <v>79</v>
      </c>
      <c r="G76" s="23"/>
      <c r="H76" t="str">
        <f t="shared" si="11"/>
        <v>Q16.22</v>
      </c>
      <c r="I76" t="str">
        <f t="shared" si="12"/>
        <v/>
      </c>
      <c r="J76" t="str">
        <f t="shared" si="13"/>
        <v/>
      </c>
      <c r="K76" t="str">
        <f t="shared" si="14"/>
        <v/>
      </c>
      <c r="L76" t="str">
        <f t="shared" si="15"/>
        <v/>
      </c>
      <c r="M76" t="str">
        <f t="shared" si="16"/>
        <v/>
      </c>
    </row>
    <row r="77" spans="1:20" ht="15" thickBot="1" x14ac:dyDescent="0.35">
      <c r="A77" s="4" t="s">
        <v>192</v>
      </c>
      <c r="B77" t="s">
        <v>79</v>
      </c>
      <c r="C77" t="s">
        <v>79</v>
      </c>
      <c r="D77" t="s">
        <v>79</v>
      </c>
      <c r="E77" t="s">
        <v>79</v>
      </c>
      <c r="F77" t="s">
        <v>79</v>
      </c>
      <c r="G77" s="23"/>
      <c r="H77" t="str">
        <f t="shared" si="11"/>
        <v>Q16.23</v>
      </c>
      <c r="I77" t="str">
        <f t="shared" si="12"/>
        <v/>
      </c>
      <c r="J77" t="str">
        <f t="shared" si="13"/>
        <v/>
      </c>
      <c r="K77" t="str">
        <f t="shared" si="14"/>
        <v/>
      </c>
      <c r="L77" t="str">
        <f t="shared" si="15"/>
        <v/>
      </c>
      <c r="M77" t="str">
        <f t="shared" si="16"/>
        <v/>
      </c>
    </row>
    <row r="78" spans="1:20" ht="15" thickBot="1" x14ac:dyDescent="0.35">
      <c r="A78" s="4" t="s">
        <v>193</v>
      </c>
      <c r="B78" t="s">
        <v>79</v>
      </c>
      <c r="C78" t="s">
        <v>79</v>
      </c>
      <c r="D78">
        <v>0.16</v>
      </c>
      <c r="E78" t="s">
        <v>79</v>
      </c>
      <c r="F78" t="s">
        <v>79</v>
      </c>
      <c r="G78" s="23"/>
      <c r="H78" t="str">
        <f t="shared" si="11"/>
        <v>Q16.24</v>
      </c>
      <c r="I78" t="str">
        <f t="shared" si="12"/>
        <v/>
      </c>
      <c r="J78" t="str">
        <f t="shared" si="13"/>
        <v/>
      </c>
      <c r="K78">
        <f t="shared" si="14"/>
        <v>0.16</v>
      </c>
      <c r="L78" t="str">
        <f t="shared" si="15"/>
        <v/>
      </c>
      <c r="M78" t="str">
        <f t="shared" si="16"/>
        <v/>
      </c>
      <c r="T78" t="s">
        <v>251</v>
      </c>
    </row>
    <row r="79" spans="1:20" ht="15" thickBot="1" x14ac:dyDescent="0.35">
      <c r="A79" s="4" t="s">
        <v>194</v>
      </c>
      <c r="B79" t="s">
        <v>79</v>
      </c>
      <c r="C79" t="s">
        <v>79</v>
      </c>
      <c r="D79" t="s">
        <v>79</v>
      </c>
      <c r="E79" t="s">
        <v>79</v>
      </c>
      <c r="F79" t="s">
        <v>79</v>
      </c>
      <c r="G79" s="23"/>
      <c r="H79" t="str">
        <f t="shared" si="11"/>
        <v>Q16.25</v>
      </c>
      <c r="I79" t="str">
        <f t="shared" si="12"/>
        <v/>
      </c>
      <c r="J79" t="str">
        <f t="shared" si="13"/>
        <v/>
      </c>
      <c r="K79" t="str">
        <f t="shared" si="14"/>
        <v/>
      </c>
      <c r="L79" t="str">
        <f t="shared" si="15"/>
        <v/>
      </c>
      <c r="M79" t="str">
        <f t="shared" si="16"/>
        <v/>
      </c>
      <c r="T79" t="s">
        <v>229</v>
      </c>
    </row>
    <row r="80" spans="1:20" ht="15" thickBot="1" x14ac:dyDescent="0.35">
      <c r="A80" s="4" t="s">
        <v>195</v>
      </c>
      <c r="B80" t="s">
        <v>79</v>
      </c>
      <c r="C80" t="s">
        <v>79</v>
      </c>
      <c r="D80" t="s">
        <v>79</v>
      </c>
      <c r="E80" t="s">
        <v>79</v>
      </c>
      <c r="F80" t="s">
        <v>79</v>
      </c>
      <c r="G80" s="23"/>
      <c r="H80" t="str">
        <f t="shared" si="11"/>
        <v>Q16.26</v>
      </c>
      <c r="I80" t="str">
        <f t="shared" si="12"/>
        <v/>
      </c>
      <c r="J80" t="str">
        <f t="shared" si="13"/>
        <v/>
      </c>
      <c r="K80" t="str">
        <f t="shared" si="14"/>
        <v/>
      </c>
      <c r="L80" t="str">
        <f t="shared" si="15"/>
        <v/>
      </c>
      <c r="M80" t="str">
        <f t="shared" si="16"/>
        <v/>
      </c>
      <c r="T80" t="s">
        <v>250</v>
      </c>
    </row>
    <row r="81" spans="1:20" ht="15" thickBot="1" x14ac:dyDescent="0.35">
      <c r="A81" s="4" t="s">
        <v>196</v>
      </c>
      <c r="B81" t="s">
        <v>79</v>
      </c>
      <c r="C81" t="s">
        <v>79</v>
      </c>
      <c r="D81">
        <v>0.1</v>
      </c>
      <c r="E81" t="s">
        <v>79</v>
      </c>
      <c r="F81" t="s">
        <v>79</v>
      </c>
      <c r="G81" s="23"/>
      <c r="H81" t="str">
        <f t="shared" si="11"/>
        <v>Q16.27</v>
      </c>
      <c r="I81" t="str">
        <f t="shared" si="12"/>
        <v/>
      </c>
      <c r="J81" t="str">
        <f t="shared" si="13"/>
        <v/>
      </c>
      <c r="K81">
        <f t="shared" si="14"/>
        <v>0.1</v>
      </c>
      <c r="L81" t="str">
        <f t="shared" si="15"/>
        <v/>
      </c>
      <c r="M81" t="str">
        <f t="shared" si="16"/>
        <v/>
      </c>
      <c r="T81" t="s">
        <v>230</v>
      </c>
    </row>
    <row r="82" spans="1:20" ht="15" thickBot="1" x14ac:dyDescent="0.35">
      <c r="A82" s="4" t="s">
        <v>197</v>
      </c>
      <c r="B82">
        <v>0.37</v>
      </c>
      <c r="C82" t="s">
        <v>79</v>
      </c>
      <c r="D82" t="s">
        <v>79</v>
      </c>
      <c r="E82">
        <v>-0.44</v>
      </c>
      <c r="F82">
        <v>-0.17</v>
      </c>
      <c r="G82" s="23"/>
      <c r="H82" t="str">
        <f t="shared" si="11"/>
        <v>Q17</v>
      </c>
      <c r="I82">
        <f t="shared" si="12"/>
        <v>0.37</v>
      </c>
      <c r="J82" t="str">
        <f t="shared" si="13"/>
        <v/>
      </c>
      <c r="K82" t="str">
        <f t="shared" si="14"/>
        <v/>
      </c>
      <c r="L82">
        <f t="shared" si="15"/>
        <v>-0.44</v>
      </c>
      <c r="M82">
        <f t="shared" si="16"/>
        <v>-0.17</v>
      </c>
      <c r="T82" t="s">
        <v>231</v>
      </c>
    </row>
    <row r="83" spans="1:20" ht="15" thickBot="1" x14ac:dyDescent="0.35">
      <c r="A83" s="4" t="s">
        <v>198</v>
      </c>
      <c r="B83">
        <v>-0.13</v>
      </c>
      <c r="C83" t="s">
        <v>79</v>
      </c>
      <c r="D83">
        <v>-0.39</v>
      </c>
      <c r="E83">
        <v>0.11</v>
      </c>
      <c r="F83">
        <v>0.24</v>
      </c>
      <c r="G83" s="23"/>
      <c r="H83" t="str">
        <f t="shared" si="11"/>
        <v>Q18</v>
      </c>
      <c r="I83">
        <f t="shared" si="12"/>
        <v>-0.13</v>
      </c>
      <c r="J83" t="str">
        <f t="shared" si="13"/>
        <v/>
      </c>
      <c r="K83">
        <f t="shared" si="14"/>
        <v>-0.39</v>
      </c>
      <c r="L83">
        <f t="shared" si="15"/>
        <v>0.11</v>
      </c>
      <c r="M83">
        <f t="shared" si="16"/>
        <v>0.24</v>
      </c>
      <c r="T83" t="s">
        <v>232</v>
      </c>
    </row>
  </sheetData>
  <conditionalFormatting sqref="I3:I83">
    <cfRule type="colorScale" priority="2">
      <colorScale>
        <cfvo type="min"/>
        <cfvo type="percentile" val="50"/>
        <cfvo type="max"/>
        <color rgb="FFF8696B"/>
        <color rgb="FFFFEB84"/>
        <color rgb="FF63BE7B"/>
      </colorScale>
    </cfRule>
  </conditionalFormatting>
  <conditionalFormatting sqref="N3:S83">
    <cfRule type="colorScale" priority="1">
      <colorScale>
        <cfvo type="min"/>
        <cfvo type="percentile" val="50"/>
        <cfvo type="max"/>
        <color rgb="FFF8696B"/>
        <color rgb="FFFFEB84"/>
        <color rgb="FF63BE7B"/>
      </colorScale>
    </cfRule>
  </conditionalFormatting>
  <conditionalFormatting sqref="J3:M83">
    <cfRule type="colorScale" priority="3">
      <colorScale>
        <cfvo type="min"/>
        <cfvo type="percentile" val="50"/>
        <cfvo type="max"/>
        <color rgb="FFF8696B"/>
        <color rgb="FFFFEB84"/>
        <color rgb="FF63BE7B"/>
      </colorScale>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AD1F2-1474-4118-B24B-AB04DFFEE619}">
  <dimension ref="A1:AE83"/>
  <sheetViews>
    <sheetView workbookViewId="0">
      <selection activeCell="M2" sqref="M2"/>
    </sheetView>
  </sheetViews>
  <sheetFormatPr defaultRowHeight="14.4" x14ac:dyDescent="0.3"/>
  <cols>
    <col min="1" max="1" width="17.33203125" bestFit="1" customWidth="1"/>
    <col min="10" max="13" width="8.88671875" customWidth="1"/>
    <col min="14" max="19" width="8.88671875" hidden="1" customWidth="1"/>
  </cols>
  <sheetData>
    <row r="1" spans="1:31" ht="21" x14ac:dyDescent="0.4">
      <c r="A1" s="25" t="s">
        <v>246</v>
      </c>
      <c r="B1" s="15" t="s">
        <v>205</v>
      </c>
      <c r="I1" s="15" t="s">
        <v>205</v>
      </c>
    </row>
    <row r="2" spans="1:31" x14ac:dyDescent="0.3">
      <c r="B2" s="12" t="s">
        <v>199</v>
      </c>
      <c r="C2" s="12" t="s">
        <v>200</v>
      </c>
      <c r="D2" s="12" t="s">
        <v>201</v>
      </c>
      <c r="E2" s="12" t="s">
        <v>202</v>
      </c>
      <c r="F2" s="12" t="s">
        <v>203</v>
      </c>
      <c r="G2" s="12"/>
      <c r="I2" s="12" t="s">
        <v>278</v>
      </c>
      <c r="J2" s="12" t="s">
        <v>264</v>
      </c>
      <c r="K2" s="12" t="s">
        <v>279</v>
      </c>
      <c r="L2" s="12" t="s">
        <v>141</v>
      </c>
      <c r="M2" s="12" t="s">
        <v>276</v>
      </c>
      <c r="N2" s="12" t="str">
        <f>I2</f>
        <v>Status guy not price sensitive</v>
      </c>
      <c r="O2" s="12" t="str">
        <f>J2</f>
        <v>Beginner</v>
      </c>
      <c r="P2" s="12" t="str">
        <f>K2</f>
        <v>Ocassional</v>
      </c>
      <c r="Q2" s="12" t="str">
        <f>L2</f>
        <v>Expert</v>
      </c>
      <c r="R2" s="12" t="str">
        <f>M2</f>
        <v>Older anti-status guys</v>
      </c>
      <c r="S2" s="12" t="e">
        <f>#REF!</f>
        <v>#REF!</v>
      </c>
      <c r="AB2" s="12" t="s">
        <v>241</v>
      </c>
    </row>
    <row r="3" spans="1:31" ht="15" thickBot="1" x14ac:dyDescent="0.35">
      <c r="A3" s="4" t="s">
        <v>115</v>
      </c>
      <c r="B3" t="s">
        <v>79</v>
      </c>
      <c r="C3" t="s">
        <v>79</v>
      </c>
      <c r="D3">
        <v>-0.33</v>
      </c>
      <c r="E3" t="s">
        <v>79</v>
      </c>
      <c r="F3" t="s">
        <v>79</v>
      </c>
      <c r="G3" s="23"/>
      <c r="H3" t="str">
        <f>A3</f>
        <v>Q1.1</v>
      </c>
      <c r="T3" t="s">
        <v>0</v>
      </c>
      <c r="AB3" t="s">
        <v>234</v>
      </c>
    </row>
    <row r="4" spans="1:31" ht="15" thickBot="1" x14ac:dyDescent="0.35">
      <c r="A4" s="4" t="s">
        <v>119</v>
      </c>
      <c r="B4" t="s">
        <v>79</v>
      </c>
      <c r="C4" t="s">
        <v>79</v>
      </c>
      <c r="D4" t="s">
        <v>79</v>
      </c>
      <c r="E4" t="s">
        <v>79</v>
      </c>
      <c r="F4" t="s">
        <v>79</v>
      </c>
      <c r="G4" s="23"/>
      <c r="H4" t="str">
        <f t="shared" ref="H4:H67" si="0">A4</f>
        <v>Q1.2</v>
      </c>
      <c r="I4" t="str">
        <f t="shared" ref="I4:I35" si="1">IF(ISNUMBER(B4),B4,"")</f>
        <v/>
      </c>
      <c r="J4" t="str">
        <f t="shared" ref="J4:J35" si="2">IF(ISNUMBER(C4),C4,"")</f>
        <v/>
      </c>
      <c r="K4" t="str">
        <f t="shared" ref="K4:K35" si="3">IF(ISNUMBER(D4),D4,"")</f>
        <v/>
      </c>
      <c r="L4" t="str">
        <f t="shared" ref="L4:L35" si="4">IF(ISNUMBER(E4),E4,"")</f>
        <v/>
      </c>
      <c r="M4" t="str">
        <f t="shared" ref="M4:M35" si="5">IF(ISNUMBER(F4),F4,"")</f>
        <v/>
      </c>
      <c r="T4" t="s">
        <v>1</v>
      </c>
      <c r="AB4" t="s">
        <v>235</v>
      </c>
    </row>
    <row r="5" spans="1:31" ht="15" thickBot="1" x14ac:dyDescent="0.35">
      <c r="A5" s="4" t="s">
        <v>96</v>
      </c>
      <c r="B5">
        <v>0.25</v>
      </c>
      <c r="C5" t="s">
        <v>79</v>
      </c>
      <c r="D5" t="s">
        <v>79</v>
      </c>
      <c r="E5" t="s">
        <v>79</v>
      </c>
      <c r="F5">
        <v>-0.22</v>
      </c>
      <c r="G5" s="23"/>
      <c r="H5" t="str">
        <f t="shared" si="0"/>
        <v>Q1.3</v>
      </c>
      <c r="I5">
        <f t="shared" si="1"/>
        <v>0.25</v>
      </c>
      <c r="J5" t="str">
        <f t="shared" si="2"/>
        <v/>
      </c>
      <c r="K5" t="str">
        <f t="shared" si="3"/>
        <v/>
      </c>
      <c r="L5" t="str">
        <f t="shared" si="4"/>
        <v/>
      </c>
      <c r="M5">
        <f t="shared" si="5"/>
        <v>-0.22</v>
      </c>
      <c r="T5" t="s">
        <v>2</v>
      </c>
      <c r="AB5" t="s">
        <v>236</v>
      </c>
    </row>
    <row r="6" spans="1:31" ht="15" thickBot="1" x14ac:dyDescent="0.35">
      <c r="A6" s="4" t="s">
        <v>114</v>
      </c>
      <c r="B6" t="s">
        <v>79</v>
      </c>
      <c r="C6" t="s">
        <v>79</v>
      </c>
      <c r="D6" t="s">
        <v>79</v>
      </c>
      <c r="E6" t="s">
        <v>79</v>
      </c>
      <c r="F6" t="s">
        <v>79</v>
      </c>
      <c r="G6" s="23"/>
      <c r="H6" t="str">
        <f t="shared" si="0"/>
        <v>Q1.4</v>
      </c>
      <c r="I6" t="str">
        <f t="shared" si="1"/>
        <v/>
      </c>
      <c r="J6" t="str">
        <f t="shared" si="2"/>
        <v/>
      </c>
      <c r="K6" t="str">
        <f t="shared" si="3"/>
        <v/>
      </c>
      <c r="L6" t="str">
        <f t="shared" si="4"/>
        <v/>
      </c>
      <c r="M6" t="str">
        <f t="shared" si="5"/>
        <v/>
      </c>
      <c r="T6" t="s">
        <v>3</v>
      </c>
      <c r="AB6" t="s">
        <v>237</v>
      </c>
    </row>
    <row r="7" spans="1:31" ht="15" thickBot="1" x14ac:dyDescent="0.35">
      <c r="A7" s="4" t="s">
        <v>108</v>
      </c>
      <c r="B7">
        <v>0.14000000000000001</v>
      </c>
      <c r="C7" t="s">
        <v>79</v>
      </c>
      <c r="D7">
        <v>-0.1</v>
      </c>
      <c r="E7" t="s">
        <v>79</v>
      </c>
      <c r="F7" t="s">
        <v>79</v>
      </c>
      <c r="G7" s="23"/>
      <c r="H7" t="str">
        <f t="shared" si="0"/>
        <v>Q1.5</v>
      </c>
      <c r="I7">
        <f t="shared" si="1"/>
        <v>0.14000000000000001</v>
      </c>
      <c r="J7" t="str">
        <f t="shared" si="2"/>
        <v/>
      </c>
      <c r="K7">
        <f t="shared" si="3"/>
        <v>-0.1</v>
      </c>
      <c r="L7" t="str">
        <f t="shared" si="4"/>
        <v/>
      </c>
      <c r="M7" t="str">
        <f t="shared" si="5"/>
        <v/>
      </c>
      <c r="T7" t="s">
        <v>4</v>
      </c>
      <c r="AB7" t="s">
        <v>238</v>
      </c>
    </row>
    <row r="8" spans="1:31" ht="15" thickBot="1" x14ac:dyDescent="0.35">
      <c r="A8" s="4" t="s">
        <v>102</v>
      </c>
      <c r="B8">
        <v>0.13</v>
      </c>
      <c r="C8" t="s">
        <v>79</v>
      </c>
      <c r="D8">
        <v>-0.13</v>
      </c>
      <c r="E8" t="s">
        <v>79</v>
      </c>
      <c r="F8" t="s">
        <v>79</v>
      </c>
      <c r="G8" s="23"/>
      <c r="H8" t="str">
        <f t="shared" si="0"/>
        <v>Q1.6</v>
      </c>
      <c r="I8">
        <f t="shared" si="1"/>
        <v>0.13</v>
      </c>
      <c r="J8" t="str">
        <f t="shared" si="2"/>
        <v/>
      </c>
      <c r="K8">
        <f t="shared" si="3"/>
        <v>-0.13</v>
      </c>
      <c r="L8" t="str">
        <f t="shared" si="4"/>
        <v/>
      </c>
      <c r="M8" t="str">
        <f t="shared" si="5"/>
        <v/>
      </c>
      <c r="T8" t="s">
        <v>5</v>
      </c>
      <c r="AB8" t="s">
        <v>239</v>
      </c>
    </row>
    <row r="9" spans="1:31" ht="15" thickBot="1" x14ac:dyDescent="0.35">
      <c r="A9" s="4" t="s">
        <v>97</v>
      </c>
      <c r="B9">
        <v>0.18</v>
      </c>
      <c r="C9" t="s">
        <v>79</v>
      </c>
      <c r="D9">
        <v>-0.11</v>
      </c>
      <c r="E9" t="s">
        <v>79</v>
      </c>
      <c r="F9">
        <v>-0.14000000000000001</v>
      </c>
      <c r="G9" s="23"/>
      <c r="H9" t="str">
        <f t="shared" si="0"/>
        <v>Q1.7</v>
      </c>
      <c r="I9">
        <f t="shared" si="1"/>
        <v>0.18</v>
      </c>
      <c r="J9" t="str">
        <f t="shared" si="2"/>
        <v/>
      </c>
      <c r="K9">
        <f t="shared" si="3"/>
        <v>-0.11</v>
      </c>
      <c r="L9" t="str">
        <f t="shared" si="4"/>
        <v/>
      </c>
      <c r="M9">
        <f t="shared" si="5"/>
        <v>-0.14000000000000001</v>
      </c>
      <c r="T9" t="s">
        <v>6</v>
      </c>
      <c r="AB9" t="s">
        <v>240</v>
      </c>
    </row>
    <row r="10" spans="1:31" ht="15" thickBot="1" x14ac:dyDescent="0.35">
      <c r="A10" s="4" t="s">
        <v>118</v>
      </c>
      <c r="B10" t="s">
        <v>79</v>
      </c>
      <c r="C10" t="s">
        <v>79</v>
      </c>
      <c r="D10" t="s">
        <v>79</v>
      </c>
      <c r="E10" t="s">
        <v>79</v>
      </c>
      <c r="F10" t="s">
        <v>79</v>
      </c>
      <c r="G10" s="23"/>
      <c r="H10" t="str">
        <f t="shared" si="0"/>
        <v>Q1.8</v>
      </c>
      <c r="I10" t="str">
        <f t="shared" si="1"/>
        <v/>
      </c>
      <c r="J10" t="str">
        <f t="shared" si="2"/>
        <v/>
      </c>
      <c r="K10" t="str">
        <f t="shared" si="3"/>
        <v/>
      </c>
      <c r="L10" t="str">
        <f t="shared" si="4"/>
        <v/>
      </c>
      <c r="M10" t="str">
        <f t="shared" si="5"/>
        <v/>
      </c>
      <c r="T10" t="s">
        <v>7</v>
      </c>
    </row>
    <row r="11" spans="1:31" ht="15" thickBot="1" x14ac:dyDescent="0.35">
      <c r="A11" s="4" t="s">
        <v>104</v>
      </c>
      <c r="B11">
        <v>0.37</v>
      </c>
      <c r="C11" t="s">
        <v>79</v>
      </c>
      <c r="D11" t="s">
        <v>79</v>
      </c>
      <c r="E11" t="s">
        <v>79</v>
      </c>
      <c r="F11">
        <v>-0.39</v>
      </c>
      <c r="G11" s="23"/>
      <c r="H11" t="str">
        <f t="shared" si="0"/>
        <v>Q1.9</v>
      </c>
      <c r="I11">
        <f t="shared" si="1"/>
        <v>0.37</v>
      </c>
      <c r="J11" t="str">
        <f t="shared" si="2"/>
        <v/>
      </c>
      <c r="K11" t="str">
        <f t="shared" si="3"/>
        <v/>
      </c>
      <c r="L11" t="str">
        <f t="shared" si="4"/>
        <v/>
      </c>
      <c r="M11">
        <f t="shared" si="5"/>
        <v>-0.39</v>
      </c>
      <c r="T11" t="s">
        <v>8</v>
      </c>
      <c r="AE11" s="12" t="s">
        <v>244</v>
      </c>
    </row>
    <row r="12" spans="1:31" ht="15" thickBot="1" x14ac:dyDescent="0.35">
      <c r="A12" s="4" t="s">
        <v>117</v>
      </c>
      <c r="B12" t="s">
        <v>79</v>
      </c>
      <c r="C12">
        <v>0.19</v>
      </c>
      <c r="D12">
        <v>-0.13</v>
      </c>
      <c r="E12">
        <v>-0.21</v>
      </c>
      <c r="F12">
        <v>0.14000000000000001</v>
      </c>
      <c r="G12" s="23"/>
      <c r="H12" t="str">
        <f t="shared" si="0"/>
        <v>Q1.10</v>
      </c>
      <c r="I12" t="str">
        <f t="shared" si="1"/>
        <v/>
      </c>
      <c r="J12">
        <f t="shared" si="2"/>
        <v>0.19</v>
      </c>
      <c r="K12">
        <f t="shared" si="3"/>
        <v>-0.13</v>
      </c>
      <c r="L12">
        <f t="shared" si="4"/>
        <v>-0.21</v>
      </c>
      <c r="M12">
        <f t="shared" si="5"/>
        <v>0.14000000000000001</v>
      </c>
      <c r="T12" t="s">
        <v>9</v>
      </c>
      <c r="AB12">
        <v>21</v>
      </c>
      <c r="AC12" s="24" t="s">
        <v>20</v>
      </c>
      <c r="AE12" t="s">
        <v>128</v>
      </c>
    </row>
    <row r="13" spans="1:31" ht="15" thickBot="1" x14ac:dyDescent="0.35">
      <c r="A13" s="4" t="s">
        <v>116</v>
      </c>
      <c r="B13" t="s">
        <v>79</v>
      </c>
      <c r="C13" t="s">
        <v>79</v>
      </c>
      <c r="D13" t="s">
        <v>79</v>
      </c>
      <c r="E13" t="s">
        <v>79</v>
      </c>
      <c r="F13" t="s">
        <v>79</v>
      </c>
      <c r="G13" s="23"/>
      <c r="H13" t="str">
        <f t="shared" si="0"/>
        <v>Q1.11</v>
      </c>
      <c r="I13" t="str">
        <f t="shared" si="1"/>
        <v/>
      </c>
      <c r="J13" t="str">
        <f t="shared" si="2"/>
        <v/>
      </c>
      <c r="K13" t="str">
        <f t="shared" si="3"/>
        <v/>
      </c>
      <c r="L13" t="str">
        <f t="shared" si="4"/>
        <v/>
      </c>
      <c r="M13" t="str">
        <f t="shared" si="5"/>
        <v/>
      </c>
      <c r="T13" t="s">
        <v>10</v>
      </c>
      <c r="AB13">
        <v>9</v>
      </c>
      <c r="AC13" s="24" t="s">
        <v>8</v>
      </c>
      <c r="AE13" t="s">
        <v>242</v>
      </c>
    </row>
    <row r="14" spans="1:31" ht="15" thickBot="1" x14ac:dyDescent="0.35">
      <c r="A14" s="4" t="s">
        <v>120</v>
      </c>
      <c r="B14" t="s">
        <v>79</v>
      </c>
      <c r="C14" t="s">
        <v>79</v>
      </c>
      <c r="D14" t="s">
        <v>79</v>
      </c>
      <c r="E14" t="s">
        <v>79</v>
      </c>
      <c r="F14" t="s">
        <v>79</v>
      </c>
      <c r="G14" s="23"/>
      <c r="H14" t="str">
        <f t="shared" si="0"/>
        <v>Q1.12</v>
      </c>
      <c r="I14" t="str">
        <f t="shared" si="1"/>
        <v/>
      </c>
      <c r="J14" t="str">
        <f t="shared" si="2"/>
        <v/>
      </c>
      <c r="K14" t="str">
        <f t="shared" si="3"/>
        <v/>
      </c>
      <c r="L14" t="str">
        <f t="shared" si="4"/>
        <v/>
      </c>
      <c r="M14" t="str">
        <f t="shared" si="5"/>
        <v/>
      </c>
      <c r="T14" t="s">
        <v>11</v>
      </c>
      <c r="AB14">
        <v>27</v>
      </c>
      <c r="AC14" s="24" t="s">
        <v>26</v>
      </c>
      <c r="AE14" t="s">
        <v>129</v>
      </c>
    </row>
    <row r="15" spans="1:31" ht="15" thickBot="1" x14ac:dyDescent="0.35">
      <c r="A15" s="4" t="s">
        <v>100</v>
      </c>
      <c r="B15">
        <v>0.24</v>
      </c>
      <c r="C15" t="s">
        <v>79</v>
      </c>
      <c r="D15">
        <v>-0.1</v>
      </c>
      <c r="E15" t="s">
        <v>79</v>
      </c>
      <c r="F15">
        <v>-0.18</v>
      </c>
      <c r="G15" s="23"/>
      <c r="H15" t="str">
        <f t="shared" si="0"/>
        <v>Q1.13</v>
      </c>
      <c r="I15">
        <f t="shared" si="1"/>
        <v>0.24</v>
      </c>
      <c r="J15" t="str">
        <f t="shared" si="2"/>
        <v/>
      </c>
      <c r="K15">
        <f t="shared" si="3"/>
        <v>-0.1</v>
      </c>
      <c r="L15" t="str">
        <f t="shared" si="4"/>
        <v/>
      </c>
      <c r="M15">
        <f t="shared" si="5"/>
        <v>-0.18</v>
      </c>
      <c r="T15" t="s">
        <v>13</v>
      </c>
      <c r="AB15">
        <v>4</v>
      </c>
      <c r="AC15" s="24" t="s">
        <v>3</v>
      </c>
      <c r="AE15" t="s">
        <v>243</v>
      </c>
    </row>
    <row r="16" spans="1:31" ht="15" thickBot="1" x14ac:dyDescent="0.35">
      <c r="A16" s="4" t="s">
        <v>93</v>
      </c>
      <c r="B16">
        <v>0.21</v>
      </c>
      <c r="C16" t="s">
        <v>79</v>
      </c>
      <c r="D16">
        <v>-0.12</v>
      </c>
      <c r="E16" t="s">
        <v>79</v>
      </c>
      <c r="F16">
        <v>-0.15</v>
      </c>
      <c r="G16" s="23"/>
      <c r="H16" t="str">
        <f t="shared" si="0"/>
        <v>Q1.14</v>
      </c>
      <c r="I16">
        <f t="shared" si="1"/>
        <v>0.21</v>
      </c>
      <c r="J16" t="str">
        <f t="shared" si="2"/>
        <v/>
      </c>
      <c r="K16">
        <f t="shared" si="3"/>
        <v>-0.12</v>
      </c>
      <c r="L16" t="str">
        <f t="shared" si="4"/>
        <v/>
      </c>
      <c r="M16">
        <f t="shared" si="5"/>
        <v>-0.15</v>
      </c>
      <c r="T16" t="s">
        <v>12</v>
      </c>
      <c r="AB16">
        <v>8</v>
      </c>
      <c r="AC16" s="24" t="s">
        <v>7</v>
      </c>
      <c r="AD16" t="s">
        <v>11</v>
      </c>
      <c r="AE16" t="s">
        <v>89</v>
      </c>
    </row>
    <row r="17" spans="1:31" ht="15" thickBot="1" x14ac:dyDescent="0.35">
      <c r="A17" s="4" t="s">
        <v>98</v>
      </c>
      <c r="B17">
        <v>0.15</v>
      </c>
      <c r="C17" t="s">
        <v>79</v>
      </c>
      <c r="D17">
        <v>-0.12</v>
      </c>
      <c r="E17" t="s">
        <v>79</v>
      </c>
      <c r="F17" t="s">
        <v>79</v>
      </c>
      <c r="G17" s="23"/>
      <c r="H17" t="str">
        <f t="shared" si="0"/>
        <v>Q1.15</v>
      </c>
      <c r="I17">
        <f t="shared" si="1"/>
        <v>0.15</v>
      </c>
      <c r="J17" t="str">
        <f t="shared" si="2"/>
        <v/>
      </c>
      <c r="K17">
        <f t="shared" si="3"/>
        <v>-0.12</v>
      </c>
      <c r="L17" t="str">
        <f t="shared" si="4"/>
        <v/>
      </c>
      <c r="M17" t="str">
        <f t="shared" si="5"/>
        <v/>
      </c>
      <c r="T17" t="s">
        <v>14</v>
      </c>
      <c r="AB17">
        <v>10</v>
      </c>
      <c r="AC17" s="24" t="s">
        <v>9</v>
      </c>
      <c r="AE17" t="s">
        <v>141</v>
      </c>
    </row>
    <row r="18" spans="1:31" ht="15" thickBot="1" x14ac:dyDescent="0.35">
      <c r="A18" s="4" t="s">
        <v>99</v>
      </c>
      <c r="B18">
        <v>0.24</v>
      </c>
      <c r="C18" t="s">
        <v>79</v>
      </c>
      <c r="D18">
        <v>-0.13</v>
      </c>
      <c r="E18" t="s">
        <v>79</v>
      </c>
      <c r="F18">
        <v>-0.22</v>
      </c>
      <c r="G18" s="23"/>
      <c r="H18" t="str">
        <f t="shared" si="0"/>
        <v>Q1.16</v>
      </c>
      <c r="I18">
        <f t="shared" si="1"/>
        <v>0.24</v>
      </c>
      <c r="J18" t="str">
        <f t="shared" si="2"/>
        <v/>
      </c>
      <c r="K18">
        <f t="shared" si="3"/>
        <v>-0.13</v>
      </c>
      <c r="L18" t="str">
        <f t="shared" si="4"/>
        <v/>
      </c>
      <c r="M18">
        <f t="shared" si="5"/>
        <v>-0.22</v>
      </c>
      <c r="T18" t="s">
        <v>15</v>
      </c>
      <c r="AB18">
        <v>1</v>
      </c>
      <c r="AC18" s="24" t="s">
        <v>0</v>
      </c>
      <c r="AE18" t="s">
        <v>132</v>
      </c>
    </row>
    <row r="19" spans="1:31" ht="15" thickBot="1" x14ac:dyDescent="0.35">
      <c r="A19" s="4" t="s">
        <v>105</v>
      </c>
      <c r="B19">
        <v>0.2</v>
      </c>
      <c r="C19" t="s">
        <v>79</v>
      </c>
      <c r="D19">
        <v>-0.11</v>
      </c>
      <c r="E19" t="s">
        <v>79</v>
      </c>
      <c r="F19">
        <v>-0.18</v>
      </c>
      <c r="G19" s="23"/>
      <c r="H19" t="str">
        <f t="shared" si="0"/>
        <v>Q1.17</v>
      </c>
      <c r="I19">
        <f t="shared" si="1"/>
        <v>0.2</v>
      </c>
      <c r="J19" t="str">
        <f t="shared" si="2"/>
        <v/>
      </c>
      <c r="K19">
        <f t="shared" si="3"/>
        <v>-0.11</v>
      </c>
      <c r="L19" t="str">
        <f t="shared" si="4"/>
        <v/>
      </c>
      <c r="M19">
        <f t="shared" si="5"/>
        <v>-0.18</v>
      </c>
      <c r="T19" t="s">
        <v>16</v>
      </c>
    </row>
    <row r="20" spans="1:31" ht="15" thickBot="1" x14ac:dyDescent="0.35">
      <c r="A20" s="4" t="s">
        <v>109</v>
      </c>
      <c r="B20" t="s">
        <v>79</v>
      </c>
      <c r="C20" t="s">
        <v>79</v>
      </c>
      <c r="D20">
        <v>-0.11</v>
      </c>
      <c r="E20" t="s">
        <v>79</v>
      </c>
      <c r="F20" t="s">
        <v>79</v>
      </c>
      <c r="G20" s="23"/>
      <c r="H20" t="str">
        <f t="shared" si="0"/>
        <v>Q1.18</v>
      </c>
      <c r="I20" t="str">
        <f t="shared" si="1"/>
        <v/>
      </c>
      <c r="J20" t="str">
        <f t="shared" si="2"/>
        <v/>
      </c>
      <c r="K20">
        <f t="shared" si="3"/>
        <v>-0.11</v>
      </c>
      <c r="L20" t="str">
        <f t="shared" si="4"/>
        <v/>
      </c>
      <c r="M20" t="str">
        <f t="shared" si="5"/>
        <v/>
      </c>
      <c r="T20" t="s">
        <v>17</v>
      </c>
    </row>
    <row r="21" spans="1:31" ht="15" thickBot="1" x14ac:dyDescent="0.35">
      <c r="A21" s="4" t="s">
        <v>112</v>
      </c>
      <c r="B21" t="s">
        <v>79</v>
      </c>
      <c r="C21" t="s">
        <v>79</v>
      </c>
      <c r="D21">
        <v>-0.1</v>
      </c>
      <c r="E21" t="s">
        <v>79</v>
      </c>
      <c r="F21" t="s">
        <v>79</v>
      </c>
      <c r="G21" s="23"/>
      <c r="H21" t="str">
        <f t="shared" si="0"/>
        <v>Q1.19</v>
      </c>
      <c r="I21" t="str">
        <f t="shared" si="1"/>
        <v/>
      </c>
      <c r="J21" t="str">
        <f t="shared" si="2"/>
        <v/>
      </c>
      <c r="K21">
        <f t="shared" si="3"/>
        <v>-0.1</v>
      </c>
      <c r="L21" t="str">
        <f t="shared" si="4"/>
        <v/>
      </c>
      <c r="M21" t="str">
        <f t="shared" si="5"/>
        <v/>
      </c>
      <c r="T21" t="s">
        <v>18</v>
      </c>
    </row>
    <row r="22" spans="1:31" ht="15" thickBot="1" x14ac:dyDescent="0.35">
      <c r="A22" s="4" t="s">
        <v>94</v>
      </c>
      <c r="B22">
        <v>0.21</v>
      </c>
      <c r="C22" t="s">
        <v>79</v>
      </c>
      <c r="D22">
        <v>-0.14000000000000001</v>
      </c>
      <c r="E22" t="s">
        <v>79</v>
      </c>
      <c r="F22">
        <v>-0.14000000000000001</v>
      </c>
      <c r="G22" s="23"/>
      <c r="H22" t="str">
        <f t="shared" si="0"/>
        <v>Q1.20</v>
      </c>
      <c r="I22">
        <f t="shared" si="1"/>
        <v>0.21</v>
      </c>
      <c r="J22" t="str">
        <f t="shared" si="2"/>
        <v/>
      </c>
      <c r="K22">
        <f t="shared" si="3"/>
        <v>-0.14000000000000001</v>
      </c>
      <c r="L22" t="str">
        <f t="shared" si="4"/>
        <v/>
      </c>
      <c r="M22">
        <f t="shared" si="5"/>
        <v>-0.14000000000000001</v>
      </c>
      <c r="T22" t="s">
        <v>19</v>
      </c>
    </row>
    <row r="23" spans="1:31" ht="15" thickBot="1" x14ac:dyDescent="0.35">
      <c r="A23" s="4" t="s">
        <v>111</v>
      </c>
      <c r="B23" t="s">
        <v>79</v>
      </c>
      <c r="C23" t="s">
        <v>79</v>
      </c>
      <c r="D23">
        <v>-0.14000000000000001</v>
      </c>
      <c r="E23" t="s">
        <v>79</v>
      </c>
      <c r="F23" t="s">
        <v>79</v>
      </c>
      <c r="G23" s="23"/>
      <c r="H23" t="str">
        <f t="shared" si="0"/>
        <v>Q1.21</v>
      </c>
      <c r="I23" t="str">
        <f t="shared" si="1"/>
        <v/>
      </c>
      <c r="J23" t="str">
        <f t="shared" si="2"/>
        <v/>
      </c>
      <c r="K23">
        <f t="shared" si="3"/>
        <v>-0.14000000000000001</v>
      </c>
      <c r="L23" t="str">
        <f t="shared" si="4"/>
        <v/>
      </c>
      <c r="M23" t="str">
        <f t="shared" si="5"/>
        <v/>
      </c>
      <c r="T23" t="s">
        <v>20</v>
      </c>
    </row>
    <row r="24" spans="1:31" ht="15" thickBot="1" x14ac:dyDescent="0.35">
      <c r="A24" s="4" t="s">
        <v>106</v>
      </c>
      <c r="B24">
        <v>0.1</v>
      </c>
      <c r="C24" t="s">
        <v>79</v>
      </c>
      <c r="D24">
        <v>-0.1</v>
      </c>
      <c r="E24" t="s">
        <v>79</v>
      </c>
      <c r="F24" t="s">
        <v>79</v>
      </c>
      <c r="G24" s="23"/>
      <c r="H24" t="str">
        <f t="shared" si="0"/>
        <v>Q1.22</v>
      </c>
      <c r="I24">
        <f t="shared" si="1"/>
        <v>0.1</v>
      </c>
      <c r="J24" t="str">
        <f t="shared" si="2"/>
        <v/>
      </c>
      <c r="K24">
        <f t="shared" si="3"/>
        <v>-0.1</v>
      </c>
      <c r="L24" t="str">
        <f t="shared" si="4"/>
        <v/>
      </c>
      <c r="M24" t="str">
        <f t="shared" si="5"/>
        <v/>
      </c>
      <c r="T24" t="s">
        <v>21</v>
      </c>
    </row>
    <row r="25" spans="1:31" ht="15" thickBot="1" x14ac:dyDescent="0.35">
      <c r="A25" s="4" t="s">
        <v>107</v>
      </c>
      <c r="B25">
        <v>0.15</v>
      </c>
      <c r="C25" t="s">
        <v>79</v>
      </c>
      <c r="D25">
        <v>-0.11</v>
      </c>
      <c r="E25" t="s">
        <v>79</v>
      </c>
      <c r="F25">
        <v>-0.11</v>
      </c>
      <c r="G25" s="23"/>
      <c r="H25" t="str">
        <f t="shared" si="0"/>
        <v>Q1.23</v>
      </c>
      <c r="I25">
        <f t="shared" si="1"/>
        <v>0.15</v>
      </c>
      <c r="J25" t="str">
        <f t="shared" si="2"/>
        <v/>
      </c>
      <c r="K25">
        <f t="shared" si="3"/>
        <v>-0.11</v>
      </c>
      <c r="L25" t="str">
        <f t="shared" si="4"/>
        <v/>
      </c>
      <c r="M25">
        <f t="shared" si="5"/>
        <v>-0.11</v>
      </c>
      <c r="T25" t="s">
        <v>22</v>
      </c>
    </row>
    <row r="26" spans="1:31" ht="15" thickBot="1" x14ac:dyDescent="0.35">
      <c r="A26" s="4" t="s">
        <v>110</v>
      </c>
      <c r="B26" t="s">
        <v>79</v>
      </c>
      <c r="C26" t="s">
        <v>79</v>
      </c>
      <c r="D26" t="s">
        <v>79</v>
      </c>
      <c r="E26" t="s">
        <v>79</v>
      </c>
      <c r="F26" t="s">
        <v>79</v>
      </c>
      <c r="G26" s="23"/>
      <c r="H26" t="str">
        <f t="shared" si="0"/>
        <v>Q1.24</v>
      </c>
      <c r="I26" t="str">
        <f t="shared" si="1"/>
        <v/>
      </c>
      <c r="J26" t="str">
        <f t="shared" si="2"/>
        <v/>
      </c>
      <c r="K26" t="str">
        <f t="shared" si="3"/>
        <v/>
      </c>
      <c r="L26" t="str">
        <f t="shared" si="4"/>
        <v/>
      </c>
      <c r="M26" t="str">
        <f t="shared" si="5"/>
        <v/>
      </c>
      <c r="T26" t="s">
        <v>23</v>
      </c>
    </row>
    <row r="27" spans="1:31" ht="15" thickBot="1" x14ac:dyDescent="0.35">
      <c r="A27" s="4" t="s">
        <v>101</v>
      </c>
      <c r="B27">
        <v>0.14000000000000001</v>
      </c>
      <c r="C27" t="s">
        <v>79</v>
      </c>
      <c r="D27">
        <v>-0.11</v>
      </c>
      <c r="E27" t="s">
        <v>79</v>
      </c>
      <c r="F27">
        <v>-0.1</v>
      </c>
      <c r="G27" s="23"/>
      <c r="H27" t="str">
        <f t="shared" si="0"/>
        <v>Q1.25</v>
      </c>
      <c r="I27">
        <f t="shared" si="1"/>
        <v>0.14000000000000001</v>
      </c>
      <c r="J27" t="str">
        <f t="shared" si="2"/>
        <v/>
      </c>
      <c r="K27">
        <f t="shared" si="3"/>
        <v>-0.11</v>
      </c>
      <c r="L27" t="str">
        <f t="shared" si="4"/>
        <v/>
      </c>
      <c r="M27">
        <f t="shared" si="5"/>
        <v>-0.1</v>
      </c>
      <c r="T27" t="s">
        <v>24</v>
      </c>
    </row>
    <row r="28" spans="1:31" ht="15" thickBot="1" x14ac:dyDescent="0.35">
      <c r="A28" s="4" t="s">
        <v>103</v>
      </c>
      <c r="B28">
        <v>0.27</v>
      </c>
      <c r="C28" t="s">
        <v>79</v>
      </c>
      <c r="D28" t="s">
        <v>79</v>
      </c>
      <c r="E28" t="s">
        <v>79</v>
      </c>
      <c r="F28">
        <v>-0.23</v>
      </c>
      <c r="G28" s="23"/>
      <c r="H28" t="str">
        <f t="shared" si="0"/>
        <v>Q1.26</v>
      </c>
      <c r="I28">
        <f t="shared" si="1"/>
        <v>0.27</v>
      </c>
      <c r="J28" t="str">
        <f t="shared" si="2"/>
        <v/>
      </c>
      <c r="K28" t="str">
        <f t="shared" si="3"/>
        <v/>
      </c>
      <c r="L28" t="str">
        <f t="shared" si="4"/>
        <v/>
      </c>
      <c r="M28">
        <f t="shared" si="5"/>
        <v>-0.23</v>
      </c>
      <c r="T28" t="s">
        <v>25</v>
      </c>
    </row>
    <row r="29" spans="1:31" ht="15" thickBot="1" x14ac:dyDescent="0.35">
      <c r="A29" s="4" t="s">
        <v>95</v>
      </c>
      <c r="B29">
        <v>0.37</v>
      </c>
      <c r="C29" t="s">
        <v>79</v>
      </c>
      <c r="D29">
        <v>-0.11</v>
      </c>
      <c r="E29">
        <v>-0.13</v>
      </c>
      <c r="F29">
        <v>-0.25</v>
      </c>
      <c r="G29" s="23"/>
      <c r="H29" t="str">
        <f t="shared" si="0"/>
        <v>Q1.27</v>
      </c>
      <c r="I29">
        <f t="shared" si="1"/>
        <v>0.37</v>
      </c>
      <c r="J29" t="str">
        <f t="shared" si="2"/>
        <v/>
      </c>
      <c r="K29">
        <f t="shared" si="3"/>
        <v>-0.11</v>
      </c>
      <c r="L29">
        <f t="shared" si="4"/>
        <v>-0.13</v>
      </c>
      <c r="M29">
        <f t="shared" si="5"/>
        <v>-0.25</v>
      </c>
      <c r="T29" t="s">
        <v>26</v>
      </c>
    </row>
    <row r="30" spans="1:31" ht="15" thickBot="1" x14ac:dyDescent="0.35">
      <c r="A30" s="4" t="s">
        <v>92</v>
      </c>
      <c r="B30">
        <v>0.24</v>
      </c>
      <c r="C30" t="s">
        <v>79</v>
      </c>
      <c r="D30">
        <v>-0.11</v>
      </c>
      <c r="E30" t="s">
        <v>79</v>
      </c>
      <c r="F30">
        <v>-0.19</v>
      </c>
      <c r="G30" s="23"/>
      <c r="H30" t="str">
        <f t="shared" si="0"/>
        <v>Q1.28</v>
      </c>
      <c r="I30">
        <f t="shared" si="1"/>
        <v>0.24</v>
      </c>
      <c r="J30" t="str">
        <f t="shared" si="2"/>
        <v/>
      </c>
      <c r="K30">
        <f t="shared" si="3"/>
        <v>-0.11</v>
      </c>
      <c r="L30" t="str">
        <f t="shared" si="4"/>
        <v/>
      </c>
      <c r="M30">
        <f t="shared" si="5"/>
        <v>-0.19</v>
      </c>
      <c r="T30" t="s">
        <v>27</v>
      </c>
    </row>
    <row r="31" spans="1:31" ht="15" thickBot="1" x14ac:dyDescent="0.35">
      <c r="A31" s="4" t="s">
        <v>113</v>
      </c>
      <c r="B31" t="s">
        <v>79</v>
      </c>
      <c r="C31" t="s">
        <v>79</v>
      </c>
      <c r="D31" t="s">
        <v>79</v>
      </c>
      <c r="E31" t="s">
        <v>79</v>
      </c>
      <c r="F31" t="s">
        <v>79</v>
      </c>
      <c r="G31" s="23"/>
      <c r="H31" t="str">
        <f t="shared" si="0"/>
        <v>Q1.29</v>
      </c>
      <c r="I31" t="str">
        <f t="shared" si="1"/>
        <v/>
      </c>
      <c r="J31" t="str">
        <f t="shared" si="2"/>
        <v/>
      </c>
      <c r="K31" t="str">
        <f t="shared" si="3"/>
        <v/>
      </c>
      <c r="L31" t="str">
        <f t="shared" si="4"/>
        <v/>
      </c>
      <c r="M31" t="str">
        <f t="shared" si="5"/>
        <v/>
      </c>
      <c r="T31" t="s">
        <v>28</v>
      </c>
    </row>
    <row r="32" spans="1:31" ht="15" thickBot="1" x14ac:dyDescent="0.35">
      <c r="A32" s="4" t="s">
        <v>147</v>
      </c>
      <c r="B32">
        <v>0.17</v>
      </c>
      <c r="C32">
        <v>-0.1</v>
      </c>
      <c r="D32" t="s">
        <v>79</v>
      </c>
      <c r="E32" t="s">
        <v>79</v>
      </c>
      <c r="F32">
        <v>-0.13</v>
      </c>
      <c r="G32" s="23"/>
      <c r="H32" t="str">
        <f t="shared" si="0"/>
        <v>Q2</v>
      </c>
      <c r="I32">
        <f t="shared" si="1"/>
        <v>0.17</v>
      </c>
      <c r="J32">
        <f t="shared" si="2"/>
        <v>-0.1</v>
      </c>
      <c r="K32" t="str">
        <f t="shared" si="3"/>
        <v/>
      </c>
      <c r="L32" t="str">
        <f t="shared" si="4"/>
        <v/>
      </c>
      <c r="M32">
        <f t="shared" si="5"/>
        <v>-0.13</v>
      </c>
      <c r="T32" t="s">
        <v>206</v>
      </c>
    </row>
    <row r="33" spans="1:20" ht="15" thickBot="1" x14ac:dyDescent="0.35">
      <c r="A33" s="4" t="s">
        <v>148</v>
      </c>
      <c r="B33" t="s">
        <v>79</v>
      </c>
      <c r="C33" t="s">
        <v>79</v>
      </c>
      <c r="D33" t="s">
        <v>79</v>
      </c>
      <c r="E33" t="s">
        <v>79</v>
      </c>
      <c r="F33" t="s">
        <v>79</v>
      </c>
      <c r="G33" s="23"/>
      <c r="H33" t="str">
        <f t="shared" si="0"/>
        <v>Q2.Cluster</v>
      </c>
      <c r="I33" t="str">
        <f t="shared" si="1"/>
        <v/>
      </c>
      <c r="J33" t="str">
        <f t="shared" si="2"/>
        <v/>
      </c>
      <c r="K33" t="str">
        <f t="shared" si="3"/>
        <v/>
      </c>
      <c r="L33" t="str">
        <f t="shared" si="4"/>
        <v/>
      </c>
      <c r="M33" t="str">
        <f t="shared" si="5"/>
        <v/>
      </c>
      <c r="T33" t="s">
        <v>206</v>
      </c>
    </row>
    <row r="34" spans="1:20" ht="15" thickBot="1" x14ac:dyDescent="0.35">
      <c r="A34" s="4" t="s">
        <v>149</v>
      </c>
      <c r="B34" t="s">
        <v>79</v>
      </c>
      <c r="C34" t="s">
        <v>79</v>
      </c>
      <c r="D34" t="s">
        <v>79</v>
      </c>
      <c r="E34" t="s">
        <v>79</v>
      </c>
      <c r="F34" t="s">
        <v>79</v>
      </c>
      <c r="G34" s="23"/>
      <c r="H34" t="str">
        <f t="shared" si="0"/>
        <v>Q3</v>
      </c>
      <c r="I34" t="str">
        <f t="shared" si="1"/>
        <v/>
      </c>
      <c r="J34" t="str">
        <f t="shared" si="2"/>
        <v/>
      </c>
      <c r="K34" t="str">
        <f t="shared" si="3"/>
        <v/>
      </c>
      <c r="L34" t="str">
        <f t="shared" si="4"/>
        <v/>
      </c>
      <c r="M34" t="str">
        <f t="shared" si="5"/>
        <v/>
      </c>
      <c r="T34" t="s">
        <v>207</v>
      </c>
    </row>
    <row r="35" spans="1:20" ht="15" thickBot="1" x14ac:dyDescent="0.35">
      <c r="A35" s="4" t="s">
        <v>150</v>
      </c>
      <c r="B35">
        <v>0.14000000000000001</v>
      </c>
      <c r="C35" t="s">
        <v>79</v>
      </c>
      <c r="D35" t="s">
        <v>79</v>
      </c>
      <c r="E35" t="s">
        <v>79</v>
      </c>
      <c r="F35" t="s">
        <v>79</v>
      </c>
      <c r="G35" s="23"/>
      <c r="H35" t="str">
        <f t="shared" si="0"/>
        <v>Q4</v>
      </c>
      <c r="I35">
        <f t="shared" si="1"/>
        <v>0.14000000000000001</v>
      </c>
      <c r="J35" t="str">
        <f t="shared" si="2"/>
        <v/>
      </c>
      <c r="K35" t="str">
        <f t="shared" si="3"/>
        <v/>
      </c>
      <c r="L35" t="str">
        <f t="shared" si="4"/>
        <v/>
      </c>
      <c r="M35" t="str">
        <f t="shared" si="5"/>
        <v/>
      </c>
      <c r="T35" t="s">
        <v>208</v>
      </c>
    </row>
    <row r="36" spans="1:20" ht="15" thickBot="1" x14ac:dyDescent="0.35">
      <c r="A36" s="4" t="s">
        <v>151</v>
      </c>
      <c r="B36">
        <v>0.26</v>
      </c>
      <c r="C36" t="s">
        <v>79</v>
      </c>
      <c r="D36" t="s">
        <v>79</v>
      </c>
      <c r="E36" t="s">
        <v>79</v>
      </c>
      <c r="F36">
        <v>-0.19</v>
      </c>
      <c r="G36" s="23"/>
      <c r="H36" t="str">
        <f t="shared" si="0"/>
        <v>Q5</v>
      </c>
      <c r="I36">
        <f t="shared" ref="I36:I67" si="6">IF(ISNUMBER(B36),B36,"")</f>
        <v>0.26</v>
      </c>
      <c r="J36" t="str">
        <f t="shared" ref="J36:J67" si="7">IF(ISNUMBER(C36),C36,"")</f>
        <v/>
      </c>
      <c r="K36" t="str">
        <f t="shared" ref="K36:K67" si="8">IF(ISNUMBER(D36),D36,"")</f>
        <v/>
      </c>
      <c r="L36" t="str">
        <f t="shared" ref="L36:L67" si="9">IF(ISNUMBER(E36),E36,"")</f>
        <v/>
      </c>
      <c r="M36">
        <f t="shared" ref="M36:M67" si="10">IF(ISNUMBER(F36),F36,"")</f>
        <v>-0.19</v>
      </c>
      <c r="T36" t="s">
        <v>209</v>
      </c>
    </row>
    <row r="37" spans="1:20" ht="15" thickBot="1" x14ac:dyDescent="0.35">
      <c r="A37" s="4" t="s">
        <v>152</v>
      </c>
      <c r="B37" t="s">
        <v>79</v>
      </c>
      <c r="C37" t="s">
        <v>79</v>
      </c>
      <c r="D37" t="s">
        <v>79</v>
      </c>
      <c r="E37" t="s">
        <v>79</v>
      </c>
      <c r="F37" t="s">
        <v>79</v>
      </c>
      <c r="G37" s="23"/>
      <c r="H37" t="str">
        <f t="shared" si="0"/>
        <v>Q6</v>
      </c>
      <c r="I37" t="str">
        <f t="shared" si="6"/>
        <v/>
      </c>
      <c r="J37" t="str">
        <f t="shared" si="7"/>
        <v/>
      </c>
      <c r="K37" t="str">
        <f t="shared" si="8"/>
        <v/>
      </c>
      <c r="L37" t="str">
        <f t="shared" si="9"/>
        <v/>
      </c>
      <c r="M37" t="str">
        <f t="shared" si="10"/>
        <v/>
      </c>
      <c r="T37" t="s">
        <v>210</v>
      </c>
    </row>
    <row r="38" spans="1:20" ht="15" thickBot="1" x14ac:dyDescent="0.35">
      <c r="A38" s="4" t="s">
        <v>153</v>
      </c>
      <c r="B38">
        <v>0.1</v>
      </c>
      <c r="C38" t="s">
        <v>79</v>
      </c>
      <c r="D38" t="s">
        <v>79</v>
      </c>
      <c r="E38" t="s">
        <v>79</v>
      </c>
      <c r="F38" t="s">
        <v>79</v>
      </c>
      <c r="G38" s="23"/>
      <c r="H38" t="str">
        <f t="shared" si="0"/>
        <v>Q7.1</v>
      </c>
      <c r="I38">
        <f t="shared" si="6"/>
        <v>0.1</v>
      </c>
      <c r="J38" t="str">
        <f t="shared" si="7"/>
        <v/>
      </c>
      <c r="K38" t="str">
        <f t="shared" si="8"/>
        <v/>
      </c>
      <c r="L38" t="str">
        <f t="shared" si="9"/>
        <v/>
      </c>
      <c r="M38" t="str">
        <f t="shared" si="10"/>
        <v/>
      </c>
      <c r="T38" t="s">
        <v>211</v>
      </c>
    </row>
    <row r="39" spans="1:20" ht="15" thickBot="1" x14ac:dyDescent="0.35">
      <c r="A39" s="4" t="s">
        <v>154</v>
      </c>
      <c r="B39" t="s">
        <v>79</v>
      </c>
      <c r="C39" t="s">
        <v>79</v>
      </c>
      <c r="D39" t="s">
        <v>79</v>
      </c>
      <c r="E39" t="s">
        <v>79</v>
      </c>
      <c r="F39" t="s">
        <v>79</v>
      </c>
      <c r="G39" s="23"/>
      <c r="H39" t="str">
        <f t="shared" si="0"/>
        <v>Q7.2</v>
      </c>
      <c r="I39" t="str">
        <f t="shared" si="6"/>
        <v/>
      </c>
      <c r="J39" t="str">
        <f t="shared" si="7"/>
        <v/>
      </c>
      <c r="K39" t="str">
        <f t="shared" si="8"/>
        <v/>
      </c>
      <c r="L39" t="str">
        <f t="shared" si="9"/>
        <v/>
      </c>
      <c r="M39" t="str">
        <f t="shared" si="10"/>
        <v/>
      </c>
      <c r="T39" t="s">
        <v>212</v>
      </c>
    </row>
    <row r="40" spans="1:20" ht="15" thickBot="1" x14ac:dyDescent="0.35">
      <c r="A40" s="4" t="s">
        <v>155</v>
      </c>
      <c r="B40" t="s">
        <v>79</v>
      </c>
      <c r="C40" t="s">
        <v>79</v>
      </c>
      <c r="D40" t="s">
        <v>79</v>
      </c>
      <c r="E40" t="s">
        <v>79</v>
      </c>
      <c r="F40" t="s">
        <v>79</v>
      </c>
      <c r="G40" s="23"/>
      <c r="H40" t="str">
        <f t="shared" si="0"/>
        <v>Q7.3</v>
      </c>
      <c r="I40" t="str">
        <f t="shared" si="6"/>
        <v/>
      </c>
      <c r="J40" t="str">
        <f t="shared" si="7"/>
        <v/>
      </c>
      <c r="K40" t="str">
        <f t="shared" si="8"/>
        <v/>
      </c>
      <c r="L40" t="str">
        <f t="shared" si="9"/>
        <v/>
      </c>
      <c r="M40" t="str">
        <f t="shared" si="10"/>
        <v/>
      </c>
      <c r="T40" t="s">
        <v>213</v>
      </c>
    </row>
    <row r="41" spans="1:20" ht="15" thickBot="1" x14ac:dyDescent="0.35">
      <c r="A41" s="4" t="s">
        <v>156</v>
      </c>
      <c r="B41" t="s">
        <v>79</v>
      </c>
      <c r="C41" t="s">
        <v>79</v>
      </c>
      <c r="D41" t="s">
        <v>79</v>
      </c>
      <c r="E41" t="s">
        <v>79</v>
      </c>
      <c r="F41" t="s">
        <v>79</v>
      </c>
      <c r="G41" s="23"/>
      <c r="H41" t="str">
        <f t="shared" si="0"/>
        <v>Q7.4</v>
      </c>
      <c r="I41" t="str">
        <f t="shared" si="6"/>
        <v/>
      </c>
      <c r="J41" t="str">
        <f t="shared" si="7"/>
        <v/>
      </c>
      <c r="K41" t="str">
        <f t="shared" si="8"/>
        <v/>
      </c>
      <c r="L41" t="str">
        <f t="shared" si="9"/>
        <v/>
      </c>
      <c r="M41" t="str">
        <f t="shared" si="10"/>
        <v/>
      </c>
      <c r="T41" t="s">
        <v>214</v>
      </c>
    </row>
    <row r="42" spans="1:20" ht="15" thickBot="1" x14ac:dyDescent="0.35">
      <c r="A42" s="4" t="s">
        <v>157</v>
      </c>
      <c r="B42" t="s">
        <v>79</v>
      </c>
      <c r="C42" t="s">
        <v>79</v>
      </c>
      <c r="D42" t="s">
        <v>79</v>
      </c>
      <c r="E42" t="s">
        <v>79</v>
      </c>
      <c r="F42" t="s">
        <v>79</v>
      </c>
      <c r="G42" s="23"/>
      <c r="H42" t="str">
        <f t="shared" si="0"/>
        <v>Q8</v>
      </c>
      <c r="I42" t="str">
        <f t="shared" si="6"/>
        <v/>
      </c>
      <c r="J42" t="str">
        <f t="shared" si="7"/>
        <v/>
      </c>
      <c r="K42" t="str">
        <f t="shared" si="8"/>
        <v/>
      </c>
      <c r="L42" t="str">
        <f t="shared" si="9"/>
        <v/>
      </c>
      <c r="M42" t="str">
        <f t="shared" si="10"/>
        <v/>
      </c>
      <c r="T42" t="s">
        <v>215</v>
      </c>
    </row>
    <row r="43" spans="1:20" ht="15" thickBot="1" x14ac:dyDescent="0.35">
      <c r="A43" s="4" t="s">
        <v>158</v>
      </c>
      <c r="B43" t="s">
        <v>79</v>
      </c>
      <c r="C43" t="s">
        <v>79</v>
      </c>
      <c r="D43" t="s">
        <v>79</v>
      </c>
      <c r="E43" t="s">
        <v>79</v>
      </c>
      <c r="F43" t="s">
        <v>79</v>
      </c>
      <c r="G43" s="23"/>
      <c r="H43" t="str">
        <f t="shared" si="0"/>
        <v>Q9.1</v>
      </c>
      <c r="I43" t="str">
        <f t="shared" si="6"/>
        <v/>
      </c>
      <c r="J43" t="str">
        <f t="shared" si="7"/>
        <v/>
      </c>
      <c r="K43" t="str">
        <f t="shared" si="8"/>
        <v/>
      </c>
      <c r="L43" t="str">
        <f t="shared" si="9"/>
        <v/>
      </c>
      <c r="M43" t="str">
        <f t="shared" si="10"/>
        <v/>
      </c>
      <c r="T43" t="s">
        <v>216</v>
      </c>
    </row>
    <row r="44" spans="1:20" ht="15" thickBot="1" x14ac:dyDescent="0.35">
      <c r="A44" s="4" t="s">
        <v>159</v>
      </c>
      <c r="B44" t="s">
        <v>79</v>
      </c>
      <c r="C44" t="s">
        <v>79</v>
      </c>
      <c r="D44" t="s">
        <v>79</v>
      </c>
      <c r="E44" t="s">
        <v>79</v>
      </c>
      <c r="F44" t="s">
        <v>79</v>
      </c>
      <c r="G44" s="23"/>
      <c r="H44" t="str">
        <f t="shared" si="0"/>
        <v>Q9.2</v>
      </c>
      <c r="I44" t="str">
        <f t="shared" si="6"/>
        <v/>
      </c>
      <c r="J44" t="str">
        <f t="shared" si="7"/>
        <v/>
      </c>
      <c r="K44" t="str">
        <f t="shared" si="8"/>
        <v/>
      </c>
      <c r="L44" t="str">
        <f t="shared" si="9"/>
        <v/>
      </c>
      <c r="M44" t="str">
        <f t="shared" si="10"/>
        <v/>
      </c>
      <c r="T44" t="s">
        <v>217</v>
      </c>
    </row>
    <row r="45" spans="1:20" ht="15" thickBot="1" x14ac:dyDescent="0.35">
      <c r="A45" s="4" t="s">
        <v>160</v>
      </c>
      <c r="B45" t="s">
        <v>79</v>
      </c>
      <c r="C45" t="s">
        <v>79</v>
      </c>
      <c r="D45" t="s">
        <v>79</v>
      </c>
      <c r="E45" t="s">
        <v>79</v>
      </c>
      <c r="F45" t="s">
        <v>79</v>
      </c>
      <c r="G45" s="23"/>
      <c r="H45" t="str">
        <f t="shared" si="0"/>
        <v>Q9.3</v>
      </c>
      <c r="I45" t="str">
        <f t="shared" si="6"/>
        <v/>
      </c>
      <c r="J45" t="str">
        <f t="shared" si="7"/>
        <v/>
      </c>
      <c r="K45" t="str">
        <f t="shared" si="8"/>
        <v/>
      </c>
      <c r="L45" t="str">
        <f t="shared" si="9"/>
        <v/>
      </c>
      <c r="M45" t="str">
        <f t="shared" si="10"/>
        <v/>
      </c>
      <c r="T45" t="s">
        <v>218</v>
      </c>
    </row>
    <row r="46" spans="1:20" ht="15" thickBot="1" x14ac:dyDescent="0.35">
      <c r="A46" s="4" t="s">
        <v>161</v>
      </c>
      <c r="B46" t="s">
        <v>79</v>
      </c>
      <c r="C46" t="s">
        <v>79</v>
      </c>
      <c r="D46" t="s">
        <v>79</v>
      </c>
      <c r="E46" t="s">
        <v>79</v>
      </c>
      <c r="F46" t="s">
        <v>79</v>
      </c>
      <c r="G46" s="23"/>
      <c r="H46" t="str">
        <f t="shared" si="0"/>
        <v>Q9.4</v>
      </c>
      <c r="I46" t="str">
        <f t="shared" si="6"/>
        <v/>
      </c>
      <c r="J46" t="str">
        <f t="shared" si="7"/>
        <v/>
      </c>
      <c r="K46" t="str">
        <f t="shared" si="8"/>
        <v/>
      </c>
      <c r="L46" t="str">
        <f t="shared" si="9"/>
        <v/>
      </c>
      <c r="M46" t="str">
        <f t="shared" si="10"/>
        <v/>
      </c>
      <c r="T46" t="s">
        <v>219</v>
      </c>
    </row>
    <row r="47" spans="1:20" ht="15" thickBot="1" x14ac:dyDescent="0.35">
      <c r="A47" s="4" t="s">
        <v>162</v>
      </c>
      <c r="B47">
        <v>0.1</v>
      </c>
      <c r="C47" t="s">
        <v>79</v>
      </c>
      <c r="D47" t="s">
        <v>79</v>
      </c>
      <c r="E47" t="s">
        <v>79</v>
      </c>
      <c r="F47" t="s">
        <v>79</v>
      </c>
      <c r="G47" s="23"/>
      <c r="H47" t="str">
        <f t="shared" si="0"/>
        <v>Q9.5</v>
      </c>
      <c r="I47">
        <f t="shared" si="6"/>
        <v>0.1</v>
      </c>
      <c r="J47" t="str">
        <f t="shared" si="7"/>
        <v/>
      </c>
      <c r="K47" t="str">
        <f t="shared" si="8"/>
        <v/>
      </c>
      <c r="L47" t="str">
        <f t="shared" si="9"/>
        <v/>
      </c>
      <c r="M47" t="str">
        <f t="shared" si="10"/>
        <v/>
      </c>
      <c r="T47" t="s">
        <v>220</v>
      </c>
    </row>
    <row r="48" spans="1:20" ht="15" thickBot="1" x14ac:dyDescent="0.35">
      <c r="A48" s="4" t="s">
        <v>163</v>
      </c>
      <c r="B48">
        <v>0.15</v>
      </c>
      <c r="C48" t="s">
        <v>79</v>
      </c>
      <c r="D48">
        <v>-0.19</v>
      </c>
      <c r="E48" t="s">
        <v>79</v>
      </c>
      <c r="F48" t="s">
        <v>79</v>
      </c>
      <c r="G48" s="23"/>
      <c r="H48" t="str">
        <f t="shared" si="0"/>
        <v>Q10</v>
      </c>
      <c r="I48">
        <f t="shared" si="6"/>
        <v>0.15</v>
      </c>
      <c r="J48" t="str">
        <f t="shared" si="7"/>
        <v/>
      </c>
      <c r="K48">
        <f t="shared" si="8"/>
        <v>-0.19</v>
      </c>
      <c r="L48" t="str">
        <f t="shared" si="9"/>
        <v/>
      </c>
      <c r="M48" t="str">
        <f t="shared" si="10"/>
        <v/>
      </c>
      <c r="T48" t="s">
        <v>221</v>
      </c>
    </row>
    <row r="49" spans="1:20" ht="15" thickBot="1" x14ac:dyDescent="0.35">
      <c r="A49" s="4" t="s">
        <v>164</v>
      </c>
      <c r="B49" t="s">
        <v>79</v>
      </c>
      <c r="C49" t="s">
        <v>79</v>
      </c>
      <c r="D49" t="s">
        <v>79</v>
      </c>
      <c r="E49" t="s">
        <v>79</v>
      </c>
      <c r="F49" t="s">
        <v>79</v>
      </c>
      <c r="G49" s="23"/>
      <c r="H49" t="str">
        <f t="shared" si="0"/>
        <v>Q11</v>
      </c>
      <c r="I49" t="str">
        <f t="shared" si="6"/>
        <v/>
      </c>
      <c r="J49" t="str">
        <f t="shared" si="7"/>
        <v/>
      </c>
      <c r="K49" t="str">
        <f t="shared" si="8"/>
        <v/>
      </c>
      <c r="L49" t="str">
        <f t="shared" si="9"/>
        <v/>
      </c>
      <c r="M49" t="str">
        <f t="shared" si="10"/>
        <v/>
      </c>
    </row>
    <row r="50" spans="1:20" ht="15" thickBot="1" x14ac:dyDescent="0.35">
      <c r="A50" s="4" t="s">
        <v>165</v>
      </c>
      <c r="B50" t="s">
        <v>79</v>
      </c>
      <c r="C50" t="s">
        <v>79</v>
      </c>
      <c r="D50" t="s">
        <v>79</v>
      </c>
      <c r="E50" t="s">
        <v>79</v>
      </c>
      <c r="F50" t="s">
        <v>79</v>
      </c>
      <c r="G50" s="23"/>
      <c r="H50" t="str">
        <f t="shared" si="0"/>
        <v>Q12</v>
      </c>
      <c r="I50" t="str">
        <f t="shared" si="6"/>
        <v/>
      </c>
      <c r="J50" t="str">
        <f t="shared" si="7"/>
        <v/>
      </c>
      <c r="K50" t="str">
        <f t="shared" si="8"/>
        <v/>
      </c>
      <c r="L50" t="str">
        <f t="shared" si="9"/>
        <v/>
      </c>
      <c r="M50" t="str">
        <f t="shared" si="10"/>
        <v/>
      </c>
      <c r="T50" t="s">
        <v>233</v>
      </c>
    </row>
    <row r="51" spans="1:20" ht="15" thickBot="1" x14ac:dyDescent="0.35">
      <c r="A51" s="4" t="s">
        <v>166</v>
      </c>
      <c r="B51">
        <v>0.11</v>
      </c>
      <c r="C51" t="s">
        <v>79</v>
      </c>
      <c r="D51" t="s">
        <v>79</v>
      </c>
      <c r="E51" t="s">
        <v>79</v>
      </c>
      <c r="F51">
        <v>-0.13</v>
      </c>
      <c r="G51" s="23"/>
      <c r="H51" t="str">
        <f t="shared" si="0"/>
        <v>Q13</v>
      </c>
      <c r="I51">
        <f t="shared" si="6"/>
        <v>0.11</v>
      </c>
      <c r="J51" t="str">
        <f t="shared" si="7"/>
        <v/>
      </c>
      <c r="K51" t="str">
        <f t="shared" si="8"/>
        <v/>
      </c>
      <c r="L51" t="str">
        <f t="shared" si="9"/>
        <v/>
      </c>
      <c r="M51">
        <f t="shared" si="10"/>
        <v>-0.13</v>
      </c>
      <c r="T51" t="s">
        <v>222</v>
      </c>
    </row>
    <row r="52" spans="1:20" ht="15" thickBot="1" x14ac:dyDescent="0.35">
      <c r="A52" s="4" t="s">
        <v>167</v>
      </c>
      <c r="B52">
        <v>-0.14000000000000001</v>
      </c>
      <c r="C52" t="s">
        <v>79</v>
      </c>
      <c r="D52" t="s">
        <v>79</v>
      </c>
      <c r="E52" t="s">
        <v>79</v>
      </c>
      <c r="F52" t="s">
        <v>79</v>
      </c>
      <c r="G52" s="23"/>
      <c r="H52" t="str">
        <f t="shared" si="0"/>
        <v>Q14</v>
      </c>
      <c r="I52">
        <f t="shared" si="6"/>
        <v>-0.14000000000000001</v>
      </c>
      <c r="J52" t="str">
        <f t="shared" si="7"/>
        <v/>
      </c>
      <c r="K52" t="str">
        <f t="shared" si="8"/>
        <v/>
      </c>
      <c r="L52" t="str">
        <f t="shared" si="9"/>
        <v/>
      </c>
      <c r="M52" t="str">
        <f t="shared" si="10"/>
        <v/>
      </c>
      <c r="T52" t="s">
        <v>223</v>
      </c>
    </row>
    <row r="53" spans="1:20" ht="15" thickBot="1" x14ac:dyDescent="0.35">
      <c r="A53" s="4" t="s">
        <v>168</v>
      </c>
      <c r="B53">
        <v>-0.15</v>
      </c>
      <c r="C53" t="s">
        <v>79</v>
      </c>
      <c r="D53" t="s">
        <v>79</v>
      </c>
      <c r="E53" t="s">
        <v>79</v>
      </c>
      <c r="F53">
        <v>0.13</v>
      </c>
      <c r="G53" s="23"/>
      <c r="H53" t="str">
        <f t="shared" si="0"/>
        <v>Q15</v>
      </c>
      <c r="I53">
        <f t="shared" si="6"/>
        <v>-0.15</v>
      </c>
      <c r="J53" t="str">
        <f t="shared" si="7"/>
        <v/>
      </c>
      <c r="K53" t="str">
        <f t="shared" si="8"/>
        <v/>
      </c>
      <c r="L53" t="str">
        <f t="shared" si="9"/>
        <v/>
      </c>
      <c r="M53">
        <f t="shared" si="10"/>
        <v>0.13</v>
      </c>
      <c r="T53" t="s">
        <v>224</v>
      </c>
    </row>
    <row r="54" spans="1:20" ht="15" thickBot="1" x14ac:dyDescent="0.35">
      <c r="A54" s="4" t="s">
        <v>169</v>
      </c>
      <c r="B54" t="s">
        <v>79</v>
      </c>
      <c r="C54" t="s">
        <v>79</v>
      </c>
      <c r="D54" t="s">
        <v>79</v>
      </c>
      <c r="E54" t="s">
        <v>79</v>
      </c>
      <c r="F54" t="s">
        <v>79</v>
      </c>
      <c r="G54" s="23"/>
      <c r="H54" t="str">
        <f t="shared" si="0"/>
        <v>Q16</v>
      </c>
      <c r="I54" t="str">
        <f t="shared" si="6"/>
        <v/>
      </c>
      <c r="J54" t="str">
        <f t="shared" si="7"/>
        <v/>
      </c>
      <c r="K54" t="str">
        <f t="shared" si="8"/>
        <v/>
      </c>
      <c r="L54" t="str">
        <f t="shared" si="9"/>
        <v/>
      </c>
      <c r="M54" t="str">
        <f t="shared" si="10"/>
        <v/>
      </c>
    </row>
    <row r="55" spans="1:20" ht="15" thickBot="1" x14ac:dyDescent="0.35">
      <c r="A55" s="4" t="s">
        <v>170</v>
      </c>
      <c r="B55" t="s">
        <v>79</v>
      </c>
      <c r="C55" t="s">
        <v>79</v>
      </c>
      <c r="D55" t="s">
        <v>79</v>
      </c>
      <c r="E55" t="s">
        <v>79</v>
      </c>
      <c r="F55" t="s">
        <v>79</v>
      </c>
      <c r="G55" s="23"/>
      <c r="H55" t="str">
        <f t="shared" si="0"/>
        <v>Q16.1</v>
      </c>
      <c r="I55" t="str">
        <f t="shared" si="6"/>
        <v/>
      </c>
      <c r="J55" t="str">
        <f t="shared" si="7"/>
        <v/>
      </c>
      <c r="K55" t="str">
        <f t="shared" si="8"/>
        <v/>
      </c>
      <c r="L55" t="str">
        <f t="shared" si="9"/>
        <v/>
      </c>
      <c r="M55" t="str">
        <f t="shared" si="10"/>
        <v/>
      </c>
    </row>
    <row r="56" spans="1:20" ht="15" thickBot="1" x14ac:dyDescent="0.35">
      <c r="A56" s="4" t="s">
        <v>171</v>
      </c>
      <c r="B56">
        <v>0.11</v>
      </c>
      <c r="C56" t="s">
        <v>79</v>
      </c>
      <c r="D56" t="s">
        <v>79</v>
      </c>
      <c r="E56" t="s">
        <v>79</v>
      </c>
      <c r="F56" t="s">
        <v>79</v>
      </c>
      <c r="G56" s="23"/>
      <c r="H56" t="str">
        <f t="shared" si="0"/>
        <v>Q16.2</v>
      </c>
      <c r="I56">
        <f t="shared" si="6"/>
        <v>0.11</v>
      </c>
      <c r="J56" t="str">
        <f t="shared" si="7"/>
        <v/>
      </c>
      <c r="K56" t="str">
        <f t="shared" si="8"/>
        <v/>
      </c>
      <c r="L56" t="str">
        <f t="shared" si="9"/>
        <v/>
      </c>
      <c r="M56" t="str">
        <f t="shared" si="10"/>
        <v/>
      </c>
      <c r="T56" t="s">
        <v>225</v>
      </c>
    </row>
    <row r="57" spans="1:20" ht="15" thickBot="1" x14ac:dyDescent="0.35">
      <c r="A57" s="4" t="s">
        <v>172</v>
      </c>
      <c r="B57" t="s">
        <v>79</v>
      </c>
      <c r="C57" t="s">
        <v>79</v>
      </c>
      <c r="D57" t="s">
        <v>79</v>
      </c>
      <c r="E57" t="s">
        <v>79</v>
      </c>
      <c r="F57" t="s">
        <v>79</v>
      </c>
      <c r="G57" s="23"/>
      <c r="H57" t="str">
        <f t="shared" si="0"/>
        <v>Q16.3</v>
      </c>
      <c r="I57" t="str">
        <f t="shared" si="6"/>
        <v/>
      </c>
      <c r="J57" t="str">
        <f t="shared" si="7"/>
        <v/>
      </c>
      <c r="K57" t="str">
        <f t="shared" si="8"/>
        <v/>
      </c>
      <c r="L57" t="str">
        <f t="shared" si="9"/>
        <v/>
      </c>
      <c r="M57" t="str">
        <f t="shared" si="10"/>
        <v/>
      </c>
    </row>
    <row r="58" spans="1:20" ht="15" thickBot="1" x14ac:dyDescent="0.35">
      <c r="A58" s="4" t="s">
        <v>173</v>
      </c>
      <c r="B58" t="s">
        <v>79</v>
      </c>
      <c r="C58" t="s">
        <v>79</v>
      </c>
      <c r="D58" t="s">
        <v>79</v>
      </c>
      <c r="E58" t="s">
        <v>79</v>
      </c>
      <c r="F58" t="s">
        <v>79</v>
      </c>
      <c r="G58" s="23"/>
      <c r="H58" t="str">
        <f t="shared" si="0"/>
        <v>Q16.4</v>
      </c>
      <c r="I58" t="str">
        <f t="shared" si="6"/>
        <v/>
      </c>
      <c r="J58" t="str">
        <f t="shared" si="7"/>
        <v/>
      </c>
      <c r="K58" t="str">
        <f t="shared" si="8"/>
        <v/>
      </c>
      <c r="L58" t="str">
        <f t="shared" si="9"/>
        <v/>
      </c>
      <c r="M58" t="str">
        <f t="shared" si="10"/>
        <v/>
      </c>
    </row>
    <row r="59" spans="1:20" ht="15" thickBot="1" x14ac:dyDescent="0.35">
      <c r="A59" s="4" t="s">
        <v>174</v>
      </c>
      <c r="B59" t="s">
        <v>79</v>
      </c>
      <c r="C59" t="s">
        <v>79</v>
      </c>
      <c r="D59" t="s">
        <v>79</v>
      </c>
      <c r="E59" t="s">
        <v>79</v>
      </c>
      <c r="F59" t="s">
        <v>79</v>
      </c>
      <c r="G59" s="23"/>
      <c r="H59" t="str">
        <f t="shared" si="0"/>
        <v>Q16.5</v>
      </c>
      <c r="I59" t="str">
        <f t="shared" si="6"/>
        <v/>
      </c>
      <c r="J59" t="str">
        <f t="shared" si="7"/>
        <v/>
      </c>
      <c r="K59" t="str">
        <f t="shared" si="8"/>
        <v/>
      </c>
      <c r="L59" t="str">
        <f t="shared" si="9"/>
        <v/>
      </c>
      <c r="M59" t="str">
        <f t="shared" si="10"/>
        <v/>
      </c>
    </row>
    <row r="60" spans="1:20" ht="15" thickBot="1" x14ac:dyDescent="0.35">
      <c r="A60" s="4" t="s">
        <v>175</v>
      </c>
      <c r="B60" t="s">
        <v>79</v>
      </c>
      <c r="C60" t="s">
        <v>79</v>
      </c>
      <c r="D60" t="s">
        <v>79</v>
      </c>
      <c r="E60" t="s">
        <v>79</v>
      </c>
      <c r="F60" t="s">
        <v>79</v>
      </c>
      <c r="G60" s="23"/>
      <c r="H60" t="str">
        <f t="shared" si="0"/>
        <v>Q16.6</v>
      </c>
      <c r="I60" t="str">
        <f t="shared" si="6"/>
        <v/>
      </c>
      <c r="J60" t="str">
        <f t="shared" si="7"/>
        <v/>
      </c>
      <c r="K60" t="str">
        <f t="shared" si="8"/>
        <v/>
      </c>
      <c r="L60" t="str">
        <f t="shared" si="9"/>
        <v/>
      </c>
      <c r="M60" t="str">
        <f t="shared" si="10"/>
        <v/>
      </c>
    </row>
    <row r="61" spans="1:20" ht="15" thickBot="1" x14ac:dyDescent="0.35">
      <c r="A61" s="4" t="s">
        <v>176</v>
      </c>
      <c r="B61" t="s">
        <v>79</v>
      </c>
      <c r="C61" t="s">
        <v>79</v>
      </c>
      <c r="D61" t="s">
        <v>79</v>
      </c>
      <c r="E61" t="s">
        <v>79</v>
      </c>
      <c r="F61" t="s">
        <v>79</v>
      </c>
      <c r="G61" s="23"/>
      <c r="H61" t="str">
        <f t="shared" si="0"/>
        <v>Q16.7</v>
      </c>
      <c r="I61" t="str">
        <f t="shared" si="6"/>
        <v/>
      </c>
      <c r="J61" t="str">
        <f t="shared" si="7"/>
        <v/>
      </c>
      <c r="K61" t="str">
        <f t="shared" si="8"/>
        <v/>
      </c>
      <c r="L61" t="str">
        <f t="shared" si="9"/>
        <v/>
      </c>
      <c r="M61" t="str">
        <f t="shared" si="10"/>
        <v/>
      </c>
    </row>
    <row r="62" spans="1:20" ht="15" thickBot="1" x14ac:dyDescent="0.35">
      <c r="A62" s="4" t="s">
        <v>177</v>
      </c>
      <c r="B62" t="s">
        <v>79</v>
      </c>
      <c r="C62" t="s">
        <v>79</v>
      </c>
      <c r="D62" t="s">
        <v>79</v>
      </c>
      <c r="E62" t="s">
        <v>79</v>
      </c>
      <c r="F62" t="s">
        <v>79</v>
      </c>
      <c r="G62" s="23"/>
      <c r="H62" t="str">
        <f t="shared" si="0"/>
        <v>Q16.8</v>
      </c>
      <c r="I62" t="str">
        <f t="shared" si="6"/>
        <v/>
      </c>
      <c r="J62" t="str">
        <f t="shared" si="7"/>
        <v/>
      </c>
      <c r="K62" t="str">
        <f t="shared" si="8"/>
        <v/>
      </c>
      <c r="L62" t="str">
        <f t="shared" si="9"/>
        <v/>
      </c>
      <c r="M62" t="str">
        <f t="shared" si="10"/>
        <v/>
      </c>
    </row>
    <row r="63" spans="1:20" ht="15" thickBot="1" x14ac:dyDescent="0.35">
      <c r="A63" s="4" t="s">
        <v>178</v>
      </c>
      <c r="B63" t="s">
        <v>79</v>
      </c>
      <c r="C63" t="s">
        <v>79</v>
      </c>
      <c r="D63" t="s">
        <v>79</v>
      </c>
      <c r="E63" t="s">
        <v>79</v>
      </c>
      <c r="F63" t="s">
        <v>79</v>
      </c>
      <c r="G63" s="23"/>
      <c r="H63" t="str">
        <f t="shared" si="0"/>
        <v>Q16.9</v>
      </c>
      <c r="I63" t="str">
        <f t="shared" si="6"/>
        <v/>
      </c>
      <c r="J63" t="str">
        <f t="shared" si="7"/>
        <v/>
      </c>
      <c r="K63" t="str">
        <f t="shared" si="8"/>
        <v/>
      </c>
      <c r="L63" t="str">
        <f t="shared" si="9"/>
        <v/>
      </c>
      <c r="M63" t="str">
        <f t="shared" si="10"/>
        <v/>
      </c>
    </row>
    <row r="64" spans="1:20" ht="15" thickBot="1" x14ac:dyDescent="0.35">
      <c r="A64" s="4" t="s">
        <v>179</v>
      </c>
      <c r="B64" t="s">
        <v>79</v>
      </c>
      <c r="C64" t="s">
        <v>79</v>
      </c>
      <c r="D64" t="s">
        <v>79</v>
      </c>
      <c r="E64" t="s">
        <v>79</v>
      </c>
      <c r="F64" t="s">
        <v>79</v>
      </c>
      <c r="G64" s="23"/>
      <c r="H64" t="str">
        <f t="shared" si="0"/>
        <v>Q16.10</v>
      </c>
      <c r="I64" t="str">
        <f t="shared" si="6"/>
        <v/>
      </c>
      <c r="J64" t="str">
        <f t="shared" si="7"/>
        <v/>
      </c>
      <c r="K64" t="str">
        <f t="shared" si="8"/>
        <v/>
      </c>
      <c r="L64" t="str">
        <f t="shared" si="9"/>
        <v/>
      </c>
      <c r="M64" t="str">
        <f t="shared" si="10"/>
        <v/>
      </c>
    </row>
    <row r="65" spans="1:20" ht="15" thickBot="1" x14ac:dyDescent="0.35">
      <c r="A65" s="4" t="s">
        <v>180</v>
      </c>
      <c r="B65" t="s">
        <v>79</v>
      </c>
      <c r="C65" t="s">
        <v>79</v>
      </c>
      <c r="D65" t="s">
        <v>79</v>
      </c>
      <c r="E65" t="s">
        <v>79</v>
      </c>
      <c r="F65" t="s">
        <v>79</v>
      </c>
      <c r="G65" s="23"/>
      <c r="H65" t="str">
        <f t="shared" si="0"/>
        <v>Q16.11</v>
      </c>
      <c r="I65" t="str">
        <f t="shared" si="6"/>
        <v/>
      </c>
      <c r="J65" t="str">
        <f t="shared" si="7"/>
        <v/>
      </c>
      <c r="K65" t="str">
        <f t="shared" si="8"/>
        <v/>
      </c>
      <c r="L65" t="str">
        <f t="shared" si="9"/>
        <v/>
      </c>
      <c r="M65" t="str">
        <f t="shared" si="10"/>
        <v/>
      </c>
      <c r="T65" t="s">
        <v>253</v>
      </c>
    </row>
    <row r="66" spans="1:20" ht="15" thickBot="1" x14ac:dyDescent="0.35">
      <c r="A66" s="4" t="s">
        <v>181</v>
      </c>
      <c r="B66" t="s">
        <v>79</v>
      </c>
      <c r="C66" t="s">
        <v>79</v>
      </c>
      <c r="D66" t="s">
        <v>79</v>
      </c>
      <c r="E66" t="s">
        <v>79</v>
      </c>
      <c r="F66" t="s">
        <v>79</v>
      </c>
      <c r="G66" s="23"/>
      <c r="H66" t="str">
        <f t="shared" si="0"/>
        <v>Q16.12</v>
      </c>
      <c r="I66" t="str">
        <f t="shared" si="6"/>
        <v/>
      </c>
      <c r="J66" t="str">
        <f t="shared" si="7"/>
        <v/>
      </c>
      <c r="K66" t="str">
        <f t="shared" si="8"/>
        <v/>
      </c>
      <c r="L66" t="str">
        <f t="shared" si="9"/>
        <v/>
      </c>
      <c r="M66" t="str">
        <f t="shared" si="10"/>
        <v/>
      </c>
      <c r="T66" t="s">
        <v>252</v>
      </c>
    </row>
    <row r="67" spans="1:20" ht="15" thickBot="1" x14ac:dyDescent="0.35">
      <c r="A67" s="4" t="s">
        <v>182</v>
      </c>
      <c r="B67">
        <v>0.1</v>
      </c>
      <c r="C67" t="s">
        <v>79</v>
      </c>
      <c r="D67" t="s">
        <v>79</v>
      </c>
      <c r="E67" t="s">
        <v>79</v>
      </c>
      <c r="F67" t="s">
        <v>79</v>
      </c>
      <c r="G67" s="23"/>
      <c r="H67" t="str">
        <f t="shared" si="0"/>
        <v>Q16.13</v>
      </c>
      <c r="I67">
        <f t="shared" si="6"/>
        <v>0.1</v>
      </c>
      <c r="J67" t="str">
        <f t="shared" si="7"/>
        <v/>
      </c>
      <c r="K67" t="str">
        <f t="shared" si="8"/>
        <v/>
      </c>
      <c r="L67" t="str">
        <f t="shared" si="9"/>
        <v/>
      </c>
      <c r="M67" t="str">
        <f t="shared" si="10"/>
        <v/>
      </c>
      <c r="T67" t="s">
        <v>226</v>
      </c>
    </row>
    <row r="68" spans="1:20" ht="15" thickBot="1" x14ac:dyDescent="0.35">
      <c r="A68" s="4" t="s">
        <v>183</v>
      </c>
      <c r="B68">
        <v>0.1</v>
      </c>
      <c r="C68" t="s">
        <v>79</v>
      </c>
      <c r="D68" t="s">
        <v>79</v>
      </c>
      <c r="E68" t="s">
        <v>79</v>
      </c>
      <c r="F68" t="s">
        <v>79</v>
      </c>
      <c r="G68" s="23"/>
      <c r="H68" t="str">
        <f t="shared" ref="H68:H83" si="11">A68</f>
        <v>Q16.14</v>
      </c>
      <c r="I68">
        <f t="shared" ref="I68:I83" si="12">IF(ISNUMBER(B68),B68,"")</f>
        <v>0.1</v>
      </c>
      <c r="J68" t="str">
        <f t="shared" ref="J68:J83" si="13">IF(ISNUMBER(C68),C68,"")</f>
        <v/>
      </c>
      <c r="K68" t="str">
        <f t="shared" ref="K68:K83" si="14">IF(ISNUMBER(D68),D68,"")</f>
        <v/>
      </c>
      <c r="L68" t="str">
        <f t="shared" ref="L68:L83" si="15">IF(ISNUMBER(E68),E68,"")</f>
        <v/>
      </c>
      <c r="M68" t="str">
        <f t="shared" ref="M68:M83" si="16">IF(ISNUMBER(F68),F68,"")</f>
        <v/>
      </c>
      <c r="T68" t="s">
        <v>227</v>
      </c>
    </row>
    <row r="69" spans="1:20" ht="15" thickBot="1" x14ac:dyDescent="0.35">
      <c r="A69" s="4" t="s">
        <v>184</v>
      </c>
      <c r="B69" t="s">
        <v>79</v>
      </c>
      <c r="C69" t="s">
        <v>79</v>
      </c>
      <c r="D69" t="s">
        <v>79</v>
      </c>
      <c r="E69" t="s">
        <v>79</v>
      </c>
      <c r="F69" t="s">
        <v>79</v>
      </c>
      <c r="G69" s="23"/>
      <c r="H69" t="str">
        <f t="shared" si="11"/>
        <v>Q16.15</v>
      </c>
      <c r="I69" t="str">
        <f t="shared" si="12"/>
        <v/>
      </c>
      <c r="J69" t="str">
        <f t="shared" si="13"/>
        <v/>
      </c>
      <c r="K69" t="str">
        <f t="shared" si="14"/>
        <v/>
      </c>
      <c r="L69" t="str">
        <f t="shared" si="15"/>
        <v/>
      </c>
      <c r="M69" t="str">
        <f t="shared" si="16"/>
        <v/>
      </c>
    </row>
    <row r="70" spans="1:20" ht="15" thickBot="1" x14ac:dyDescent="0.35">
      <c r="A70" s="4" t="s">
        <v>185</v>
      </c>
      <c r="B70">
        <v>0.11</v>
      </c>
      <c r="C70" t="s">
        <v>79</v>
      </c>
      <c r="D70" t="s">
        <v>79</v>
      </c>
      <c r="E70" t="s">
        <v>79</v>
      </c>
      <c r="F70" t="s">
        <v>79</v>
      </c>
      <c r="G70" s="23"/>
      <c r="H70" t="str">
        <f t="shared" si="11"/>
        <v>Q16.16</v>
      </c>
      <c r="I70">
        <f t="shared" si="12"/>
        <v>0.11</v>
      </c>
      <c r="J70" t="str">
        <f t="shared" si="13"/>
        <v/>
      </c>
      <c r="K70" t="str">
        <f t="shared" si="14"/>
        <v/>
      </c>
      <c r="L70" t="str">
        <f t="shared" si="15"/>
        <v/>
      </c>
      <c r="M70" t="str">
        <f t="shared" si="16"/>
        <v/>
      </c>
      <c r="T70" t="s">
        <v>228</v>
      </c>
    </row>
    <row r="71" spans="1:20" ht="15" thickBot="1" x14ac:dyDescent="0.35">
      <c r="A71" s="4" t="s">
        <v>186</v>
      </c>
      <c r="B71" t="s">
        <v>79</v>
      </c>
      <c r="C71" t="s">
        <v>79</v>
      </c>
      <c r="D71" t="s">
        <v>79</v>
      </c>
      <c r="E71" t="s">
        <v>79</v>
      </c>
      <c r="F71" t="s">
        <v>79</v>
      </c>
      <c r="G71" s="23"/>
      <c r="H71" t="str">
        <f t="shared" si="11"/>
        <v>Q16.17</v>
      </c>
      <c r="I71" t="str">
        <f t="shared" si="12"/>
        <v/>
      </c>
      <c r="J71" t="str">
        <f t="shared" si="13"/>
        <v/>
      </c>
      <c r="K71" t="str">
        <f t="shared" si="14"/>
        <v/>
      </c>
      <c r="L71" t="str">
        <f t="shared" si="15"/>
        <v/>
      </c>
      <c r="M71" t="str">
        <f t="shared" si="16"/>
        <v/>
      </c>
    </row>
    <row r="72" spans="1:20" ht="15" thickBot="1" x14ac:dyDescent="0.35">
      <c r="A72" s="4" t="s">
        <v>187</v>
      </c>
      <c r="B72" t="s">
        <v>79</v>
      </c>
      <c r="C72" t="s">
        <v>79</v>
      </c>
      <c r="D72" t="s">
        <v>79</v>
      </c>
      <c r="E72" t="s">
        <v>79</v>
      </c>
      <c r="F72" t="s">
        <v>79</v>
      </c>
      <c r="G72" s="23"/>
      <c r="H72" t="str">
        <f t="shared" si="11"/>
        <v>Q16.18</v>
      </c>
      <c r="I72" t="str">
        <f t="shared" si="12"/>
        <v/>
      </c>
      <c r="J72" t="str">
        <f t="shared" si="13"/>
        <v/>
      </c>
      <c r="K72" t="str">
        <f t="shared" si="14"/>
        <v/>
      </c>
      <c r="L72" t="str">
        <f t="shared" si="15"/>
        <v/>
      </c>
      <c r="M72" t="str">
        <f t="shared" si="16"/>
        <v/>
      </c>
    </row>
    <row r="73" spans="1:20" ht="15" thickBot="1" x14ac:dyDescent="0.35">
      <c r="A73" s="4" t="s">
        <v>188</v>
      </c>
      <c r="B73" t="s">
        <v>79</v>
      </c>
      <c r="C73" t="s">
        <v>79</v>
      </c>
      <c r="D73" t="s">
        <v>79</v>
      </c>
      <c r="E73" t="s">
        <v>79</v>
      </c>
      <c r="F73" t="s">
        <v>79</v>
      </c>
      <c r="G73" s="23"/>
      <c r="H73" t="str">
        <f t="shared" si="11"/>
        <v>Q16.19</v>
      </c>
      <c r="I73" t="str">
        <f t="shared" si="12"/>
        <v/>
      </c>
      <c r="J73" t="str">
        <f t="shared" si="13"/>
        <v/>
      </c>
      <c r="K73" t="str">
        <f t="shared" si="14"/>
        <v/>
      </c>
      <c r="L73" t="str">
        <f t="shared" si="15"/>
        <v/>
      </c>
      <c r="M73" t="str">
        <f t="shared" si="16"/>
        <v/>
      </c>
    </row>
    <row r="74" spans="1:20" ht="15" thickBot="1" x14ac:dyDescent="0.35">
      <c r="A74" s="4" t="s">
        <v>189</v>
      </c>
      <c r="B74" t="s">
        <v>79</v>
      </c>
      <c r="C74" t="s">
        <v>79</v>
      </c>
      <c r="D74" t="s">
        <v>79</v>
      </c>
      <c r="E74" t="s">
        <v>79</v>
      </c>
      <c r="F74" t="s">
        <v>79</v>
      </c>
      <c r="G74" s="23"/>
      <c r="H74" t="str">
        <f t="shared" si="11"/>
        <v>Q16.20</v>
      </c>
      <c r="I74" t="str">
        <f t="shared" si="12"/>
        <v/>
      </c>
      <c r="J74" t="str">
        <f t="shared" si="13"/>
        <v/>
      </c>
      <c r="K74" t="str">
        <f t="shared" si="14"/>
        <v/>
      </c>
      <c r="L74" t="str">
        <f t="shared" si="15"/>
        <v/>
      </c>
      <c r="M74" t="str">
        <f t="shared" si="16"/>
        <v/>
      </c>
    </row>
    <row r="75" spans="1:20" ht="15" thickBot="1" x14ac:dyDescent="0.35">
      <c r="A75" s="4" t="s">
        <v>190</v>
      </c>
      <c r="B75" t="s">
        <v>79</v>
      </c>
      <c r="C75" t="s">
        <v>79</v>
      </c>
      <c r="D75" t="s">
        <v>79</v>
      </c>
      <c r="E75" t="s">
        <v>79</v>
      </c>
      <c r="F75" t="s">
        <v>79</v>
      </c>
      <c r="G75" s="23"/>
      <c r="H75" t="str">
        <f t="shared" si="11"/>
        <v>Q16.21</v>
      </c>
      <c r="I75" t="str">
        <f t="shared" si="12"/>
        <v/>
      </c>
      <c r="J75" t="str">
        <f t="shared" si="13"/>
        <v/>
      </c>
      <c r="K75" t="str">
        <f t="shared" si="14"/>
        <v/>
      </c>
      <c r="L75" t="str">
        <f t="shared" si="15"/>
        <v/>
      </c>
      <c r="M75" t="str">
        <f t="shared" si="16"/>
        <v/>
      </c>
    </row>
    <row r="76" spans="1:20" ht="15" thickBot="1" x14ac:dyDescent="0.35">
      <c r="A76" s="4" t="s">
        <v>191</v>
      </c>
      <c r="B76" t="s">
        <v>79</v>
      </c>
      <c r="C76" t="s">
        <v>79</v>
      </c>
      <c r="D76" t="s">
        <v>79</v>
      </c>
      <c r="E76" t="s">
        <v>79</v>
      </c>
      <c r="F76" t="s">
        <v>79</v>
      </c>
      <c r="G76" s="23"/>
      <c r="H76" t="str">
        <f t="shared" si="11"/>
        <v>Q16.22</v>
      </c>
      <c r="I76" t="str">
        <f t="shared" si="12"/>
        <v/>
      </c>
      <c r="J76" t="str">
        <f t="shared" si="13"/>
        <v/>
      </c>
      <c r="K76" t="str">
        <f t="shared" si="14"/>
        <v/>
      </c>
      <c r="L76" t="str">
        <f t="shared" si="15"/>
        <v/>
      </c>
      <c r="M76" t="str">
        <f t="shared" si="16"/>
        <v/>
      </c>
    </row>
    <row r="77" spans="1:20" ht="15" thickBot="1" x14ac:dyDescent="0.35">
      <c r="A77" s="4" t="s">
        <v>192</v>
      </c>
      <c r="B77" t="s">
        <v>79</v>
      </c>
      <c r="C77" t="s">
        <v>79</v>
      </c>
      <c r="D77" t="s">
        <v>79</v>
      </c>
      <c r="E77" t="s">
        <v>79</v>
      </c>
      <c r="F77" t="s">
        <v>79</v>
      </c>
      <c r="G77" s="23"/>
      <c r="H77" t="str">
        <f t="shared" si="11"/>
        <v>Q16.23</v>
      </c>
      <c r="I77" t="str">
        <f t="shared" si="12"/>
        <v/>
      </c>
      <c r="J77" t="str">
        <f t="shared" si="13"/>
        <v/>
      </c>
      <c r="K77" t="str">
        <f t="shared" si="14"/>
        <v/>
      </c>
      <c r="L77" t="str">
        <f t="shared" si="15"/>
        <v/>
      </c>
      <c r="M77" t="str">
        <f t="shared" si="16"/>
        <v/>
      </c>
    </row>
    <row r="78" spans="1:20" ht="15" thickBot="1" x14ac:dyDescent="0.35">
      <c r="A78" s="4" t="s">
        <v>193</v>
      </c>
      <c r="B78" t="s">
        <v>79</v>
      </c>
      <c r="C78" t="s">
        <v>79</v>
      </c>
      <c r="D78" t="s">
        <v>79</v>
      </c>
      <c r="E78" t="s">
        <v>79</v>
      </c>
      <c r="F78" t="s">
        <v>79</v>
      </c>
      <c r="G78" s="23"/>
      <c r="H78" t="str">
        <f t="shared" si="11"/>
        <v>Q16.24</v>
      </c>
      <c r="I78" t="str">
        <f t="shared" si="12"/>
        <v/>
      </c>
      <c r="J78" t="str">
        <f t="shared" si="13"/>
        <v/>
      </c>
      <c r="K78" t="str">
        <f t="shared" si="14"/>
        <v/>
      </c>
      <c r="L78" t="str">
        <f t="shared" si="15"/>
        <v/>
      </c>
      <c r="M78" t="str">
        <f t="shared" si="16"/>
        <v/>
      </c>
      <c r="T78" t="s">
        <v>251</v>
      </c>
    </row>
    <row r="79" spans="1:20" ht="15" thickBot="1" x14ac:dyDescent="0.35">
      <c r="A79" s="4" t="s">
        <v>194</v>
      </c>
      <c r="B79">
        <v>0.11</v>
      </c>
      <c r="C79" t="s">
        <v>79</v>
      </c>
      <c r="D79" t="s">
        <v>79</v>
      </c>
      <c r="E79" t="s">
        <v>79</v>
      </c>
      <c r="F79" t="s">
        <v>79</v>
      </c>
      <c r="G79" s="23"/>
      <c r="H79" t="str">
        <f t="shared" si="11"/>
        <v>Q16.25</v>
      </c>
      <c r="I79">
        <f t="shared" si="12"/>
        <v>0.11</v>
      </c>
      <c r="J79" t="str">
        <f t="shared" si="13"/>
        <v/>
      </c>
      <c r="K79" t="str">
        <f t="shared" si="14"/>
        <v/>
      </c>
      <c r="L79" t="str">
        <f t="shared" si="15"/>
        <v/>
      </c>
      <c r="M79" t="str">
        <f t="shared" si="16"/>
        <v/>
      </c>
      <c r="T79" t="s">
        <v>229</v>
      </c>
    </row>
    <row r="80" spans="1:20" ht="15" thickBot="1" x14ac:dyDescent="0.35">
      <c r="A80" s="4" t="s">
        <v>195</v>
      </c>
      <c r="B80" t="s">
        <v>79</v>
      </c>
      <c r="C80" t="s">
        <v>79</v>
      </c>
      <c r="D80" t="s">
        <v>79</v>
      </c>
      <c r="E80" t="s">
        <v>79</v>
      </c>
      <c r="F80" t="s">
        <v>79</v>
      </c>
      <c r="G80" s="23"/>
      <c r="H80" t="str">
        <f t="shared" si="11"/>
        <v>Q16.26</v>
      </c>
      <c r="I80" t="str">
        <f t="shared" si="12"/>
        <v/>
      </c>
      <c r="J80" t="str">
        <f t="shared" si="13"/>
        <v/>
      </c>
      <c r="K80" t="str">
        <f t="shared" si="14"/>
        <v/>
      </c>
      <c r="L80" t="str">
        <f t="shared" si="15"/>
        <v/>
      </c>
      <c r="M80" t="str">
        <f t="shared" si="16"/>
        <v/>
      </c>
      <c r="T80" t="s">
        <v>250</v>
      </c>
    </row>
    <row r="81" spans="1:20" ht="15" thickBot="1" x14ac:dyDescent="0.35">
      <c r="A81" s="4" t="s">
        <v>196</v>
      </c>
      <c r="B81">
        <v>0.11</v>
      </c>
      <c r="C81" t="s">
        <v>79</v>
      </c>
      <c r="D81" t="s">
        <v>79</v>
      </c>
      <c r="E81" t="s">
        <v>79</v>
      </c>
      <c r="F81" t="s">
        <v>79</v>
      </c>
      <c r="G81" s="23"/>
      <c r="H81" t="str">
        <f t="shared" si="11"/>
        <v>Q16.27</v>
      </c>
      <c r="I81">
        <f t="shared" si="12"/>
        <v>0.11</v>
      </c>
      <c r="J81" t="str">
        <f t="shared" si="13"/>
        <v/>
      </c>
      <c r="K81" t="str">
        <f t="shared" si="14"/>
        <v/>
      </c>
      <c r="L81" t="str">
        <f t="shared" si="15"/>
        <v/>
      </c>
      <c r="M81" t="str">
        <f t="shared" si="16"/>
        <v/>
      </c>
      <c r="T81" t="s">
        <v>230</v>
      </c>
    </row>
    <row r="82" spans="1:20" ht="15" thickBot="1" x14ac:dyDescent="0.35">
      <c r="A82" s="4" t="s">
        <v>197</v>
      </c>
      <c r="B82">
        <v>0.37</v>
      </c>
      <c r="C82" t="s">
        <v>79</v>
      </c>
      <c r="D82">
        <v>-0.31</v>
      </c>
      <c r="E82" t="s">
        <v>79</v>
      </c>
      <c r="F82">
        <v>-0.12</v>
      </c>
      <c r="G82" s="23"/>
      <c r="H82" t="str">
        <f t="shared" si="11"/>
        <v>Q17</v>
      </c>
      <c r="I82">
        <f t="shared" si="12"/>
        <v>0.37</v>
      </c>
      <c r="J82" t="str">
        <f t="shared" si="13"/>
        <v/>
      </c>
      <c r="K82">
        <f t="shared" si="14"/>
        <v>-0.31</v>
      </c>
      <c r="L82" t="str">
        <f t="shared" si="15"/>
        <v/>
      </c>
      <c r="M82">
        <f t="shared" si="16"/>
        <v>-0.12</v>
      </c>
      <c r="T82" t="s">
        <v>231</v>
      </c>
    </row>
    <row r="83" spans="1:20" ht="15" thickBot="1" x14ac:dyDescent="0.35">
      <c r="A83" s="4" t="s">
        <v>198</v>
      </c>
      <c r="B83">
        <v>-0.2</v>
      </c>
      <c r="C83" t="s">
        <v>79</v>
      </c>
      <c r="D83" t="s">
        <v>79</v>
      </c>
      <c r="E83" t="s">
        <v>79</v>
      </c>
      <c r="F83">
        <v>0.19</v>
      </c>
      <c r="G83" s="23"/>
      <c r="H83" t="str">
        <f t="shared" si="11"/>
        <v>Q18</v>
      </c>
      <c r="I83">
        <f t="shared" si="12"/>
        <v>-0.2</v>
      </c>
      <c r="J83" t="str">
        <f t="shared" si="13"/>
        <v/>
      </c>
      <c r="K83" t="str">
        <f t="shared" si="14"/>
        <v/>
      </c>
      <c r="L83" t="str">
        <f t="shared" si="15"/>
        <v/>
      </c>
      <c r="M83">
        <f t="shared" si="16"/>
        <v>0.19</v>
      </c>
      <c r="T83" t="s">
        <v>232</v>
      </c>
    </row>
  </sheetData>
  <conditionalFormatting sqref="I3:I83">
    <cfRule type="colorScale" priority="2">
      <colorScale>
        <cfvo type="min"/>
        <cfvo type="percentile" val="50"/>
        <cfvo type="max"/>
        <color rgb="FFF8696B"/>
        <color rgb="FFFFEB84"/>
        <color rgb="FF63BE7B"/>
      </colorScale>
    </cfRule>
  </conditionalFormatting>
  <conditionalFormatting sqref="N3:S83">
    <cfRule type="colorScale" priority="1">
      <colorScale>
        <cfvo type="min"/>
        <cfvo type="percentile" val="50"/>
        <cfvo type="max"/>
        <color rgb="FFF8696B"/>
        <color rgb="FFFFEB84"/>
        <color rgb="FF63BE7B"/>
      </colorScale>
    </cfRule>
  </conditionalFormatting>
  <conditionalFormatting sqref="J3:M83">
    <cfRule type="colorScale" priority="3">
      <colorScale>
        <cfvo type="min"/>
        <cfvo type="percentile" val="50"/>
        <cfvo type="max"/>
        <color rgb="FFF8696B"/>
        <color rgb="FFFFEB84"/>
        <color rgb="FF63BE7B"/>
      </colorScale>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E8A25-2A96-4D64-9C52-2F3BBFA05334}">
  <dimension ref="A1:AE83"/>
  <sheetViews>
    <sheetView workbookViewId="0"/>
  </sheetViews>
  <sheetFormatPr defaultRowHeight="14.4" x14ac:dyDescent="0.3"/>
  <cols>
    <col min="1" max="1" width="17.33203125" bestFit="1" customWidth="1"/>
    <col min="10" max="13" width="8.88671875" customWidth="1"/>
    <col min="14" max="19" width="8.88671875" hidden="1" customWidth="1"/>
  </cols>
  <sheetData>
    <row r="1" spans="1:31" ht="21" x14ac:dyDescent="0.4">
      <c r="A1" s="25" t="s">
        <v>257</v>
      </c>
      <c r="B1" s="15" t="s">
        <v>205</v>
      </c>
      <c r="I1" s="15" t="s">
        <v>205</v>
      </c>
    </row>
    <row r="2" spans="1:31" x14ac:dyDescent="0.3">
      <c r="B2" s="12" t="s">
        <v>199</v>
      </c>
      <c r="C2" s="12" t="s">
        <v>200</v>
      </c>
      <c r="D2" s="12" t="s">
        <v>201</v>
      </c>
      <c r="E2" s="12" t="s">
        <v>202</v>
      </c>
      <c r="F2" s="12" t="s">
        <v>203</v>
      </c>
      <c r="G2" s="12"/>
      <c r="I2" s="12" t="s">
        <v>261</v>
      </c>
      <c r="J2" s="12" t="s">
        <v>262</v>
      </c>
      <c r="K2" s="12" t="s">
        <v>256</v>
      </c>
      <c r="L2" s="12" t="s">
        <v>263</v>
      </c>
      <c r="M2" s="12" t="s">
        <v>258</v>
      </c>
      <c r="N2" s="12" t="str">
        <f>I2</f>
        <v>Beginner and more likely woman</v>
      </c>
      <c r="O2" s="12" t="str">
        <f>J2</f>
        <v>Experts</v>
      </c>
      <c r="P2" s="12" t="str">
        <f>K2</f>
        <v>?</v>
      </c>
      <c r="Q2" s="12" t="str">
        <f>L2</f>
        <v>Status &amp; passionate guy</v>
      </c>
      <c r="R2" s="12" t="str">
        <f>M2</f>
        <v>Old antistatus guys</v>
      </c>
      <c r="S2" s="12" t="e">
        <f>#REF!</f>
        <v>#REF!</v>
      </c>
      <c r="AB2" s="12" t="s">
        <v>241</v>
      </c>
    </row>
    <row r="3" spans="1:31" ht="15" thickBot="1" x14ac:dyDescent="0.35">
      <c r="A3" s="4" t="s">
        <v>115</v>
      </c>
      <c r="B3" s="22" t="s">
        <v>79</v>
      </c>
      <c r="C3" s="22" t="s">
        <v>79</v>
      </c>
      <c r="D3" s="22" t="s">
        <v>79</v>
      </c>
      <c r="E3" s="22" t="s">
        <v>79</v>
      </c>
      <c r="F3" s="22">
        <v>-0.1</v>
      </c>
      <c r="G3" s="23"/>
      <c r="H3" t="str">
        <f>A3</f>
        <v>Q1.1</v>
      </c>
      <c r="I3" t="str">
        <f t="shared" ref="I3:M3" si="0">IF(ISNUMBER(B3),B3,"")</f>
        <v/>
      </c>
      <c r="J3" t="str">
        <f t="shared" si="0"/>
        <v/>
      </c>
      <c r="K3" t="str">
        <f t="shared" si="0"/>
        <v/>
      </c>
      <c r="L3" t="str">
        <f t="shared" si="0"/>
        <v/>
      </c>
      <c r="M3">
        <f t="shared" si="0"/>
        <v>-0.1</v>
      </c>
      <c r="T3" t="s">
        <v>0</v>
      </c>
      <c r="AB3" t="s">
        <v>234</v>
      </c>
    </row>
    <row r="4" spans="1:31" ht="15" thickBot="1" x14ac:dyDescent="0.35">
      <c r="A4" s="4" t="s">
        <v>119</v>
      </c>
      <c r="B4" s="22" t="s">
        <v>79</v>
      </c>
      <c r="C4" s="22">
        <v>-0.16</v>
      </c>
      <c r="D4" s="22" t="s">
        <v>79</v>
      </c>
      <c r="E4" s="22">
        <v>0.52</v>
      </c>
      <c r="F4" s="22" t="s">
        <v>79</v>
      </c>
      <c r="G4" s="23"/>
      <c r="H4" t="str">
        <f t="shared" ref="H4:H67" si="1">A4</f>
        <v>Q1.2</v>
      </c>
      <c r="I4" t="str">
        <f t="shared" ref="I4:I35" si="2">IF(ISNUMBER(B4),B4,"")</f>
        <v/>
      </c>
      <c r="J4">
        <f t="shared" ref="J4:J35" si="3">IF(ISNUMBER(C4),C4,"")</f>
        <v>-0.16</v>
      </c>
      <c r="K4" t="str">
        <f t="shared" ref="K4:K35" si="4">IF(ISNUMBER(D4),D4,"")</f>
        <v/>
      </c>
      <c r="L4">
        <f t="shared" ref="L4:L35" si="5">IF(ISNUMBER(E4),E4,"")</f>
        <v>0.52</v>
      </c>
      <c r="M4" t="str">
        <f t="shared" ref="M4:M35" si="6">IF(ISNUMBER(F4),F4,"")</f>
        <v/>
      </c>
      <c r="T4" t="s">
        <v>1</v>
      </c>
      <c r="AB4" t="s">
        <v>235</v>
      </c>
    </row>
    <row r="5" spans="1:31" ht="15" thickBot="1" x14ac:dyDescent="0.35">
      <c r="A5" s="4" t="s">
        <v>96</v>
      </c>
      <c r="B5" s="22" t="s">
        <v>79</v>
      </c>
      <c r="C5" s="22">
        <v>0.12</v>
      </c>
      <c r="D5" s="22" t="s">
        <v>79</v>
      </c>
      <c r="E5" s="22">
        <v>0.3</v>
      </c>
      <c r="F5" s="22">
        <v>-0.23</v>
      </c>
      <c r="G5" s="23"/>
      <c r="H5" t="str">
        <f t="shared" si="1"/>
        <v>Q1.3</v>
      </c>
      <c r="I5" t="str">
        <f t="shared" si="2"/>
        <v/>
      </c>
      <c r="J5">
        <f t="shared" si="3"/>
        <v>0.12</v>
      </c>
      <c r="K5" t="str">
        <f t="shared" si="4"/>
        <v/>
      </c>
      <c r="L5">
        <f t="shared" si="5"/>
        <v>0.3</v>
      </c>
      <c r="M5">
        <f t="shared" si="6"/>
        <v>-0.23</v>
      </c>
      <c r="T5" t="s">
        <v>2</v>
      </c>
      <c r="AB5" t="s">
        <v>236</v>
      </c>
    </row>
    <row r="6" spans="1:31" ht="15" thickBot="1" x14ac:dyDescent="0.35">
      <c r="A6" s="4" t="s">
        <v>114</v>
      </c>
      <c r="B6" s="22" t="s">
        <v>79</v>
      </c>
      <c r="C6" s="22" t="s">
        <v>79</v>
      </c>
      <c r="D6" s="22" t="s">
        <v>79</v>
      </c>
      <c r="E6" s="22" t="s">
        <v>79</v>
      </c>
      <c r="F6" s="22">
        <v>-0.16</v>
      </c>
      <c r="G6" s="23"/>
      <c r="H6" t="str">
        <f t="shared" si="1"/>
        <v>Q1.4</v>
      </c>
      <c r="I6" t="str">
        <f t="shared" si="2"/>
        <v/>
      </c>
      <c r="J6" t="str">
        <f t="shared" si="3"/>
        <v/>
      </c>
      <c r="K6" t="str">
        <f t="shared" si="4"/>
        <v/>
      </c>
      <c r="L6" t="str">
        <f t="shared" si="5"/>
        <v/>
      </c>
      <c r="M6">
        <f t="shared" si="6"/>
        <v>-0.16</v>
      </c>
      <c r="T6" t="s">
        <v>3</v>
      </c>
      <c r="AB6" t="s">
        <v>237</v>
      </c>
    </row>
    <row r="7" spans="1:31" ht="15" thickBot="1" x14ac:dyDescent="0.35">
      <c r="A7" s="4" t="s">
        <v>108</v>
      </c>
      <c r="B7" s="22" t="s">
        <v>79</v>
      </c>
      <c r="C7" s="22">
        <v>0.1</v>
      </c>
      <c r="D7" s="22" t="s">
        <v>79</v>
      </c>
      <c r="E7" s="22">
        <v>0.17</v>
      </c>
      <c r="F7" s="22">
        <v>-0.18</v>
      </c>
      <c r="G7" s="23"/>
      <c r="H7" t="str">
        <f t="shared" si="1"/>
        <v>Q1.5</v>
      </c>
      <c r="I7" t="str">
        <f t="shared" si="2"/>
        <v/>
      </c>
      <c r="J7">
        <f t="shared" si="3"/>
        <v>0.1</v>
      </c>
      <c r="K7" t="str">
        <f t="shared" si="4"/>
        <v/>
      </c>
      <c r="L7">
        <f t="shared" si="5"/>
        <v>0.17</v>
      </c>
      <c r="M7">
        <f t="shared" si="6"/>
        <v>-0.18</v>
      </c>
      <c r="T7" t="s">
        <v>4</v>
      </c>
      <c r="AB7" t="s">
        <v>238</v>
      </c>
    </row>
    <row r="8" spans="1:31" ht="15" thickBot="1" x14ac:dyDescent="0.35">
      <c r="A8" s="4" t="s">
        <v>102</v>
      </c>
      <c r="B8" s="22" t="s">
        <v>79</v>
      </c>
      <c r="C8" s="22">
        <v>0.11</v>
      </c>
      <c r="D8" s="22" t="s">
        <v>79</v>
      </c>
      <c r="E8" s="22">
        <v>0.11</v>
      </c>
      <c r="F8" s="22">
        <v>-0.11</v>
      </c>
      <c r="G8" s="23"/>
      <c r="H8" t="str">
        <f t="shared" si="1"/>
        <v>Q1.6</v>
      </c>
      <c r="I8" t="str">
        <f t="shared" si="2"/>
        <v/>
      </c>
      <c r="J8">
        <f t="shared" si="3"/>
        <v>0.11</v>
      </c>
      <c r="K8" t="str">
        <f t="shared" si="4"/>
        <v/>
      </c>
      <c r="L8">
        <f t="shared" si="5"/>
        <v>0.11</v>
      </c>
      <c r="M8">
        <f t="shared" si="6"/>
        <v>-0.11</v>
      </c>
      <c r="T8" t="s">
        <v>5</v>
      </c>
      <c r="AB8" t="s">
        <v>239</v>
      </c>
    </row>
    <row r="9" spans="1:31" ht="15" thickBot="1" x14ac:dyDescent="0.35">
      <c r="A9" s="4" t="s">
        <v>97</v>
      </c>
      <c r="B9" s="22" t="s">
        <v>79</v>
      </c>
      <c r="C9" s="22">
        <v>0.16</v>
      </c>
      <c r="D9" s="22" t="s">
        <v>79</v>
      </c>
      <c r="E9" s="22">
        <v>0.15</v>
      </c>
      <c r="F9" s="22">
        <v>-0.18</v>
      </c>
      <c r="G9" s="23"/>
      <c r="H9" t="str">
        <f t="shared" si="1"/>
        <v>Q1.7</v>
      </c>
      <c r="I9" t="str">
        <f t="shared" si="2"/>
        <v/>
      </c>
      <c r="J9">
        <f t="shared" si="3"/>
        <v>0.16</v>
      </c>
      <c r="K9" t="str">
        <f t="shared" si="4"/>
        <v/>
      </c>
      <c r="L9">
        <f t="shared" si="5"/>
        <v>0.15</v>
      </c>
      <c r="M9">
        <f t="shared" si="6"/>
        <v>-0.18</v>
      </c>
      <c r="T9" t="s">
        <v>6</v>
      </c>
      <c r="AB9" t="s">
        <v>240</v>
      </c>
    </row>
    <row r="10" spans="1:31" ht="15" thickBot="1" x14ac:dyDescent="0.35">
      <c r="A10" s="4" t="s">
        <v>118</v>
      </c>
      <c r="B10" s="22" t="s">
        <v>79</v>
      </c>
      <c r="C10" s="22" t="s">
        <v>79</v>
      </c>
      <c r="D10" s="22" t="s">
        <v>79</v>
      </c>
      <c r="E10" s="22">
        <v>0.15</v>
      </c>
      <c r="F10" s="22" t="s">
        <v>79</v>
      </c>
      <c r="G10" s="23"/>
      <c r="H10" t="str">
        <f t="shared" si="1"/>
        <v>Q1.8</v>
      </c>
      <c r="I10" t="str">
        <f t="shared" si="2"/>
        <v/>
      </c>
      <c r="J10" t="str">
        <f t="shared" si="3"/>
        <v/>
      </c>
      <c r="K10" t="str">
        <f t="shared" si="4"/>
        <v/>
      </c>
      <c r="L10">
        <f t="shared" si="5"/>
        <v>0.15</v>
      </c>
      <c r="M10" t="str">
        <f t="shared" si="6"/>
        <v/>
      </c>
      <c r="T10" t="s">
        <v>7</v>
      </c>
    </row>
    <row r="11" spans="1:31" ht="15" thickBot="1" x14ac:dyDescent="0.35">
      <c r="A11" s="4" t="s">
        <v>104</v>
      </c>
      <c r="B11" s="22" t="s">
        <v>79</v>
      </c>
      <c r="C11" s="22">
        <v>0.12</v>
      </c>
      <c r="D11" s="22" t="s">
        <v>79</v>
      </c>
      <c r="E11" s="22">
        <v>0.39</v>
      </c>
      <c r="F11" s="22">
        <v>-0.28000000000000003</v>
      </c>
      <c r="G11" s="23"/>
      <c r="H11" t="str">
        <f t="shared" si="1"/>
        <v>Q1.9</v>
      </c>
      <c r="I11" t="str">
        <f t="shared" si="2"/>
        <v/>
      </c>
      <c r="J11">
        <f t="shared" si="3"/>
        <v>0.12</v>
      </c>
      <c r="K11" t="str">
        <f t="shared" si="4"/>
        <v/>
      </c>
      <c r="L11">
        <f t="shared" si="5"/>
        <v>0.39</v>
      </c>
      <c r="M11">
        <f t="shared" si="6"/>
        <v>-0.28000000000000003</v>
      </c>
      <c r="T11" t="s">
        <v>8</v>
      </c>
      <c r="AE11" s="12" t="s">
        <v>244</v>
      </c>
    </row>
    <row r="12" spans="1:31" ht="15" thickBot="1" x14ac:dyDescent="0.35">
      <c r="A12" s="4" t="s">
        <v>117</v>
      </c>
      <c r="B12" s="22" t="s">
        <v>79</v>
      </c>
      <c r="C12" s="22">
        <v>-0.1</v>
      </c>
      <c r="D12" s="22">
        <v>0.1</v>
      </c>
      <c r="E12" s="22">
        <v>0.2</v>
      </c>
      <c r="F12" s="22">
        <v>-0.26</v>
      </c>
      <c r="G12" s="23"/>
      <c r="H12" t="str">
        <f t="shared" si="1"/>
        <v>Q1.10</v>
      </c>
      <c r="I12" t="str">
        <f t="shared" si="2"/>
        <v/>
      </c>
      <c r="J12">
        <f t="shared" si="3"/>
        <v>-0.1</v>
      </c>
      <c r="K12">
        <f t="shared" si="4"/>
        <v>0.1</v>
      </c>
      <c r="L12">
        <f t="shared" si="5"/>
        <v>0.2</v>
      </c>
      <c r="M12">
        <f t="shared" si="6"/>
        <v>-0.26</v>
      </c>
      <c r="T12" t="s">
        <v>9</v>
      </c>
      <c r="AB12">
        <v>21</v>
      </c>
      <c r="AC12" s="24" t="s">
        <v>20</v>
      </c>
      <c r="AE12" t="s">
        <v>128</v>
      </c>
    </row>
    <row r="13" spans="1:31" ht="15" thickBot="1" x14ac:dyDescent="0.35">
      <c r="A13" s="4" t="s">
        <v>116</v>
      </c>
      <c r="B13" s="22">
        <v>-0.38</v>
      </c>
      <c r="C13" s="22">
        <v>0.21</v>
      </c>
      <c r="D13" s="22">
        <v>0.1</v>
      </c>
      <c r="E13" s="22">
        <v>0.26</v>
      </c>
      <c r="F13" s="22">
        <v>0.17</v>
      </c>
      <c r="G13" s="23"/>
      <c r="H13" t="str">
        <f t="shared" si="1"/>
        <v>Q1.11</v>
      </c>
      <c r="I13">
        <f t="shared" si="2"/>
        <v>-0.38</v>
      </c>
      <c r="J13">
        <f t="shared" si="3"/>
        <v>0.21</v>
      </c>
      <c r="K13">
        <f t="shared" si="4"/>
        <v>0.1</v>
      </c>
      <c r="L13">
        <f t="shared" si="5"/>
        <v>0.26</v>
      </c>
      <c r="M13">
        <f t="shared" si="6"/>
        <v>0.17</v>
      </c>
      <c r="T13" t="s">
        <v>10</v>
      </c>
      <c r="AB13">
        <v>9</v>
      </c>
      <c r="AC13" s="24" t="s">
        <v>8</v>
      </c>
      <c r="AE13" t="s">
        <v>242</v>
      </c>
    </row>
    <row r="14" spans="1:31" ht="15" thickBot="1" x14ac:dyDescent="0.35">
      <c r="A14" s="4" t="s">
        <v>120</v>
      </c>
      <c r="B14" s="22" t="s">
        <v>79</v>
      </c>
      <c r="C14" s="22">
        <v>-0.13</v>
      </c>
      <c r="D14" s="22" t="s">
        <v>79</v>
      </c>
      <c r="E14" s="22">
        <v>0.34</v>
      </c>
      <c r="F14" s="22" t="s">
        <v>79</v>
      </c>
      <c r="G14" s="23"/>
      <c r="H14" t="str">
        <f t="shared" si="1"/>
        <v>Q1.12</v>
      </c>
      <c r="I14" t="str">
        <f t="shared" si="2"/>
        <v/>
      </c>
      <c r="J14">
        <f t="shared" si="3"/>
        <v>-0.13</v>
      </c>
      <c r="K14" t="str">
        <f t="shared" si="4"/>
        <v/>
      </c>
      <c r="L14">
        <f t="shared" si="5"/>
        <v>0.34</v>
      </c>
      <c r="M14" t="str">
        <f t="shared" si="6"/>
        <v/>
      </c>
      <c r="T14" t="s">
        <v>11</v>
      </c>
      <c r="AB14">
        <v>27</v>
      </c>
      <c r="AC14" s="24" t="s">
        <v>26</v>
      </c>
      <c r="AE14" t="s">
        <v>129</v>
      </c>
    </row>
    <row r="15" spans="1:31" ht="15" thickBot="1" x14ac:dyDescent="0.35">
      <c r="A15" s="4" t="s">
        <v>100</v>
      </c>
      <c r="B15" s="22" t="s">
        <v>79</v>
      </c>
      <c r="C15" s="22">
        <v>0.12</v>
      </c>
      <c r="D15" s="22" t="s">
        <v>79</v>
      </c>
      <c r="E15" s="22">
        <v>0.42</v>
      </c>
      <c r="F15" s="22">
        <v>-0.31</v>
      </c>
      <c r="G15" s="23"/>
      <c r="H15" t="str">
        <f t="shared" si="1"/>
        <v>Q1.13</v>
      </c>
      <c r="I15" t="str">
        <f t="shared" si="2"/>
        <v/>
      </c>
      <c r="J15">
        <f t="shared" si="3"/>
        <v>0.12</v>
      </c>
      <c r="K15" t="str">
        <f t="shared" si="4"/>
        <v/>
      </c>
      <c r="L15">
        <f t="shared" si="5"/>
        <v>0.42</v>
      </c>
      <c r="M15">
        <f t="shared" si="6"/>
        <v>-0.31</v>
      </c>
      <c r="T15" t="s">
        <v>13</v>
      </c>
      <c r="AB15">
        <v>4</v>
      </c>
      <c r="AC15" s="24" t="s">
        <v>3</v>
      </c>
      <c r="AE15" t="s">
        <v>243</v>
      </c>
    </row>
    <row r="16" spans="1:31" ht="15" thickBot="1" x14ac:dyDescent="0.35">
      <c r="A16" s="4" t="s">
        <v>93</v>
      </c>
      <c r="B16" s="22" t="s">
        <v>79</v>
      </c>
      <c r="C16" s="22">
        <v>0.13</v>
      </c>
      <c r="D16" s="22" t="s">
        <v>79</v>
      </c>
      <c r="E16" s="22">
        <v>0.31</v>
      </c>
      <c r="F16" s="22">
        <v>-0.21</v>
      </c>
      <c r="G16" s="23"/>
      <c r="H16" t="str">
        <f t="shared" si="1"/>
        <v>Q1.14</v>
      </c>
      <c r="I16" t="str">
        <f t="shared" si="2"/>
        <v/>
      </c>
      <c r="J16">
        <f t="shared" si="3"/>
        <v>0.13</v>
      </c>
      <c r="K16" t="str">
        <f t="shared" si="4"/>
        <v/>
      </c>
      <c r="L16">
        <f t="shared" si="5"/>
        <v>0.31</v>
      </c>
      <c r="M16">
        <f t="shared" si="6"/>
        <v>-0.21</v>
      </c>
      <c r="T16" t="s">
        <v>12</v>
      </c>
      <c r="AB16">
        <v>8</v>
      </c>
      <c r="AC16" s="24" t="s">
        <v>7</v>
      </c>
      <c r="AD16" t="s">
        <v>11</v>
      </c>
      <c r="AE16" t="s">
        <v>89</v>
      </c>
    </row>
    <row r="17" spans="1:31" ht="15" thickBot="1" x14ac:dyDescent="0.35">
      <c r="A17" s="4" t="s">
        <v>98</v>
      </c>
      <c r="B17" s="22" t="s">
        <v>79</v>
      </c>
      <c r="C17" s="22">
        <v>0.12</v>
      </c>
      <c r="D17" s="22" t="s">
        <v>79</v>
      </c>
      <c r="E17" s="22">
        <v>0.17</v>
      </c>
      <c r="F17" s="22">
        <v>-0.16</v>
      </c>
      <c r="G17" s="23"/>
      <c r="H17" t="str">
        <f t="shared" si="1"/>
        <v>Q1.15</v>
      </c>
      <c r="I17" t="str">
        <f t="shared" si="2"/>
        <v/>
      </c>
      <c r="J17">
        <f t="shared" si="3"/>
        <v>0.12</v>
      </c>
      <c r="K17" t="str">
        <f t="shared" si="4"/>
        <v/>
      </c>
      <c r="L17">
        <f t="shared" si="5"/>
        <v>0.17</v>
      </c>
      <c r="M17">
        <f t="shared" si="6"/>
        <v>-0.16</v>
      </c>
      <c r="T17" t="s">
        <v>14</v>
      </c>
      <c r="AB17">
        <v>10</v>
      </c>
      <c r="AC17" s="24" t="s">
        <v>9</v>
      </c>
      <c r="AE17" t="s">
        <v>141</v>
      </c>
    </row>
    <row r="18" spans="1:31" ht="15" thickBot="1" x14ac:dyDescent="0.35">
      <c r="A18" s="4" t="s">
        <v>99</v>
      </c>
      <c r="B18" s="22">
        <v>-0.14000000000000001</v>
      </c>
      <c r="C18" s="22">
        <v>0.17</v>
      </c>
      <c r="D18" s="22" t="s">
        <v>79</v>
      </c>
      <c r="E18" s="22">
        <v>0.32</v>
      </c>
      <c r="F18" s="22">
        <v>-0.12</v>
      </c>
      <c r="G18" s="23"/>
      <c r="H18" t="str">
        <f t="shared" si="1"/>
        <v>Q1.16</v>
      </c>
      <c r="I18">
        <f t="shared" si="2"/>
        <v>-0.14000000000000001</v>
      </c>
      <c r="J18">
        <f t="shared" si="3"/>
        <v>0.17</v>
      </c>
      <c r="K18" t="str">
        <f t="shared" si="4"/>
        <v/>
      </c>
      <c r="L18">
        <f t="shared" si="5"/>
        <v>0.32</v>
      </c>
      <c r="M18">
        <f t="shared" si="6"/>
        <v>-0.12</v>
      </c>
      <c r="T18" t="s">
        <v>15</v>
      </c>
      <c r="AB18">
        <v>1</v>
      </c>
      <c r="AC18" s="24" t="s">
        <v>0</v>
      </c>
      <c r="AE18" t="s">
        <v>132</v>
      </c>
    </row>
    <row r="19" spans="1:31" ht="15" thickBot="1" x14ac:dyDescent="0.35">
      <c r="A19" s="4" t="s">
        <v>105</v>
      </c>
      <c r="B19" s="22">
        <v>-0.13</v>
      </c>
      <c r="C19" s="22">
        <v>0.14000000000000001</v>
      </c>
      <c r="D19" s="22" t="s">
        <v>79</v>
      </c>
      <c r="E19" s="22">
        <v>0.33</v>
      </c>
      <c r="F19" s="22" t="s">
        <v>79</v>
      </c>
      <c r="G19" s="23"/>
      <c r="H19" t="str">
        <f t="shared" si="1"/>
        <v>Q1.17</v>
      </c>
      <c r="I19">
        <f t="shared" si="2"/>
        <v>-0.13</v>
      </c>
      <c r="J19">
        <f t="shared" si="3"/>
        <v>0.14000000000000001</v>
      </c>
      <c r="K19" t="str">
        <f t="shared" si="4"/>
        <v/>
      </c>
      <c r="L19">
        <f t="shared" si="5"/>
        <v>0.33</v>
      </c>
      <c r="M19" t="str">
        <f t="shared" si="6"/>
        <v/>
      </c>
      <c r="T19" t="s">
        <v>16</v>
      </c>
    </row>
    <row r="20" spans="1:31" ht="15" thickBot="1" x14ac:dyDescent="0.35">
      <c r="A20" s="4" t="s">
        <v>109</v>
      </c>
      <c r="B20" s="22" t="s">
        <v>79</v>
      </c>
      <c r="C20" s="22" t="s">
        <v>79</v>
      </c>
      <c r="D20" s="22" t="s">
        <v>79</v>
      </c>
      <c r="E20" s="22" t="s">
        <v>79</v>
      </c>
      <c r="F20" s="22" t="s">
        <v>79</v>
      </c>
      <c r="G20" s="23"/>
      <c r="H20" t="str">
        <f t="shared" si="1"/>
        <v>Q1.18</v>
      </c>
      <c r="I20" t="str">
        <f t="shared" si="2"/>
        <v/>
      </c>
      <c r="J20" t="str">
        <f t="shared" si="3"/>
        <v/>
      </c>
      <c r="K20" t="str">
        <f t="shared" si="4"/>
        <v/>
      </c>
      <c r="L20" t="str">
        <f t="shared" si="5"/>
        <v/>
      </c>
      <c r="M20" t="str">
        <f t="shared" si="6"/>
        <v/>
      </c>
      <c r="T20" t="s">
        <v>17</v>
      </c>
    </row>
    <row r="21" spans="1:31" ht="15" thickBot="1" x14ac:dyDescent="0.35">
      <c r="A21" s="4" t="s">
        <v>112</v>
      </c>
      <c r="B21" s="22" t="s">
        <v>79</v>
      </c>
      <c r="C21" s="22" t="s">
        <v>79</v>
      </c>
      <c r="D21" s="22" t="s">
        <v>79</v>
      </c>
      <c r="E21" s="22" t="s">
        <v>79</v>
      </c>
      <c r="F21" s="22" t="s">
        <v>79</v>
      </c>
      <c r="G21" s="23"/>
      <c r="H21" t="str">
        <f t="shared" si="1"/>
        <v>Q1.19</v>
      </c>
      <c r="I21" t="str">
        <f t="shared" si="2"/>
        <v/>
      </c>
      <c r="J21" t="str">
        <f t="shared" si="3"/>
        <v/>
      </c>
      <c r="K21" t="str">
        <f t="shared" si="4"/>
        <v/>
      </c>
      <c r="L21" t="str">
        <f t="shared" si="5"/>
        <v/>
      </c>
      <c r="M21" t="str">
        <f t="shared" si="6"/>
        <v/>
      </c>
      <c r="T21" t="s">
        <v>18</v>
      </c>
    </row>
    <row r="22" spans="1:31" ht="15" thickBot="1" x14ac:dyDescent="0.35">
      <c r="A22" s="4" t="s">
        <v>94</v>
      </c>
      <c r="B22" s="22">
        <v>-0.1</v>
      </c>
      <c r="C22" s="22">
        <v>0.14000000000000001</v>
      </c>
      <c r="D22" s="22" t="s">
        <v>79</v>
      </c>
      <c r="E22" s="22">
        <v>0.33</v>
      </c>
      <c r="F22" s="22">
        <v>-0.15</v>
      </c>
      <c r="G22" s="23"/>
      <c r="H22" t="str">
        <f t="shared" si="1"/>
        <v>Q1.20</v>
      </c>
      <c r="I22">
        <f t="shared" si="2"/>
        <v>-0.1</v>
      </c>
      <c r="J22">
        <f t="shared" si="3"/>
        <v>0.14000000000000001</v>
      </c>
      <c r="K22" t="str">
        <f t="shared" si="4"/>
        <v/>
      </c>
      <c r="L22">
        <f t="shared" si="5"/>
        <v>0.33</v>
      </c>
      <c r="M22">
        <f t="shared" si="6"/>
        <v>-0.15</v>
      </c>
      <c r="T22" t="s">
        <v>19</v>
      </c>
    </row>
    <row r="23" spans="1:31" ht="15" thickBot="1" x14ac:dyDescent="0.35">
      <c r="A23" s="4" t="s">
        <v>111</v>
      </c>
      <c r="B23" s="22" t="s">
        <v>79</v>
      </c>
      <c r="C23" s="22" t="s">
        <v>79</v>
      </c>
      <c r="D23" s="22" t="s">
        <v>79</v>
      </c>
      <c r="E23" s="22" t="s">
        <v>79</v>
      </c>
      <c r="F23" s="22" t="s">
        <v>79</v>
      </c>
      <c r="G23" s="23"/>
      <c r="H23" t="str">
        <f t="shared" si="1"/>
        <v>Q1.21</v>
      </c>
      <c r="I23" t="str">
        <f t="shared" si="2"/>
        <v/>
      </c>
      <c r="J23" t="str">
        <f t="shared" si="3"/>
        <v/>
      </c>
      <c r="K23" t="str">
        <f t="shared" si="4"/>
        <v/>
      </c>
      <c r="L23" t="str">
        <f t="shared" si="5"/>
        <v/>
      </c>
      <c r="M23" t="str">
        <f t="shared" si="6"/>
        <v/>
      </c>
      <c r="T23" t="s">
        <v>20</v>
      </c>
    </row>
    <row r="24" spans="1:31" ht="15" thickBot="1" x14ac:dyDescent="0.35">
      <c r="A24" s="4" t="s">
        <v>106</v>
      </c>
      <c r="B24" s="22" t="s">
        <v>79</v>
      </c>
      <c r="C24" s="22" t="s">
        <v>79</v>
      </c>
      <c r="D24" s="22" t="s">
        <v>79</v>
      </c>
      <c r="E24" s="22" t="s">
        <v>79</v>
      </c>
      <c r="F24" s="22" t="s">
        <v>79</v>
      </c>
      <c r="G24" s="23"/>
      <c r="H24" t="str">
        <f t="shared" si="1"/>
        <v>Q1.22</v>
      </c>
      <c r="I24" t="str">
        <f t="shared" si="2"/>
        <v/>
      </c>
      <c r="J24" t="str">
        <f t="shared" si="3"/>
        <v/>
      </c>
      <c r="K24" t="str">
        <f t="shared" si="4"/>
        <v/>
      </c>
      <c r="L24" t="str">
        <f t="shared" si="5"/>
        <v/>
      </c>
      <c r="M24" t="str">
        <f t="shared" si="6"/>
        <v/>
      </c>
      <c r="T24" t="s">
        <v>21</v>
      </c>
    </row>
    <row r="25" spans="1:31" ht="15" thickBot="1" x14ac:dyDescent="0.35">
      <c r="A25" s="4" t="s">
        <v>107</v>
      </c>
      <c r="B25" s="22" t="s">
        <v>79</v>
      </c>
      <c r="C25" s="22">
        <v>0.12</v>
      </c>
      <c r="D25" s="22" t="s">
        <v>79</v>
      </c>
      <c r="E25" s="22">
        <v>0.19</v>
      </c>
      <c r="F25" s="22">
        <v>-0.13</v>
      </c>
      <c r="G25" s="23"/>
      <c r="H25" t="str">
        <f t="shared" si="1"/>
        <v>Q1.23</v>
      </c>
      <c r="I25" t="str">
        <f t="shared" si="2"/>
        <v/>
      </c>
      <c r="J25">
        <f t="shared" si="3"/>
        <v>0.12</v>
      </c>
      <c r="K25" t="str">
        <f t="shared" si="4"/>
        <v/>
      </c>
      <c r="L25">
        <f t="shared" si="5"/>
        <v>0.19</v>
      </c>
      <c r="M25">
        <f t="shared" si="6"/>
        <v>-0.13</v>
      </c>
      <c r="T25" t="s">
        <v>22</v>
      </c>
    </row>
    <row r="26" spans="1:31" ht="15" thickBot="1" x14ac:dyDescent="0.35">
      <c r="A26" s="4" t="s">
        <v>110</v>
      </c>
      <c r="B26" s="22" t="s">
        <v>79</v>
      </c>
      <c r="C26" s="22">
        <v>0.1</v>
      </c>
      <c r="D26" s="22" t="s">
        <v>79</v>
      </c>
      <c r="E26" s="22" t="s">
        <v>79</v>
      </c>
      <c r="F26" s="22">
        <v>-0.11</v>
      </c>
      <c r="G26" s="23"/>
      <c r="H26" t="str">
        <f t="shared" si="1"/>
        <v>Q1.24</v>
      </c>
      <c r="I26" t="str">
        <f t="shared" si="2"/>
        <v/>
      </c>
      <c r="J26">
        <f t="shared" si="3"/>
        <v>0.1</v>
      </c>
      <c r="K26" t="str">
        <f t="shared" si="4"/>
        <v/>
      </c>
      <c r="L26" t="str">
        <f t="shared" si="5"/>
        <v/>
      </c>
      <c r="M26">
        <f t="shared" si="6"/>
        <v>-0.11</v>
      </c>
      <c r="T26" t="s">
        <v>23</v>
      </c>
    </row>
    <row r="27" spans="1:31" ht="15" thickBot="1" x14ac:dyDescent="0.35">
      <c r="A27" s="4" t="s">
        <v>101</v>
      </c>
      <c r="B27" s="22" t="s">
        <v>79</v>
      </c>
      <c r="C27" s="22">
        <v>0.13</v>
      </c>
      <c r="D27" s="22" t="s">
        <v>79</v>
      </c>
      <c r="E27" s="22">
        <v>0.15</v>
      </c>
      <c r="F27" s="22">
        <v>-0.1</v>
      </c>
      <c r="G27" s="23"/>
      <c r="H27" t="str">
        <f t="shared" si="1"/>
        <v>Q1.25</v>
      </c>
      <c r="I27" t="str">
        <f t="shared" si="2"/>
        <v/>
      </c>
      <c r="J27">
        <f t="shared" si="3"/>
        <v>0.13</v>
      </c>
      <c r="K27" t="str">
        <f t="shared" si="4"/>
        <v/>
      </c>
      <c r="L27">
        <f t="shared" si="5"/>
        <v>0.15</v>
      </c>
      <c r="M27">
        <f t="shared" si="6"/>
        <v>-0.1</v>
      </c>
      <c r="T27" t="s">
        <v>24</v>
      </c>
    </row>
    <row r="28" spans="1:31" ht="15" thickBot="1" x14ac:dyDescent="0.35">
      <c r="A28" s="4" t="s">
        <v>103</v>
      </c>
      <c r="B28" s="22" t="s">
        <v>79</v>
      </c>
      <c r="C28" s="22">
        <v>0.14000000000000001</v>
      </c>
      <c r="D28" s="22" t="s">
        <v>79</v>
      </c>
      <c r="E28" s="22">
        <v>0.37</v>
      </c>
      <c r="F28" s="22">
        <v>-0.24</v>
      </c>
      <c r="G28" s="23"/>
      <c r="H28" t="str">
        <f t="shared" si="1"/>
        <v>Q1.26</v>
      </c>
      <c r="I28" t="str">
        <f t="shared" si="2"/>
        <v/>
      </c>
      <c r="J28">
        <f t="shared" si="3"/>
        <v>0.14000000000000001</v>
      </c>
      <c r="K28" t="str">
        <f t="shared" si="4"/>
        <v/>
      </c>
      <c r="L28">
        <f t="shared" si="5"/>
        <v>0.37</v>
      </c>
      <c r="M28">
        <f t="shared" si="6"/>
        <v>-0.24</v>
      </c>
      <c r="T28" t="s">
        <v>25</v>
      </c>
    </row>
    <row r="29" spans="1:31" ht="15" thickBot="1" x14ac:dyDescent="0.35">
      <c r="A29" s="4" t="s">
        <v>95</v>
      </c>
      <c r="B29" s="22" t="s">
        <v>79</v>
      </c>
      <c r="C29" s="22">
        <v>0.19</v>
      </c>
      <c r="D29" s="22" t="s">
        <v>79</v>
      </c>
      <c r="E29" s="22">
        <v>0.35</v>
      </c>
      <c r="F29" s="22">
        <v>-0.24</v>
      </c>
      <c r="G29" s="23"/>
      <c r="H29" t="str">
        <f t="shared" si="1"/>
        <v>Q1.27</v>
      </c>
      <c r="I29" t="str">
        <f t="shared" si="2"/>
        <v/>
      </c>
      <c r="J29">
        <f t="shared" si="3"/>
        <v>0.19</v>
      </c>
      <c r="K29" t="str">
        <f t="shared" si="4"/>
        <v/>
      </c>
      <c r="L29">
        <f t="shared" si="5"/>
        <v>0.35</v>
      </c>
      <c r="M29">
        <f t="shared" si="6"/>
        <v>-0.24</v>
      </c>
      <c r="T29" t="s">
        <v>26</v>
      </c>
    </row>
    <row r="30" spans="1:31" ht="15" thickBot="1" x14ac:dyDescent="0.35">
      <c r="A30" s="4" t="s">
        <v>92</v>
      </c>
      <c r="B30" s="22" t="s">
        <v>79</v>
      </c>
      <c r="C30" s="22">
        <v>0.16</v>
      </c>
      <c r="D30" s="22" t="s">
        <v>79</v>
      </c>
      <c r="E30" s="22">
        <v>0.28000000000000003</v>
      </c>
      <c r="F30" s="22">
        <v>-0.18</v>
      </c>
      <c r="G30" s="23"/>
      <c r="H30" t="str">
        <f t="shared" si="1"/>
        <v>Q1.28</v>
      </c>
      <c r="I30" t="str">
        <f t="shared" si="2"/>
        <v/>
      </c>
      <c r="J30">
        <f t="shared" si="3"/>
        <v>0.16</v>
      </c>
      <c r="K30" t="str">
        <f t="shared" si="4"/>
        <v/>
      </c>
      <c r="L30">
        <f t="shared" si="5"/>
        <v>0.28000000000000003</v>
      </c>
      <c r="M30">
        <f t="shared" si="6"/>
        <v>-0.18</v>
      </c>
      <c r="T30" t="s">
        <v>27</v>
      </c>
    </row>
    <row r="31" spans="1:31" ht="15" thickBot="1" x14ac:dyDescent="0.35">
      <c r="A31" s="4" t="s">
        <v>113</v>
      </c>
      <c r="B31" s="22" t="s">
        <v>79</v>
      </c>
      <c r="C31" s="22" t="s">
        <v>79</v>
      </c>
      <c r="D31" s="22" t="s">
        <v>79</v>
      </c>
      <c r="E31" s="22">
        <v>0.13</v>
      </c>
      <c r="F31" s="22" t="s">
        <v>79</v>
      </c>
      <c r="G31" s="23"/>
      <c r="H31" t="str">
        <f t="shared" si="1"/>
        <v>Q1.29</v>
      </c>
      <c r="I31" t="str">
        <f t="shared" si="2"/>
        <v/>
      </c>
      <c r="J31" t="str">
        <f t="shared" si="3"/>
        <v/>
      </c>
      <c r="K31" t="str">
        <f t="shared" si="4"/>
        <v/>
      </c>
      <c r="L31">
        <f t="shared" si="5"/>
        <v>0.13</v>
      </c>
      <c r="M31" t="str">
        <f t="shared" si="6"/>
        <v/>
      </c>
      <c r="T31" t="s">
        <v>28</v>
      </c>
    </row>
    <row r="32" spans="1:31" ht="15" thickBot="1" x14ac:dyDescent="0.35">
      <c r="A32" s="4" t="s">
        <v>147</v>
      </c>
      <c r="B32" s="22">
        <v>-0.11</v>
      </c>
      <c r="C32" s="22" t="s">
        <v>79</v>
      </c>
      <c r="D32" s="22" t="s">
        <v>79</v>
      </c>
      <c r="E32" s="22">
        <v>0.19</v>
      </c>
      <c r="F32" s="22" t="s">
        <v>79</v>
      </c>
      <c r="G32" s="23"/>
      <c r="H32" t="str">
        <f t="shared" si="1"/>
        <v>Q2</v>
      </c>
      <c r="I32">
        <f t="shared" si="2"/>
        <v>-0.11</v>
      </c>
      <c r="J32" t="str">
        <f t="shared" si="3"/>
        <v/>
      </c>
      <c r="K32" t="str">
        <f t="shared" si="4"/>
        <v/>
      </c>
      <c r="L32">
        <f t="shared" si="5"/>
        <v>0.19</v>
      </c>
      <c r="M32" t="str">
        <f t="shared" si="6"/>
        <v/>
      </c>
      <c r="T32" t="s">
        <v>206</v>
      </c>
    </row>
    <row r="33" spans="1:20" ht="15" thickBot="1" x14ac:dyDescent="0.35">
      <c r="A33" s="4" t="s">
        <v>148</v>
      </c>
      <c r="B33" s="22">
        <v>-0.1</v>
      </c>
      <c r="C33" s="22" t="s">
        <v>79</v>
      </c>
      <c r="D33" s="22" t="s">
        <v>79</v>
      </c>
      <c r="E33" s="22" t="s">
        <v>79</v>
      </c>
      <c r="F33" s="22" t="s">
        <v>79</v>
      </c>
      <c r="G33" s="23"/>
      <c r="H33" t="str">
        <f t="shared" si="1"/>
        <v>Q2.Cluster</v>
      </c>
      <c r="I33">
        <f t="shared" si="2"/>
        <v>-0.1</v>
      </c>
      <c r="J33" t="str">
        <f t="shared" si="3"/>
        <v/>
      </c>
      <c r="K33" t="str">
        <f t="shared" si="4"/>
        <v/>
      </c>
      <c r="L33" t="str">
        <f t="shared" si="5"/>
        <v/>
      </c>
      <c r="M33" t="str">
        <f t="shared" si="6"/>
        <v/>
      </c>
      <c r="T33" t="s">
        <v>206</v>
      </c>
    </row>
    <row r="34" spans="1:20" ht="15" thickBot="1" x14ac:dyDescent="0.35">
      <c r="A34" s="4" t="s">
        <v>149</v>
      </c>
      <c r="B34" s="22" t="s">
        <v>79</v>
      </c>
      <c r="C34" s="22" t="s">
        <v>79</v>
      </c>
      <c r="D34" s="22" t="s">
        <v>79</v>
      </c>
      <c r="E34" s="22" t="s">
        <v>79</v>
      </c>
      <c r="F34" s="22" t="s">
        <v>79</v>
      </c>
      <c r="G34" s="23"/>
      <c r="H34" t="str">
        <f t="shared" si="1"/>
        <v>Q3</v>
      </c>
      <c r="I34" t="str">
        <f t="shared" si="2"/>
        <v/>
      </c>
      <c r="J34" t="str">
        <f t="shared" si="3"/>
        <v/>
      </c>
      <c r="K34" t="str">
        <f t="shared" si="4"/>
        <v/>
      </c>
      <c r="L34" t="str">
        <f t="shared" si="5"/>
        <v/>
      </c>
      <c r="M34" t="str">
        <f t="shared" si="6"/>
        <v/>
      </c>
      <c r="T34" t="s">
        <v>207</v>
      </c>
    </row>
    <row r="35" spans="1:20" ht="15" thickBot="1" x14ac:dyDescent="0.35">
      <c r="A35" s="4" t="s">
        <v>150</v>
      </c>
      <c r="B35" s="22" t="s">
        <v>79</v>
      </c>
      <c r="C35" s="22" t="s">
        <v>79</v>
      </c>
      <c r="D35" s="22" t="s">
        <v>79</v>
      </c>
      <c r="E35" s="22">
        <v>0.11</v>
      </c>
      <c r="F35" s="22">
        <v>-0.2</v>
      </c>
      <c r="G35" s="23"/>
      <c r="H35" t="str">
        <f t="shared" si="1"/>
        <v>Q4</v>
      </c>
      <c r="I35" t="str">
        <f t="shared" si="2"/>
        <v/>
      </c>
      <c r="J35" t="str">
        <f t="shared" si="3"/>
        <v/>
      </c>
      <c r="K35" t="str">
        <f t="shared" si="4"/>
        <v/>
      </c>
      <c r="L35">
        <f t="shared" si="5"/>
        <v>0.11</v>
      </c>
      <c r="M35">
        <f t="shared" si="6"/>
        <v>-0.2</v>
      </c>
      <c r="T35" t="s">
        <v>208</v>
      </c>
    </row>
    <row r="36" spans="1:20" ht="15" thickBot="1" x14ac:dyDescent="0.35">
      <c r="A36" s="4" t="s">
        <v>151</v>
      </c>
      <c r="B36" s="22" t="s">
        <v>79</v>
      </c>
      <c r="C36" s="22">
        <v>0.12</v>
      </c>
      <c r="D36" s="22" t="s">
        <v>79</v>
      </c>
      <c r="E36" s="22">
        <v>0.37</v>
      </c>
      <c r="F36" s="22">
        <v>-0.21</v>
      </c>
      <c r="G36" s="23"/>
      <c r="H36" t="str">
        <f t="shared" si="1"/>
        <v>Q5</v>
      </c>
      <c r="I36" t="str">
        <f t="shared" ref="I36:I67" si="7">IF(ISNUMBER(B36),B36,"")</f>
        <v/>
      </c>
      <c r="J36">
        <f t="shared" ref="J36:J67" si="8">IF(ISNUMBER(C36),C36,"")</f>
        <v>0.12</v>
      </c>
      <c r="K36" t="str">
        <f t="shared" ref="K36:K67" si="9">IF(ISNUMBER(D36),D36,"")</f>
        <v/>
      </c>
      <c r="L36">
        <f t="shared" ref="L36:L67" si="10">IF(ISNUMBER(E36),E36,"")</f>
        <v>0.37</v>
      </c>
      <c r="M36">
        <f t="shared" ref="M36:M67" si="11">IF(ISNUMBER(F36),F36,"")</f>
        <v>-0.21</v>
      </c>
      <c r="T36" t="s">
        <v>209</v>
      </c>
    </row>
    <row r="37" spans="1:20" ht="15" thickBot="1" x14ac:dyDescent="0.35">
      <c r="A37" s="4" t="s">
        <v>152</v>
      </c>
      <c r="B37" s="22" t="s">
        <v>79</v>
      </c>
      <c r="C37" s="22" t="s">
        <v>79</v>
      </c>
      <c r="D37" s="22" t="s">
        <v>79</v>
      </c>
      <c r="E37" s="22" t="s">
        <v>79</v>
      </c>
      <c r="F37" s="22">
        <v>-0.11</v>
      </c>
      <c r="G37" s="23"/>
      <c r="H37" t="str">
        <f t="shared" si="1"/>
        <v>Q6</v>
      </c>
      <c r="I37" t="str">
        <f t="shared" si="7"/>
        <v/>
      </c>
      <c r="J37" t="str">
        <f t="shared" si="8"/>
        <v/>
      </c>
      <c r="K37" t="str">
        <f t="shared" si="9"/>
        <v/>
      </c>
      <c r="L37" t="str">
        <f t="shared" si="10"/>
        <v/>
      </c>
      <c r="M37">
        <f t="shared" si="11"/>
        <v>-0.11</v>
      </c>
      <c r="T37" t="s">
        <v>210</v>
      </c>
    </row>
    <row r="38" spans="1:20" ht="15" thickBot="1" x14ac:dyDescent="0.35">
      <c r="A38" s="4" t="s">
        <v>153</v>
      </c>
      <c r="B38" s="22">
        <v>-0.15</v>
      </c>
      <c r="C38" s="22" t="s">
        <v>79</v>
      </c>
      <c r="D38" s="22" t="s">
        <v>79</v>
      </c>
      <c r="E38" s="22">
        <v>0.42</v>
      </c>
      <c r="F38" s="22" t="s">
        <v>79</v>
      </c>
      <c r="G38" s="23"/>
      <c r="H38" t="str">
        <f t="shared" si="1"/>
        <v>Q7.1</v>
      </c>
      <c r="I38">
        <f t="shared" si="7"/>
        <v>-0.15</v>
      </c>
      <c r="J38" t="str">
        <f t="shared" si="8"/>
        <v/>
      </c>
      <c r="K38" t="str">
        <f t="shared" si="9"/>
        <v/>
      </c>
      <c r="L38">
        <f t="shared" si="10"/>
        <v>0.42</v>
      </c>
      <c r="M38" t="str">
        <f t="shared" si="11"/>
        <v/>
      </c>
      <c r="T38" t="s">
        <v>211</v>
      </c>
    </row>
    <row r="39" spans="1:20" ht="15" thickBot="1" x14ac:dyDescent="0.35">
      <c r="A39" s="4" t="s">
        <v>154</v>
      </c>
      <c r="B39" s="22" t="s">
        <v>79</v>
      </c>
      <c r="C39" s="22" t="s">
        <v>79</v>
      </c>
      <c r="D39" s="22" t="s">
        <v>79</v>
      </c>
      <c r="E39" s="22" t="s">
        <v>79</v>
      </c>
      <c r="F39" s="22" t="s">
        <v>79</v>
      </c>
      <c r="G39" s="23"/>
      <c r="H39" t="str">
        <f t="shared" si="1"/>
        <v>Q7.2</v>
      </c>
      <c r="I39" t="str">
        <f t="shared" si="7"/>
        <v/>
      </c>
      <c r="J39" t="str">
        <f t="shared" si="8"/>
        <v/>
      </c>
      <c r="K39" t="str">
        <f t="shared" si="9"/>
        <v/>
      </c>
      <c r="L39" t="str">
        <f t="shared" si="10"/>
        <v/>
      </c>
      <c r="M39" t="str">
        <f t="shared" si="11"/>
        <v/>
      </c>
      <c r="T39" t="s">
        <v>212</v>
      </c>
    </row>
    <row r="40" spans="1:20" ht="15" thickBot="1" x14ac:dyDescent="0.35">
      <c r="A40" s="4" t="s">
        <v>155</v>
      </c>
      <c r="B40" s="22" t="s">
        <v>79</v>
      </c>
      <c r="C40" s="22" t="s">
        <v>79</v>
      </c>
      <c r="D40" s="22" t="s">
        <v>79</v>
      </c>
      <c r="E40" s="22" t="s">
        <v>79</v>
      </c>
      <c r="F40" s="22">
        <v>-0.1</v>
      </c>
      <c r="G40" s="23"/>
      <c r="H40" t="str">
        <f t="shared" si="1"/>
        <v>Q7.3</v>
      </c>
      <c r="I40" t="str">
        <f t="shared" si="7"/>
        <v/>
      </c>
      <c r="J40" t="str">
        <f t="shared" si="8"/>
        <v/>
      </c>
      <c r="K40" t="str">
        <f t="shared" si="9"/>
        <v/>
      </c>
      <c r="L40" t="str">
        <f t="shared" si="10"/>
        <v/>
      </c>
      <c r="M40">
        <f t="shared" si="11"/>
        <v>-0.1</v>
      </c>
      <c r="T40" t="s">
        <v>213</v>
      </c>
    </row>
    <row r="41" spans="1:20" ht="15" thickBot="1" x14ac:dyDescent="0.35">
      <c r="A41" s="4" t="s">
        <v>156</v>
      </c>
      <c r="B41" s="22" t="s">
        <v>79</v>
      </c>
      <c r="C41" s="22" t="s">
        <v>79</v>
      </c>
      <c r="D41" s="22" t="s">
        <v>79</v>
      </c>
      <c r="E41" s="22" t="s">
        <v>79</v>
      </c>
      <c r="F41" s="22" t="s">
        <v>79</v>
      </c>
      <c r="G41" s="23"/>
      <c r="H41" t="str">
        <f t="shared" si="1"/>
        <v>Q7.4</v>
      </c>
      <c r="I41" t="str">
        <f t="shared" si="7"/>
        <v/>
      </c>
      <c r="J41" t="str">
        <f t="shared" si="8"/>
        <v/>
      </c>
      <c r="K41" t="str">
        <f t="shared" si="9"/>
        <v/>
      </c>
      <c r="L41" t="str">
        <f t="shared" si="10"/>
        <v/>
      </c>
      <c r="M41" t="str">
        <f t="shared" si="11"/>
        <v/>
      </c>
      <c r="T41" t="s">
        <v>214</v>
      </c>
    </row>
    <row r="42" spans="1:20" ht="15" thickBot="1" x14ac:dyDescent="0.35">
      <c r="A42" s="4" t="s">
        <v>157</v>
      </c>
      <c r="B42" s="22">
        <v>-0.11</v>
      </c>
      <c r="C42" s="22">
        <v>0.13</v>
      </c>
      <c r="D42" s="22" t="s">
        <v>79</v>
      </c>
      <c r="E42" s="22" t="s">
        <v>79</v>
      </c>
      <c r="F42" s="22" t="s">
        <v>79</v>
      </c>
      <c r="G42" s="23"/>
      <c r="H42" t="str">
        <f t="shared" si="1"/>
        <v>Q8</v>
      </c>
      <c r="I42">
        <f t="shared" si="7"/>
        <v>-0.11</v>
      </c>
      <c r="J42">
        <f t="shared" si="8"/>
        <v>0.13</v>
      </c>
      <c r="K42" t="str">
        <f t="shared" si="9"/>
        <v/>
      </c>
      <c r="L42" t="str">
        <f t="shared" si="10"/>
        <v/>
      </c>
      <c r="M42" t="str">
        <f t="shared" si="11"/>
        <v/>
      </c>
      <c r="T42" t="s">
        <v>215</v>
      </c>
    </row>
    <row r="43" spans="1:20" ht="15" thickBot="1" x14ac:dyDescent="0.35">
      <c r="A43" s="4" t="s">
        <v>158</v>
      </c>
      <c r="B43" s="22" t="s">
        <v>79</v>
      </c>
      <c r="C43" s="22" t="s">
        <v>79</v>
      </c>
      <c r="D43" s="22" t="s">
        <v>79</v>
      </c>
      <c r="E43" s="22">
        <v>0.14000000000000001</v>
      </c>
      <c r="F43" s="22" t="s">
        <v>79</v>
      </c>
      <c r="G43" s="23"/>
      <c r="H43" t="str">
        <f t="shared" si="1"/>
        <v>Q9.1</v>
      </c>
      <c r="I43" t="str">
        <f t="shared" si="7"/>
        <v/>
      </c>
      <c r="J43" t="str">
        <f t="shared" si="8"/>
        <v/>
      </c>
      <c r="K43" t="str">
        <f t="shared" si="9"/>
        <v/>
      </c>
      <c r="L43">
        <f t="shared" si="10"/>
        <v>0.14000000000000001</v>
      </c>
      <c r="M43" t="str">
        <f t="shared" si="11"/>
        <v/>
      </c>
      <c r="T43" t="s">
        <v>216</v>
      </c>
    </row>
    <row r="44" spans="1:20" ht="15" thickBot="1" x14ac:dyDescent="0.35">
      <c r="A44" s="4" t="s">
        <v>159</v>
      </c>
      <c r="B44" s="22" t="s">
        <v>79</v>
      </c>
      <c r="C44" s="22" t="s">
        <v>79</v>
      </c>
      <c r="D44" s="22" t="s">
        <v>79</v>
      </c>
      <c r="E44" s="22">
        <v>0.12</v>
      </c>
      <c r="F44" s="22">
        <v>-0.11</v>
      </c>
      <c r="G44" s="23"/>
      <c r="H44" t="str">
        <f t="shared" si="1"/>
        <v>Q9.2</v>
      </c>
      <c r="I44" t="str">
        <f t="shared" si="7"/>
        <v/>
      </c>
      <c r="J44" t="str">
        <f t="shared" si="8"/>
        <v/>
      </c>
      <c r="K44" t="str">
        <f t="shared" si="9"/>
        <v/>
      </c>
      <c r="L44">
        <f t="shared" si="10"/>
        <v>0.12</v>
      </c>
      <c r="M44">
        <f t="shared" si="11"/>
        <v>-0.11</v>
      </c>
      <c r="T44" t="s">
        <v>217</v>
      </c>
    </row>
    <row r="45" spans="1:20" ht="15" thickBot="1" x14ac:dyDescent="0.35">
      <c r="A45" s="4" t="s">
        <v>160</v>
      </c>
      <c r="B45" s="22" t="s">
        <v>79</v>
      </c>
      <c r="C45" s="22" t="s">
        <v>79</v>
      </c>
      <c r="D45" s="22" t="s">
        <v>79</v>
      </c>
      <c r="E45" s="22" t="s">
        <v>79</v>
      </c>
      <c r="F45" s="22">
        <v>-0.11</v>
      </c>
      <c r="G45" s="23"/>
      <c r="H45" t="str">
        <f t="shared" si="1"/>
        <v>Q9.3</v>
      </c>
      <c r="I45" t="str">
        <f t="shared" si="7"/>
        <v/>
      </c>
      <c r="J45" t="str">
        <f t="shared" si="8"/>
        <v/>
      </c>
      <c r="K45" t="str">
        <f t="shared" si="9"/>
        <v/>
      </c>
      <c r="L45" t="str">
        <f t="shared" si="10"/>
        <v/>
      </c>
      <c r="M45">
        <f t="shared" si="11"/>
        <v>-0.11</v>
      </c>
      <c r="T45" t="s">
        <v>218</v>
      </c>
    </row>
    <row r="46" spans="1:20" ht="15" thickBot="1" x14ac:dyDescent="0.35">
      <c r="A46" s="4" t="s">
        <v>161</v>
      </c>
      <c r="B46" s="22" t="s">
        <v>79</v>
      </c>
      <c r="C46" s="22" t="s">
        <v>79</v>
      </c>
      <c r="D46" s="22" t="s">
        <v>79</v>
      </c>
      <c r="E46" s="22">
        <v>0.18</v>
      </c>
      <c r="F46" s="22">
        <v>-0.13</v>
      </c>
      <c r="G46" s="23"/>
      <c r="H46" t="str">
        <f t="shared" si="1"/>
        <v>Q9.4</v>
      </c>
      <c r="I46" t="str">
        <f t="shared" si="7"/>
        <v/>
      </c>
      <c r="J46" t="str">
        <f t="shared" si="8"/>
        <v/>
      </c>
      <c r="K46" t="str">
        <f t="shared" si="9"/>
        <v/>
      </c>
      <c r="L46">
        <f t="shared" si="10"/>
        <v>0.18</v>
      </c>
      <c r="M46">
        <f t="shared" si="11"/>
        <v>-0.13</v>
      </c>
      <c r="T46" t="s">
        <v>219</v>
      </c>
    </row>
    <row r="47" spans="1:20" ht="15" thickBot="1" x14ac:dyDescent="0.35">
      <c r="A47" s="4" t="s">
        <v>162</v>
      </c>
      <c r="B47" s="22" t="s">
        <v>79</v>
      </c>
      <c r="C47" s="22" t="s">
        <v>79</v>
      </c>
      <c r="D47" s="22" t="s">
        <v>79</v>
      </c>
      <c r="E47" s="22" t="s">
        <v>79</v>
      </c>
      <c r="F47" s="22">
        <v>-0.18</v>
      </c>
      <c r="G47" s="23"/>
      <c r="H47" t="str">
        <f t="shared" si="1"/>
        <v>Q9.5</v>
      </c>
      <c r="I47" t="str">
        <f t="shared" si="7"/>
        <v/>
      </c>
      <c r="J47" t="str">
        <f t="shared" si="8"/>
        <v/>
      </c>
      <c r="K47" t="str">
        <f t="shared" si="9"/>
        <v/>
      </c>
      <c r="L47" t="str">
        <f t="shared" si="10"/>
        <v/>
      </c>
      <c r="M47">
        <f t="shared" si="11"/>
        <v>-0.18</v>
      </c>
      <c r="T47" t="s">
        <v>220</v>
      </c>
    </row>
    <row r="48" spans="1:20" ht="15" thickBot="1" x14ac:dyDescent="0.35">
      <c r="A48" s="4" t="s">
        <v>163</v>
      </c>
      <c r="B48" s="22" t="s">
        <v>79</v>
      </c>
      <c r="C48" s="22">
        <v>0.13</v>
      </c>
      <c r="D48" s="22" t="s">
        <v>79</v>
      </c>
      <c r="E48" s="22" t="s">
        <v>79</v>
      </c>
      <c r="F48" s="22">
        <v>-0.12</v>
      </c>
      <c r="G48" s="23"/>
      <c r="H48" t="str">
        <f t="shared" si="1"/>
        <v>Q10</v>
      </c>
      <c r="I48" t="str">
        <f t="shared" si="7"/>
        <v/>
      </c>
      <c r="J48">
        <f t="shared" si="8"/>
        <v>0.13</v>
      </c>
      <c r="K48" t="str">
        <f t="shared" si="9"/>
        <v/>
      </c>
      <c r="L48" t="str">
        <f t="shared" si="10"/>
        <v/>
      </c>
      <c r="M48">
        <f t="shared" si="11"/>
        <v>-0.12</v>
      </c>
      <c r="T48" t="s">
        <v>221</v>
      </c>
    </row>
    <row r="49" spans="1:20" ht="15" thickBot="1" x14ac:dyDescent="0.35">
      <c r="A49" s="4" t="s">
        <v>164</v>
      </c>
      <c r="B49" s="22">
        <v>0.11</v>
      </c>
      <c r="C49" s="22" t="s">
        <v>79</v>
      </c>
      <c r="D49" s="22" t="s">
        <v>79</v>
      </c>
      <c r="E49" s="22" t="s">
        <v>79</v>
      </c>
      <c r="F49" s="22" t="s">
        <v>79</v>
      </c>
      <c r="G49" s="23"/>
      <c r="H49" t="str">
        <f t="shared" si="1"/>
        <v>Q11</v>
      </c>
      <c r="I49">
        <f t="shared" si="7"/>
        <v>0.11</v>
      </c>
      <c r="J49" t="str">
        <f t="shared" si="8"/>
        <v/>
      </c>
      <c r="K49" t="str">
        <f t="shared" si="9"/>
        <v/>
      </c>
      <c r="L49" t="str">
        <f t="shared" si="10"/>
        <v/>
      </c>
      <c r="M49" t="str">
        <f t="shared" si="11"/>
        <v/>
      </c>
      <c r="T49" t="s">
        <v>259</v>
      </c>
    </row>
    <row r="50" spans="1:20" ht="15" thickBot="1" x14ac:dyDescent="0.35">
      <c r="A50" s="4" t="s">
        <v>165</v>
      </c>
      <c r="B50" s="22" t="s">
        <v>79</v>
      </c>
      <c r="C50" s="22" t="s">
        <v>79</v>
      </c>
      <c r="D50" s="22" t="s">
        <v>79</v>
      </c>
      <c r="E50" s="22" t="s">
        <v>79</v>
      </c>
      <c r="F50" s="22" t="s">
        <v>79</v>
      </c>
      <c r="G50" s="23"/>
      <c r="H50" t="str">
        <f t="shared" si="1"/>
        <v>Q12</v>
      </c>
      <c r="I50" t="str">
        <f t="shared" si="7"/>
        <v/>
      </c>
      <c r="J50" t="str">
        <f t="shared" si="8"/>
        <v/>
      </c>
      <c r="K50" t="str">
        <f t="shared" si="9"/>
        <v/>
      </c>
      <c r="L50" t="str">
        <f t="shared" si="10"/>
        <v/>
      </c>
      <c r="M50" t="str">
        <f t="shared" si="11"/>
        <v/>
      </c>
      <c r="T50" t="s">
        <v>233</v>
      </c>
    </row>
    <row r="51" spans="1:20" ht="15" thickBot="1" x14ac:dyDescent="0.35">
      <c r="A51" s="4" t="s">
        <v>166</v>
      </c>
      <c r="B51" s="22" t="s">
        <v>79</v>
      </c>
      <c r="C51" s="22" t="s">
        <v>79</v>
      </c>
      <c r="D51" s="22" t="s">
        <v>79</v>
      </c>
      <c r="E51" s="22">
        <v>0.14000000000000001</v>
      </c>
      <c r="F51" s="22">
        <v>-0.12</v>
      </c>
      <c r="G51" s="23"/>
      <c r="H51" t="str">
        <f t="shared" si="1"/>
        <v>Q13</v>
      </c>
      <c r="I51" t="str">
        <f t="shared" si="7"/>
        <v/>
      </c>
      <c r="J51" t="str">
        <f t="shared" si="8"/>
        <v/>
      </c>
      <c r="K51" t="str">
        <f t="shared" si="9"/>
        <v/>
      </c>
      <c r="L51">
        <f t="shared" si="10"/>
        <v>0.14000000000000001</v>
      </c>
      <c r="M51">
        <f t="shared" si="11"/>
        <v>-0.12</v>
      </c>
      <c r="T51" t="s">
        <v>222</v>
      </c>
    </row>
    <row r="52" spans="1:20" ht="15" thickBot="1" x14ac:dyDescent="0.35">
      <c r="A52" s="4" t="s">
        <v>167</v>
      </c>
      <c r="B52" s="22" t="s">
        <v>79</v>
      </c>
      <c r="C52" s="22" t="s">
        <v>79</v>
      </c>
      <c r="D52" s="22" t="s">
        <v>79</v>
      </c>
      <c r="E52" s="22">
        <v>-0.22</v>
      </c>
      <c r="F52" s="22">
        <v>0.15</v>
      </c>
      <c r="G52" s="23"/>
      <c r="H52" t="str">
        <f t="shared" si="1"/>
        <v>Q14</v>
      </c>
      <c r="I52" t="str">
        <f t="shared" si="7"/>
        <v/>
      </c>
      <c r="J52" t="str">
        <f t="shared" si="8"/>
        <v/>
      </c>
      <c r="K52" t="str">
        <f t="shared" si="9"/>
        <v/>
      </c>
      <c r="L52">
        <f t="shared" si="10"/>
        <v>-0.22</v>
      </c>
      <c r="M52">
        <f t="shared" si="11"/>
        <v>0.15</v>
      </c>
      <c r="T52" t="s">
        <v>223</v>
      </c>
    </row>
    <row r="53" spans="1:20" ht="15" thickBot="1" x14ac:dyDescent="0.35">
      <c r="A53" s="4" t="s">
        <v>168</v>
      </c>
      <c r="B53" s="22" t="s">
        <v>79</v>
      </c>
      <c r="C53" s="22" t="s">
        <v>79</v>
      </c>
      <c r="D53" s="22" t="s">
        <v>79</v>
      </c>
      <c r="E53" s="22">
        <v>-0.3</v>
      </c>
      <c r="F53" s="22">
        <v>0.16</v>
      </c>
      <c r="G53" s="23"/>
      <c r="H53" t="str">
        <f t="shared" si="1"/>
        <v>Q15</v>
      </c>
      <c r="I53" t="str">
        <f t="shared" si="7"/>
        <v/>
      </c>
      <c r="J53" t="str">
        <f t="shared" si="8"/>
        <v/>
      </c>
      <c r="K53" t="str">
        <f t="shared" si="9"/>
        <v/>
      </c>
      <c r="L53">
        <f t="shared" si="10"/>
        <v>-0.3</v>
      </c>
      <c r="M53">
        <f t="shared" si="11"/>
        <v>0.16</v>
      </c>
      <c r="T53" t="s">
        <v>224</v>
      </c>
    </row>
    <row r="54" spans="1:20" ht="15" thickBot="1" x14ac:dyDescent="0.35">
      <c r="A54" s="4" t="s">
        <v>169</v>
      </c>
      <c r="B54" s="22" t="s">
        <v>79</v>
      </c>
      <c r="C54" s="22" t="s">
        <v>79</v>
      </c>
      <c r="D54" s="22" t="s">
        <v>79</v>
      </c>
      <c r="E54" s="22">
        <v>-0.13</v>
      </c>
      <c r="F54" s="22" t="s">
        <v>79</v>
      </c>
      <c r="G54" s="23"/>
      <c r="H54" t="str">
        <f t="shared" si="1"/>
        <v>Q16</v>
      </c>
      <c r="I54" t="str">
        <f t="shared" si="7"/>
        <v/>
      </c>
      <c r="J54" t="str">
        <f t="shared" si="8"/>
        <v/>
      </c>
      <c r="K54" t="str">
        <f t="shared" si="9"/>
        <v/>
      </c>
      <c r="L54">
        <f t="shared" si="10"/>
        <v>-0.13</v>
      </c>
      <c r="M54" t="str">
        <f t="shared" si="11"/>
        <v/>
      </c>
    </row>
    <row r="55" spans="1:20" ht="15" thickBot="1" x14ac:dyDescent="0.35">
      <c r="A55" s="4" t="s">
        <v>170</v>
      </c>
      <c r="B55" s="22" t="s">
        <v>79</v>
      </c>
      <c r="C55" s="22" t="s">
        <v>79</v>
      </c>
      <c r="D55" s="22" t="s">
        <v>79</v>
      </c>
      <c r="E55" s="22">
        <v>0.12</v>
      </c>
      <c r="F55" s="22" t="s">
        <v>79</v>
      </c>
      <c r="G55" s="23"/>
      <c r="H55" t="str">
        <f t="shared" si="1"/>
        <v>Q16.1</v>
      </c>
      <c r="I55" t="str">
        <f t="shared" si="7"/>
        <v/>
      </c>
      <c r="J55" t="str">
        <f t="shared" si="8"/>
        <v/>
      </c>
      <c r="K55" t="str">
        <f t="shared" si="9"/>
        <v/>
      </c>
      <c r="L55">
        <f t="shared" si="10"/>
        <v>0.12</v>
      </c>
      <c r="M55" t="str">
        <f t="shared" si="11"/>
        <v/>
      </c>
      <c r="T55" t="s">
        <v>260</v>
      </c>
    </row>
    <row r="56" spans="1:20" ht="15" thickBot="1" x14ac:dyDescent="0.35">
      <c r="A56" s="4" t="s">
        <v>171</v>
      </c>
      <c r="B56" s="22" t="s">
        <v>79</v>
      </c>
      <c r="C56" s="22" t="s">
        <v>79</v>
      </c>
      <c r="D56" s="22" t="s">
        <v>79</v>
      </c>
      <c r="E56" s="22">
        <v>0.17</v>
      </c>
      <c r="F56" s="22" t="s">
        <v>79</v>
      </c>
      <c r="G56" s="23"/>
      <c r="H56" t="str">
        <f t="shared" si="1"/>
        <v>Q16.2</v>
      </c>
      <c r="I56" t="str">
        <f t="shared" si="7"/>
        <v/>
      </c>
      <c r="J56" t="str">
        <f t="shared" si="8"/>
        <v/>
      </c>
      <c r="K56" t="str">
        <f t="shared" si="9"/>
        <v/>
      </c>
      <c r="L56">
        <f t="shared" si="10"/>
        <v>0.17</v>
      </c>
      <c r="M56" t="str">
        <f t="shared" si="11"/>
        <v/>
      </c>
      <c r="T56" t="s">
        <v>225</v>
      </c>
    </row>
    <row r="57" spans="1:20" ht="15" thickBot="1" x14ac:dyDescent="0.35">
      <c r="A57" s="4" t="s">
        <v>172</v>
      </c>
      <c r="B57" s="22" t="s">
        <v>79</v>
      </c>
      <c r="C57" s="22" t="s">
        <v>79</v>
      </c>
      <c r="D57" s="22" t="s">
        <v>79</v>
      </c>
      <c r="E57" s="22">
        <v>0.15</v>
      </c>
      <c r="F57" s="22" t="s">
        <v>79</v>
      </c>
      <c r="G57" s="23"/>
      <c r="H57" t="str">
        <f t="shared" si="1"/>
        <v>Q16.3</v>
      </c>
      <c r="I57" t="str">
        <f t="shared" si="7"/>
        <v/>
      </c>
      <c r="J57" t="str">
        <f t="shared" si="8"/>
        <v/>
      </c>
      <c r="K57" t="str">
        <f t="shared" si="9"/>
        <v/>
      </c>
      <c r="L57">
        <f t="shared" si="10"/>
        <v>0.15</v>
      </c>
      <c r="M57" t="str">
        <f t="shared" si="11"/>
        <v/>
      </c>
    </row>
    <row r="58" spans="1:20" ht="15" thickBot="1" x14ac:dyDescent="0.35">
      <c r="A58" s="4" t="s">
        <v>173</v>
      </c>
      <c r="B58" s="22" t="s">
        <v>79</v>
      </c>
      <c r="C58" s="22" t="s">
        <v>79</v>
      </c>
      <c r="D58" s="22" t="s">
        <v>79</v>
      </c>
      <c r="E58" s="22">
        <v>0.12</v>
      </c>
      <c r="F58" s="22" t="s">
        <v>79</v>
      </c>
      <c r="G58" s="23"/>
      <c r="H58" t="str">
        <f t="shared" si="1"/>
        <v>Q16.4</v>
      </c>
      <c r="I58" t="str">
        <f t="shared" si="7"/>
        <v/>
      </c>
      <c r="J58" t="str">
        <f t="shared" si="8"/>
        <v/>
      </c>
      <c r="K58" t="str">
        <f t="shared" si="9"/>
        <v/>
      </c>
      <c r="L58">
        <f t="shared" si="10"/>
        <v>0.12</v>
      </c>
      <c r="M58" t="str">
        <f t="shared" si="11"/>
        <v/>
      </c>
    </row>
    <row r="59" spans="1:20" ht="15" thickBot="1" x14ac:dyDescent="0.35">
      <c r="A59" s="4" t="s">
        <v>174</v>
      </c>
      <c r="B59" s="22" t="s">
        <v>79</v>
      </c>
      <c r="C59" s="22" t="s">
        <v>79</v>
      </c>
      <c r="D59" s="22" t="s">
        <v>79</v>
      </c>
      <c r="E59" s="22">
        <v>0.13</v>
      </c>
      <c r="F59" s="22" t="s">
        <v>79</v>
      </c>
      <c r="G59" s="23"/>
      <c r="H59" t="str">
        <f t="shared" si="1"/>
        <v>Q16.5</v>
      </c>
      <c r="I59" t="str">
        <f t="shared" si="7"/>
        <v/>
      </c>
      <c r="J59" t="str">
        <f t="shared" si="8"/>
        <v/>
      </c>
      <c r="K59" t="str">
        <f t="shared" si="9"/>
        <v/>
      </c>
      <c r="L59">
        <f t="shared" si="10"/>
        <v>0.13</v>
      </c>
      <c r="M59" t="str">
        <f t="shared" si="11"/>
        <v/>
      </c>
    </row>
    <row r="60" spans="1:20" ht="15" thickBot="1" x14ac:dyDescent="0.35">
      <c r="A60" s="4" t="s">
        <v>175</v>
      </c>
      <c r="B60" s="22" t="s">
        <v>79</v>
      </c>
      <c r="C60" s="22" t="s">
        <v>79</v>
      </c>
      <c r="D60" s="22" t="s">
        <v>79</v>
      </c>
      <c r="E60" s="22">
        <v>0.13</v>
      </c>
      <c r="F60" s="22" t="s">
        <v>79</v>
      </c>
      <c r="G60" s="23"/>
      <c r="H60" t="str">
        <f t="shared" si="1"/>
        <v>Q16.6</v>
      </c>
      <c r="I60" t="str">
        <f t="shared" si="7"/>
        <v/>
      </c>
      <c r="J60" t="str">
        <f t="shared" si="8"/>
        <v/>
      </c>
      <c r="K60" t="str">
        <f t="shared" si="9"/>
        <v/>
      </c>
      <c r="L60">
        <f t="shared" si="10"/>
        <v>0.13</v>
      </c>
      <c r="M60" t="str">
        <f t="shared" si="11"/>
        <v/>
      </c>
    </row>
    <row r="61" spans="1:20" ht="15" thickBot="1" x14ac:dyDescent="0.35">
      <c r="A61" s="4" t="s">
        <v>176</v>
      </c>
      <c r="B61" s="22" t="s">
        <v>79</v>
      </c>
      <c r="C61" s="22" t="s">
        <v>79</v>
      </c>
      <c r="D61" s="22" t="s">
        <v>79</v>
      </c>
      <c r="E61" s="22">
        <v>0.13</v>
      </c>
      <c r="F61" s="22" t="s">
        <v>79</v>
      </c>
      <c r="G61" s="23"/>
      <c r="H61" t="str">
        <f t="shared" si="1"/>
        <v>Q16.7</v>
      </c>
      <c r="I61" t="str">
        <f t="shared" si="7"/>
        <v/>
      </c>
      <c r="J61" t="str">
        <f t="shared" si="8"/>
        <v/>
      </c>
      <c r="K61" t="str">
        <f t="shared" si="9"/>
        <v/>
      </c>
      <c r="L61">
        <f t="shared" si="10"/>
        <v>0.13</v>
      </c>
      <c r="M61" t="str">
        <f t="shared" si="11"/>
        <v/>
      </c>
    </row>
    <row r="62" spans="1:20" ht="15" thickBot="1" x14ac:dyDescent="0.35">
      <c r="A62" s="4" t="s">
        <v>177</v>
      </c>
      <c r="B62" s="22" t="s">
        <v>79</v>
      </c>
      <c r="C62" s="22" t="s">
        <v>79</v>
      </c>
      <c r="D62" s="22" t="s">
        <v>79</v>
      </c>
      <c r="E62" s="22">
        <v>0.11</v>
      </c>
      <c r="F62" s="22" t="s">
        <v>79</v>
      </c>
      <c r="G62" s="23"/>
      <c r="H62" t="str">
        <f t="shared" si="1"/>
        <v>Q16.8</v>
      </c>
      <c r="I62" t="str">
        <f t="shared" si="7"/>
        <v/>
      </c>
      <c r="J62" t="str">
        <f t="shared" si="8"/>
        <v/>
      </c>
      <c r="K62" t="str">
        <f t="shared" si="9"/>
        <v/>
      </c>
      <c r="L62">
        <f t="shared" si="10"/>
        <v>0.11</v>
      </c>
      <c r="M62" t="str">
        <f t="shared" si="11"/>
        <v/>
      </c>
    </row>
    <row r="63" spans="1:20" ht="15" thickBot="1" x14ac:dyDescent="0.35">
      <c r="A63" s="4" t="s">
        <v>178</v>
      </c>
      <c r="B63" s="22" t="s">
        <v>79</v>
      </c>
      <c r="C63" s="22" t="s">
        <v>79</v>
      </c>
      <c r="D63" s="22" t="s">
        <v>79</v>
      </c>
      <c r="E63" s="22">
        <v>0.11</v>
      </c>
      <c r="F63" s="22" t="s">
        <v>79</v>
      </c>
      <c r="G63" s="23"/>
      <c r="H63" t="str">
        <f t="shared" si="1"/>
        <v>Q16.9</v>
      </c>
      <c r="I63" t="str">
        <f t="shared" si="7"/>
        <v/>
      </c>
      <c r="J63" t="str">
        <f t="shared" si="8"/>
        <v/>
      </c>
      <c r="K63" t="str">
        <f t="shared" si="9"/>
        <v/>
      </c>
      <c r="L63">
        <f t="shared" si="10"/>
        <v>0.11</v>
      </c>
      <c r="M63" t="str">
        <f t="shared" si="11"/>
        <v/>
      </c>
    </row>
    <row r="64" spans="1:20" ht="15" thickBot="1" x14ac:dyDescent="0.35">
      <c r="A64" s="4" t="s">
        <v>179</v>
      </c>
      <c r="B64" s="22" t="s">
        <v>79</v>
      </c>
      <c r="C64" s="22" t="s">
        <v>79</v>
      </c>
      <c r="D64" s="22" t="s">
        <v>79</v>
      </c>
      <c r="E64" s="22" t="s">
        <v>79</v>
      </c>
      <c r="F64" s="22" t="s">
        <v>79</v>
      </c>
      <c r="G64" s="23"/>
      <c r="H64" t="str">
        <f t="shared" si="1"/>
        <v>Q16.10</v>
      </c>
      <c r="I64" t="str">
        <f t="shared" si="7"/>
        <v/>
      </c>
      <c r="J64" t="str">
        <f t="shared" si="8"/>
        <v/>
      </c>
      <c r="K64" t="str">
        <f t="shared" si="9"/>
        <v/>
      </c>
      <c r="L64" t="str">
        <f t="shared" si="10"/>
        <v/>
      </c>
      <c r="M64" t="str">
        <f t="shared" si="11"/>
        <v/>
      </c>
    </row>
    <row r="65" spans="1:20" ht="15" thickBot="1" x14ac:dyDescent="0.35">
      <c r="A65" s="4" t="s">
        <v>180</v>
      </c>
      <c r="B65" s="22" t="s">
        <v>79</v>
      </c>
      <c r="C65" s="22" t="s">
        <v>79</v>
      </c>
      <c r="D65" s="22" t="s">
        <v>79</v>
      </c>
      <c r="E65" s="22">
        <v>0.15</v>
      </c>
      <c r="F65" s="22" t="s">
        <v>79</v>
      </c>
      <c r="G65" s="23"/>
      <c r="H65" t="str">
        <f t="shared" si="1"/>
        <v>Q16.11</v>
      </c>
      <c r="I65" t="str">
        <f t="shared" si="7"/>
        <v/>
      </c>
      <c r="J65" t="str">
        <f t="shared" si="8"/>
        <v/>
      </c>
      <c r="K65" t="str">
        <f t="shared" si="9"/>
        <v/>
      </c>
      <c r="L65">
        <f t="shared" si="10"/>
        <v>0.15</v>
      </c>
      <c r="M65" t="str">
        <f t="shared" si="11"/>
        <v/>
      </c>
      <c r="T65" t="s">
        <v>253</v>
      </c>
    </row>
    <row r="66" spans="1:20" ht="15" thickBot="1" x14ac:dyDescent="0.35">
      <c r="A66" s="4" t="s">
        <v>181</v>
      </c>
      <c r="B66" s="22" t="s">
        <v>79</v>
      </c>
      <c r="C66" s="22" t="s">
        <v>79</v>
      </c>
      <c r="D66" s="22" t="s">
        <v>79</v>
      </c>
      <c r="E66" s="22" t="s">
        <v>79</v>
      </c>
      <c r="F66" s="22">
        <v>-0.11</v>
      </c>
      <c r="G66" s="23"/>
      <c r="H66" t="str">
        <f t="shared" si="1"/>
        <v>Q16.12</v>
      </c>
      <c r="I66" t="str">
        <f t="shared" si="7"/>
        <v/>
      </c>
      <c r="J66" t="str">
        <f t="shared" si="8"/>
        <v/>
      </c>
      <c r="K66" t="str">
        <f t="shared" si="9"/>
        <v/>
      </c>
      <c r="L66" t="str">
        <f t="shared" si="10"/>
        <v/>
      </c>
      <c r="M66">
        <f t="shared" si="11"/>
        <v>-0.11</v>
      </c>
      <c r="T66" t="s">
        <v>252</v>
      </c>
    </row>
    <row r="67" spans="1:20" ht="15" thickBot="1" x14ac:dyDescent="0.35">
      <c r="A67" s="4" t="s">
        <v>182</v>
      </c>
      <c r="B67" s="22" t="s">
        <v>79</v>
      </c>
      <c r="C67" s="22" t="s">
        <v>79</v>
      </c>
      <c r="D67" s="22" t="s">
        <v>79</v>
      </c>
      <c r="E67" s="22">
        <v>0.14000000000000001</v>
      </c>
      <c r="F67" s="22">
        <v>-0.11</v>
      </c>
      <c r="G67" s="23"/>
      <c r="H67" t="str">
        <f t="shared" si="1"/>
        <v>Q16.13</v>
      </c>
      <c r="I67" t="str">
        <f t="shared" si="7"/>
        <v/>
      </c>
      <c r="J67" t="str">
        <f t="shared" si="8"/>
        <v/>
      </c>
      <c r="K67" t="str">
        <f t="shared" si="9"/>
        <v/>
      </c>
      <c r="L67">
        <f t="shared" si="10"/>
        <v>0.14000000000000001</v>
      </c>
      <c r="M67">
        <f t="shared" si="11"/>
        <v>-0.11</v>
      </c>
      <c r="T67" t="s">
        <v>226</v>
      </c>
    </row>
    <row r="68" spans="1:20" ht="15" thickBot="1" x14ac:dyDescent="0.35">
      <c r="A68" s="4" t="s">
        <v>183</v>
      </c>
      <c r="B68" s="22" t="s">
        <v>79</v>
      </c>
      <c r="C68" s="22" t="s">
        <v>79</v>
      </c>
      <c r="D68" s="22" t="s">
        <v>79</v>
      </c>
      <c r="E68" s="22">
        <v>0.13</v>
      </c>
      <c r="F68" s="22" t="s">
        <v>79</v>
      </c>
      <c r="G68" s="23"/>
      <c r="H68" t="str">
        <f t="shared" ref="H68:H83" si="12">A68</f>
        <v>Q16.14</v>
      </c>
      <c r="I68" t="str">
        <f t="shared" ref="I68:I83" si="13">IF(ISNUMBER(B68),B68,"")</f>
        <v/>
      </c>
      <c r="J68" t="str">
        <f t="shared" ref="J68:J83" si="14">IF(ISNUMBER(C68),C68,"")</f>
        <v/>
      </c>
      <c r="K68" t="str">
        <f t="shared" ref="K68:K83" si="15">IF(ISNUMBER(D68),D68,"")</f>
        <v/>
      </c>
      <c r="L68">
        <f t="shared" ref="L68:L83" si="16">IF(ISNUMBER(E68),E68,"")</f>
        <v>0.13</v>
      </c>
      <c r="M68" t="str">
        <f t="shared" ref="M68:M83" si="17">IF(ISNUMBER(F68),F68,"")</f>
        <v/>
      </c>
      <c r="T68" t="s">
        <v>227</v>
      </c>
    </row>
    <row r="69" spans="1:20" ht="15" thickBot="1" x14ac:dyDescent="0.35">
      <c r="A69" s="4" t="s">
        <v>184</v>
      </c>
      <c r="B69" s="22" t="s">
        <v>79</v>
      </c>
      <c r="C69" s="22" t="s">
        <v>79</v>
      </c>
      <c r="D69" s="22" t="s">
        <v>79</v>
      </c>
      <c r="E69" s="22" t="s">
        <v>79</v>
      </c>
      <c r="F69" s="22" t="s">
        <v>79</v>
      </c>
      <c r="G69" s="23"/>
      <c r="H69" t="str">
        <f t="shared" si="12"/>
        <v>Q16.15</v>
      </c>
      <c r="I69" t="str">
        <f t="shared" si="13"/>
        <v/>
      </c>
      <c r="J69" t="str">
        <f t="shared" si="14"/>
        <v/>
      </c>
      <c r="K69" t="str">
        <f t="shared" si="15"/>
        <v/>
      </c>
      <c r="L69" t="str">
        <f t="shared" si="16"/>
        <v/>
      </c>
      <c r="M69" t="str">
        <f t="shared" si="17"/>
        <v/>
      </c>
    </row>
    <row r="70" spans="1:20" ht="15" thickBot="1" x14ac:dyDescent="0.35">
      <c r="A70" s="4" t="s">
        <v>185</v>
      </c>
      <c r="B70" s="22" t="s">
        <v>79</v>
      </c>
      <c r="C70" s="22" t="s">
        <v>79</v>
      </c>
      <c r="D70" s="22" t="s">
        <v>79</v>
      </c>
      <c r="E70" s="22">
        <v>0.14000000000000001</v>
      </c>
      <c r="F70" s="22" t="s">
        <v>79</v>
      </c>
      <c r="G70" s="23"/>
      <c r="H70" t="str">
        <f t="shared" si="12"/>
        <v>Q16.16</v>
      </c>
      <c r="I70" t="str">
        <f t="shared" si="13"/>
        <v/>
      </c>
      <c r="J70" t="str">
        <f t="shared" si="14"/>
        <v/>
      </c>
      <c r="K70" t="str">
        <f t="shared" si="15"/>
        <v/>
      </c>
      <c r="L70">
        <f t="shared" si="16"/>
        <v>0.14000000000000001</v>
      </c>
      <c r="M70" t="str">
        <f t="shared" si="17"/>
        <v/>
      </c>
      <c r="T70" t="s">
        <v>228</v>
      </c>
    </row>
    <row r="71" spans="1:20" ht="15" thickBot="1" x14ac:dyDescent="0.35">
      <c r="A71" s="4" t="s">
        <v>186</v>
      </c>
      <c r="B71" s="22" t="s">
        <v>79</v>
      </c>
      <c r="C71" s="22" t="s">
        <v>79</v>
      </c>
      <c r="D71" s="22" t="s">
        <v>79</v>
      </c>
      <c r="E71" s="22">
        <v>0.1</v>
      </c>
      <c r="F71" s="22" t="s">
        <v>79</v>
      </c>
      <c r="G71" s="23"/>
      <c r="H71" t="str">
        <f t="shared" si="12"/>
        <v>Q16.17</v>
      </c>
      <c r="I71" t="str">
        <f t="shared" si="13"/>
        <v/>
      </c>
      <c r="J71" t="str">
        <f t="shared" si="14"/>
        <v/>
      </c>
      <c r="K71" t="str">
        <f t="shared" si="15"/>
        <v/>
      </c>
      <c r="L71">
        <f t="shared" si="16"/>
        <v>0.1</v>
      </c>
      <c r="M71" t="str">
        <f t="shared" si="17"/>
        <v/>
      </c>
    </row>
    <row r="72" spans="1:20" ht="15" thickBot="1" x14ac:dyDescent="0.35">
      <c r="A72" s="4" t="s">
        <v>187</v>
      </c>
      <c r="B72" s="22" t="s">
        <v>79</v>
      </c>
      <c r="C72" s="22" t="s">
        <v>79</v>
      </c>
      <c r="D72" s="22" t="s">
        <v>79</v>
      </c>
      <c r="E72" s="22" t="s">
        <v>79</v>
      </c>
      <c r="F72" s="22" t="s">
        <v>79</v>
      </c>
      <c r="G72" s="23"/>
      <c r="H72" t="str">
        <f t="shared" si="12"/>
        <v>Q16.18</v>
      </c>
      <c r="I72" t="str">
        <f t="shared" si="13"/>
        <v/>
      </c>
      <c r="J72" t="str">
        <f t="shared" si="14"/>
        <v/>
      </c>
      <c r="K72" t="str">
        <f t="shared" si="15"/>
        <v/>
      </c>
      <c r="L72" t="str">
        <f t="shared" si="16"/>
        <v/>
      </c>
      <c r="M72" t="str">
        <f t="shared" si="17"/>
        <v/>
      </c>
    </row>
    <row r="73" spans="1:20" ht="15" thickBot="1" x14ac:dyDescent="0.35">
      <c r="A73" s="4" t="s">
        <v>188</v>
      </c>
      <c r="B73" s="22" t="s">
        <v>79</v>
      </c>
      <c r="C73" s="22" t="s">
        <v>79</v>
      </c>
      <c r="D73" s="22" t="s">
        <v>79</v>
      </c>
      <c r="E73" s="22" t="s">
        <v>79</v>
      </c>
      <c r="F73" s="22" t="s">
        <v>79</v>
      </c>
      <c r="G73" s="23"/>
      <c r="H73" t="str">
        <f t="shared" si="12"/>
        <v>Q16.19</v>
      </c>
      <c r="I73" t="str">
        <f t="shared" si="13"/>
        <v/>
      </c>
      <c r="J73" t="str">
        <f t="shared" si="14"/>
        <v/>
      </c>
      <c r="K73" t="str">
        <f t="shared" si="15"/>
        <v/>
      </c>
      <c r="L73" t="str">
        <f t="shared" si="16"/>
        <v/>
      </c>
      <c r="M73" t="str">
        <f t="shared" si="17"/>
        <v/>
      </c>
    </row>
    <row r="74" spans="1:20" ht="15" thickBot="1" x14ac:dyDescent="0.35">
      <c r="A74" s="4" t="s">
        <v>189</v>
      </c>
      <c r="B74" s="22" t="s">
        <v>79</v>
      </c>
      <c r="C74" s="22" t="s">
        <v>79</v>
      </c>
      <c r="D74" s="22" t="s">
        <v>79</v>
      </c>
      <c r="E74" s="22" t="s">
        <v>79</v>
      </c>
      <c r="F74" s="22" t="s">
        <v>79</v>
      </c>
      <c r="G74" s="23"/>
      <c r="H74" t="str">
        <f t="shared" si="12"/>
        <v>Q16.20</v>
      </c>
      <c r="I74" t="str">
        <f t="shared" si="13"/>
        <v/>
      </c>
      <c r="J74" t="str">
        <f t="shared" si="14"/>
        <v/>
      </c>
      <c r="K74" t="str">
        <f t="shared" si="15"/>
        <v/>
      </c>
      <c r="L74" t="str">
        <f t="shared" si="16"/>
        <v/>
      </c>
      <c r="M74" t="str">
        <f t="shared" si="17"/>
        <v/>
      </c>
    </row>
    <row r="75" spans="1:20" ht="15" thickBot="1" x14ac:dyDescent="0.35">
      <c r="A75" s="4" t="s">
        <v>190</v>
      </c>
      <c r="B75" s="22" t="s">
        <v>79</v>
      </c>
      <c r="C75" s="22" t="s">
        <v>79</v>
      </c>
      <c r="D75" s="22" t="s">
        <v>79</v>
      </c>
      <c r="E75" s="22">
        <v>0.1</v>
      </c>
      <c r="F75" s="22" t="s">
        <v>79</v>
      </c>
      <c r="G75" s="23"/>
      <c r="H75" t="str">
        <f t="shared" si="12"/>
        <v>Q16.21</v>
      </c>
      <c r="I75" t="str">
        <f t="shared" si="13"/>
        <v/>
      </c>
      <c r="J75" t="str">
        <f t="shared" si="14"/>
        <v/>
      </c>
      <c r="K75" t="str">
        <f t="shared" si="15"/>
        <v/>
      </c>
      <c r="L75">
        <f t="shared" si="16"/>
        <v>0.1</v>
      </c>
      <c r="M75" t="str">
        <f t="shared" si="17"/>
        <v/>
      </c>
    </row>
    <row r="76" spans="1:20" ht="15" thickBot="1" x14ac:dyDescent="0.35">
      <c r="A76" s="4" t="s">
        <v>191</v>
      </c>
      <c r="B76" s="22" t="s">
        <v>79</v>
      </c>
      <c r="C76" s="22" t="s">
        <v>79</v>
      </c>
      <c r="D76" s="22" t="s">
        <v>79</v>
      </c>
      <c r="E76" s="22" t="s">
        <v>79</v>
      </c>
      <c r="F76" s="22" t="s">
        <v>79</v>
      </c>
      <c r="G76" s="23"/>
      <c r="H76" t="str">
        <f t="shared" si="12"/>
        <v>Q16.22</v>
      </c>
      <c r="I76" t="str">
        <f t="shared" si="13"/>
        <v/>
      </c>
      <c r="J76" t="str">
        <f t="shared" si="14"/>
        <v/>
      </c>
      <c r="K76" t="str">
        <f t="shared" si="15"/>
        <v/>
      </c>
      <c r="L76" t="str">
        <f t="shared" si="16"/>
        <v/>
      </c>
      <c r="M76" t="str">
        <f t="shared" si="17"/>
        <v/>
      </c>
    </row>
    <row r="77" spans="1:20" ht="15" thickBot="1" x14ac:dyDescent="0.35">
      <c r="A77" s="4" t="s">
        <v>192</v>
      </c>
      <c r="B77" s="22" t="s">
        <v>79</v>
      </c>
      <c r="C77" s="22" t="s">
        <v>79</v>
      </c>
      <c r="D77" s="22" t="s">
        <v>79</v>
      </c>
      <c r="E77" s="22" t="s">
        <v>79</v>
      </c>
      <c r="F77" s="22" t="s">
        <v>79</v>
      </c>
      <c r="G77" s="23"/>
      <c r="H77" t="str">
        <f t="shared" si="12"/>
        <v>Q16.23</v>
      </c>
      <c r="I77" t="str">
        <f t="shared" si="13"/>
        <v/>
      </c>
      <c r="J77" t="str">
        <f t="shared" si="14"/>
        <v/>
      </c>
      <c r="K77" t="str">
        <f t="shared" si="15"/>
        <v/>
      </c>
      <c r="L77" t="str">
        <f t="shared" si="16"/>
        <v/>
      </c>
      <c r="M77" t="str">
        <f t="shared" si="17"/>
        <v/>
      </c>
    </row>
    <row r="78" spans="1:20" ht="15" thickBot="1" x14ac:dyDescent="0.35">
      <c r="A78" s="4" t="s">
        <v>193</v>
      </c>
      <c r="B78" s="22" t="s">
        <v>79</v>
      </c>
      <c r="C78" s="22" t="s">
        <v>79</v>
      </c>
      <c r="D78" s="22" t="s">
        <v>79</v>
      </c>
      <c r="E78" s="22">
        <v>0.18</v>
      </c>
      <c r="F78" s="22" t="s">
        <v>79</v>
      </c>
      <c r="G78" s="23"/>
      <c r="H78" t="str">
        <f t="shared" si="12"/>
        <v>Q16.24</v>
      </c>
      <c r="I78" t="str">
        <f t="shared" si="13"/>
        <v/>
      </c>
      <c r="J78" t="str">
        <f t="shared" si="14"/>
        <v/>
      </c>
      <c r="K78" t="str">
        <f t="shared" si="15"/>
        <v/>
      </c>
      <c r="L78">
        <f t="shared" si="16"/>
        <v>0.18</v>
      </c>
      <c r="M78" t="str">
        <f t="shared" si="17"/>
        <v/>
      </c>
      <c r="T78" t="s">
        <v>251</v>
      </c>
    </row>
    <row r="79" spans="1:20" ht="15" thickBot="1" x14ac:dyDescent="0.35">
      <c r="A79" s="4" t="s">
        <v>194</v>
      </c>
      <c r="B79" s="22" t="s">
        <v>79</v>
      </c>
      <c r="C79" s="22" t="s">
        <v>79</v>
      </c>
      <c r="D79" s="22" t="s">
        <v>79</v>
      </c>
      <c r="E79" s="22">
        <v>0.14000000000000001</v>
      </c>
      <c r="F79" s="22" t="s">
        <v>79</v>
      </c>
      <c r="G79" s="23"/>
      <c r="H79" t="str">
        <f t="shared" si="12"/>
        <v>Q16.25</v>
      </c>
      <c r="I79" t="str">
        <f t="shared" si="13"/>
        <v/>
      </c>
      <c r="J79" t="str">
        <f t="shared" si="14"/>
        <v/>
      </c>
      <c r="K79" t="str">
        <f t="shared" si="15"/>
        <v/>
      </c>
      <c r="L79">
        <f t="shared" si="16"/>
        <v>0.14000000000000001</v>
      </c>
      <c r="M79" t="str">
        <f t="shared" si="17"/>
        <v/>
      </c>
      <c r="T79" t="s">
        <v>229</v>
      </c>
    </row>
    <row r="80" spans="1:20" ht="15" thickBot="1" x14ac:dyDescent="0.35">
      <c r="A80" s="4" t="s">
        <v>195</v>
      </c>
      <c r="B80" s="22" t="s">
        <v>79</v>
      </c>
      <c r="C80" s="22" t="s">
        <v>79</v>
      </c>
      <c r="D80" s="22" t="s">
        <v>79</v>
      </c>
      <c r="E80" s="22">
        <v>0.1</v>
      </c>
      <c r="F80" s="22" t="s">
        <v>79</v>
      </c>
      <c r="G80" s="23"/>
      <c r="H80" t="str">
        <f t="shared" si="12"/>
        <v>Q16.26</v>
      </c>
      <c r="I80" t="str">
        <f t="shared" si="13"/>
        <v/>
      </c>
      <c r="J80" t="str">
        <f t="shared" si="14"/>
        <v/>
      </c>
      <c r="K80" t="str">
        <f t="shared" si="15"/>
        <v/>
      </c>
      <c r="L80">
        <f t="shared" si="16"/>
        <v>0.1</v>
      </c>
      <c r="M80" t="str">
        <f t="shared" si="17"/>
        <v/>
      </c>
      <c r="T80" t="s">
        <v>250</v>
      </c>
    </row>
    <row r="81" spans="1:20" ht="15" thickBot="1" x14ac:dyDescent="0.35">
      <c r="A81" s="4" t="s">
        <v>196</v>
      </c>
      <c r="B81" s="22" t="s">
        <v>79</v>
      </c>
      <c r="C81" s="22" t="s">
        <v>79</v>
      </c>
      <c r="D81" s="22" t="s">
        <v>79</v>
      </c>
      <c r="E81" s="22">
        <v>0.16</v>
      </c>
      <c r="F81" s="22">
        <v>-0.1</v>
      </c>
      <c r="G81" s="23"/>
      <c r="H81" t="str">
        <f t="shared" si="12"/>
        <v>Q16.27</v>
      </c>
      <c r="I81" t="str">
        <f t="shared" si="13"/>
        <v/>
      </c>
      <c r="J81" t="str">
        <f t="shared" si="14"/>
        <v/>
      </c>
      <c r="K81" t="str">
        <f t="shared" si="15"/>
        <v/>
      </c>
      <c r="L81">
        <f t="shared" si="16"/>
        <v>0.16</v>
      </c>
      <c r="M81">
        <f t="shared" si="17"/>
        <v>-0.1</v>
      </c>
      <c r="T81" t="s">
        <v>230</v>
      </c>
    </row>
    <row r="82" spans="1:20" ht="15" thickBot="1" x14ac:dyDescent="0.35">
      <c r="A82" s="4" t="s">
        <v>197</v>
      </c>
      <c r="B82" s="22">
        <v>-0.18</v>
      </c>
      <c r="C82" s="22">
        <v>0.35</v>
      </c>
      <c r="D82" s="22" t="s">
        <v>79</v>
      </c>
      <c r="E82" s="22">
        <v>0.28999999999999998</v>
      </c>
      <c r="F82" s="22">
        <v>-0.21</v>
      </c>
      <c r="G82" s="23"/>
      <c r="H82" t="str">
        <f t="shared" si="12"/>
        <v>Q17</v>
      </c>
      <c r="I82">
        <f t="shared" si="13"/>
        <v>-0.18</v>
      </c>
      <c r="J82">
        <f t="shared" si="14"/>
        <v>0.35</v>
      </c>
      <c r="K82" t="str">
        <f t="shared" si="15"/>
        <v/>
      </c>
      <c r="L82">
        <f t="shared" si="16"/>
        <v>0.28999999999999998</v>
      </c>
      <c r="M82">
        <f t="shared" si="17"/>
        <v>-0.21</v>
      </c>
      <c r="T82" t="s">
        <v>231</v>
      </c>
    </row>
    <row r="83" spans="1:20" ht="15" thickBot="1" x14ac:dyDescent="0.35">
      <c r="A83" s="4" t="s">
        <v>198</v>
      </c>
      <c r="B83" s="22" t="s">
        <v>79</v>
      </c>
      <c r="C83" s="22">
        <v>-0.1</v>
      </c>
      <c r="D83" s="22" t="s">
        <v>79</v>
      </c>
      <c r="E83" s="22">
        <v>-0.44</v>
      </c>
      <c r="F83" s="22" t="s">
        <v>79</v>
      </c>
      <c r="G83" s="23"/>
      <c r="H83" t="str">
        <f t="shared" si="12"/>
        <v>Q18</v>
      </c>
      <c r="I83" t="str">
        <f t="shared" si="13"/>
        <v/>
      </c>
      <c r="J83">
        <f t="shared" si="14"/>
        <v>-0.1</v>
      </c>
      <c r="K83" t="str">
        <f t="shared" si="15"/>
        <v/>
      </c>
      <c r="L83">
        <f t="shared" si="16"/>
        <v>-0.44</v>
      </c>
      <c r="M83" t="str">
        <f t="shared" si="17"/>
        <v/>
      </c>
      <c r="T83" t="s">
        <v>232</v>
      </c>
    </row>
  </sheetData>
  <conditionalFormatting sqref="I4:I83">
    <cfRule type="colorScale" priority="3">
      <colorScale>
        <cfvo type="min"/>
        <cfvo type="percentile" val="50"/>
        <cfvo type="max"/>
        <color rgb="FFF8696B"/>
        <color rgb="FFFFEB84"/>
        <color rgb="FF63BE7B"/>
      </colorScale>
    </cfRule>
  </conditionalFormatting>
  <conditionalFormatting sqref="N3:S83">
    <cfRule type="colorScale" priority="2">
      <colorScale>
        <cfvo type="min"/>
        <cfvo type="percentile" val="50"/>
        <cfvo type="max"/>
        <color rgb="FFF8696B"/>
        <color rgb="FFFFEB84"/>
        <color rgb="FF63BE7B"/>
      </colorScale>
    </cfRule>
  </conditionalFormatting>
  <conditionalFormatting sqref="J4:M83">
    <cfRule type="colorScale" priority="4">
      <colorScale>
        <cfvo type="min"/>
        <cfvo type="percentile" val="50"/>
        <cfvo type="max"/>
        <color rgb="FFF8696B"/>
        <color rgb="FFFFEB84"/>
        <color rgb="FF63BE7B"/>
      </colorScale>
    </cfRule>
  </conditionalFormatting>
  <conditionalFormatting sqref="I3:M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82AFD-313B-42A1-96CF-6C31B8059F36}">
  <dimension ref="A1:AE83"/>
  <sheetViews>
    <sheetView workbookViewId="0"/>
  </sheetViews>
  <sheetFormatPr defaultRowHeight="14.4" x14ac:dyDescent="0.3"/>
  <cols>
    <col min="1" max="1" width="17.33203125" bestFit="1" customWidth="1"/>
    <col min="10" max="13" width="8.88671875" customWidth="1"/>
    <col min="14" max="19" width="8.88671875" hidden="1" customWidth="1"/>
  </cols>
  <sheetData>
    <row r="1" spans="1:31" ht="21" x14ac:dyDescent="0.4">
      <c r="A1" s="25" t="s">
        <v>270</v>
      </c>
      <c r="B1" s="15" t="s">
        <v>205</v>
      </c>
      <c r="I1" s="15" t="s">
        <v>205</v>
      </c>
    </row>
    <row r="2" spans="1:31" x14ac:dyDescent="0.3">
      <c r="A2" t="s">
        <v>274</v>
      </c>
      <c r="B2" s="12" t="s">
        <v>199</v>
      </c>
      <c r="C2" s="12" t="s">
        <v>200</v>
      </c>
      <c r="D2" s="12" t="s">
        <v>201</v>
      </c>
      <c r="E2" s="12" t="s">
        <v>202</v>
      </c>
      <c r="F2" s="12" t="s">
        <v>203</v>
      </c>
      <c r="G2" s="12"/>
      <c r="I2" s="12" t="s">
        <v>272</v>
      </c>
      <c r="J2" s="12" t="s">
        <v>255</v>
      </c>
      <c r="K2" s="12" t="s">
        <v>141</v>
      </c>
      <c r="L2" s="12" t="s">
        <v>271</v>
      </c>
      <c r="M2" s="12" t="s">
        <v>273</v>
      </c>
      <c r="N2" s="12" t="str">
        <f>I2</f>
        <v>Beginner enthusiast</v>
      </c>
      <c r="O2" s="12" t="str">
        <f>J2</f>
        <v>Status guy</v>
      </c>
      <c r="P2" s="12" t="str">
        <f>K2</f>
        <v>Expert</v>
      </c>
      <c r="Q2" s="12" t="str">
        <f>L2</f>
        <v>Old grumpy experts</v>
      </c>
      <c r="R2" s="12" t="str">
        <f>M2</f>
        <v>Beginner unhappy</v>
      </c>
      <c r="S2" s="12" t="e">
        <f>#REF!</f>
        <v>#REF!</v>
      </c>
      <c r="AB2" s="12" t="s">
        <v>241</v>
      </c>
    </row>
    <row r="3" spans="1:31" ht="15" thickBot="1" x14ac:dyDescent="0.35">
      <c r="A3" s="4" t="s">
        <v>115</v>
      </c>
      <c r="B3" t="s">
        <v>79</v>
      </c>
      <c r="C3" t="s">
        <v>79</v>
      </c>
      <c r="D3" t="s">
        <v>79</v>
      </c>
      <c r="E3" t="s">
        <v>79</v>
      </c>
      <c r="F3" t="s">
        <v>79</v>
      </c>
      <c r="G3" s="23"/>
      <c r="H3" t="str">
        <f>A3</f>
        <v>Q1.1</v>
      </c>
      <c r="I3" t="str">
        <f t="shared" ref="I3:M3" si="0">IF(ISNUMBER(B3),B3,"")</f>
        <v/>
      </c>
      <c r="J3" t="str">
        <f t="shared" si="0"/>
        <v/>
      </c>
      <c r="K3" t="str">
        <f t="shared" si="0"/>
        <v/>
      </c>
      <c r="L3" t="str">
        <f t="shared" si="0"/>
        <v/>
      </c>
      <c r="M3" t="str">
        <f t="shared" si="0"/>
        <v/>
      </c>
      <c r="T3" t="s">
        <v>0</v>
      </c>
      <c r="AB3" t="s">
        <v>234</v>
      </c>
    </row>
    <row r="4" spans="1:31" ht="15" thickBot="1" x14ac:dyDescent="0.35">
      <c r="A4" s="4" t="s">
        <v>119</v>
      </c>
      <c r="B4" t="s">
        <v>79</v>
      </c>
      <c r="C4" t="s">
        <v>79</v>
      </c>
      <c r="D4" t="s">
        <v>79</v>
      </c>
      <c r="E4" t="s">
        <v>79</v>
      </c>
      <c r="F4" t="s">
        <v>79</v>
      </c>
      <c r="G4" s="23"/>
      <c r="H4" t="str">
        <f t="shared" ref="H4:H67" si="1">A4</f>
        <v>Q1.2</v>
      </c>
      <c r="I4" t="str">
        <f t="shared" ref="I4:I35" si="2">IF(ISNUMBER(B4),B4,"")</f>
        <v/>
      </c>
      <c r="J4" t="str">
        <f t="shared" ref="J4:J35" si="3">IF(ISNUMBER(C4),C4,"")</f>
        <v/>
      </c>
      <c r="K4" t="str">
        <f t="shared" ref="K4:K35" si="4">IF(ISNUMBER(D4),D4,"")</f>
        <v/>
      </c>
      <c r="L4" t="str">
        <f t="shared" ref="L4:L35" si="5">IF(ISNUMBER(E4),E4,"")</f>
        <v/>
      </c>
      <c r="M4" t="str">
        <f t="shared" ref="M4:M35" si="6">IF(ISNUMBER(F4),F4,"")</f>
        <v/>
      </c>
      <c r="T4" t="s">
        <v>1</v>
      </c>
      <c r="AB4" t="s">
        <v>235</v>
      </c>
    </row>
    <row r="5" spans="1:31" ht="15" thickBot="1" x14ac:dyDescent="0.35">
      <c r="A5" s="4" t="s">
        <v>96</v>
      </c>
      <c r="B5" t="s">
        <v>79</v>
      </c>
      <c r="C5">
        <v>0.22</v>
      </c>
      <c r="D5" t="s">
        <v>79</v>
      </c>
      <c r="E5">
        <v>-0.16</v>
      </c>
      <c r="F5">
        <v>-0.13</v>
      </c>
      <c r="G5" s="23"/>
      <c r="H5" t="str">
        <f t="shared" si="1"/>
        <v>Q1.3</v>
      </c>
      <c r="I5" t="str">
        <f t="shared" si="2"/>
        <v/>
      </c>
      <c r="J5">
        <f t="shared" si="3"/>
        <v>0.22</v>
      </c>
      <c r="K5" t="str">
        <f t="shared" si="4"/>
        <v/>
      </c>
      <c r="L5">
        <f t="shared" si="5"/>
        <v>-0.16</v>
      </c>
      <c r="M5">
        <f t="shared" si="6"/>
        <v>-0.13</v>
      </c>
      <c r="T5" t="s">
        <v>2</v>
      </c>
      <c r="AB5" t="s">
        <v>236</v>
      </c>
    </row>
    <row r="6" spans="1:31" ht="15" thickBot="1" x14ac:dyDescent="0.35">
      <c r="A6" s="4" t="s">
        <v>114</v>
      </c>
      <c r="B6" t="s">
        <v>79</v>
      </c>
      <c r="C6" t="s">
        <v>79</v>
      </c>
      <c r="D6" t="s">
        <v>79</v>
      </c>
      <c r="E6" t="s">
        <v>79</v>
      </c>
      <c r="F6" t="s">
        <v>79</v>
      </c>
      <c r="G6" s="23"/>
      <c r="H6" t="str">
        <f t="shared" si="1"/>
        <v>Q1.4</v>
      </c>
      <c r="I6" t="str">
        <f t="shared" si="2"/>
        <v/>
      </c>
      <c r="J6" t="str">
        <f t="shared" si="3"/>
        <v/>
      </c>
      <c r="K6" t="str">
        <f t="shared" si="4"/>
        <v/>
      </c>
      <c r="L6" t="str">
        <f t="shared" si="5"/>
        <v/>
      </c>
      <c r="M6" t="str">
        <f t="shared" si="6"/>
        <v/>
      </c>
      <c r="T6" t="s">
        <v>3</v>
      </c>
      <c r="AB6" t="s">
        <v>237</v>
      </c>
    </row>
    <row r="7" spans="1:31" ht="15" thickBot="1" x14ac:dyDescent="0.35">
      <c r="A7" s="4" t="s">
        <v>108</v>
      </c>
      <c r="B7" t="s">
        <v>79</v>
      </c>
      <c r="C7">
        <v>0.14000000000000001</v>
      </c>
      <c r="D7" t="s">
        <v>79</v>
      </c>
      <c r="E7">
        <v>-0.12</v>
      </c>
      <c r="F7" t="s">
        <v>79</v>
      </c>
      <c r="G7" s="23"/>
      <c r="H7" t="str">
        <f t="shared" si="1"/>
        <v>Q1.5</v>
      </c>
      <c r="I7" t="str">
        <f t="shared" si="2"/>
        <v/>
      </c>
      <c r="J7">
        <f t="shared" si="3"/>
        <v>0.14000000000000001</v>
      </c>
      <c r="K7" t="str">
        <f t="shared" si="4"/>
        <v/>
      </c>
      <c r="L7">
        <f t="shared" si="5"/>
        <v>-0.12</v>
      </c>
      <c r="M7" t="str">
        <f t="shared" si="6"/>
        <v/>
      </c>
      <c r="T7" t="s">
        <v>4</v>
      </c>
      <c r="AB7" t="s">
        <v>238</v>
      </c>
    </row>
    <row r="8" spans="1:31" ht="15" thickBot="1" x14ac:dyDescent="0.35">
      <c r="A8" s="4" t="s">
        <v>102</v>
      </c>
      <c r="B8" t="s">
        <v>79</v>
      </c>
      <c r="C8">
        <v>0.13</v>
      </c>
      <c r="D8" t="s">
        <v>79</v>
      </c>
      <c r="E8" t="s">
        <v>79</v>
      </c>
      <c r="F8">
        <v>-0.1</v>
      </c>
      <c r="G8" s="23"/>
      <c r="H8" t="str">
        <f t="shared" si="1"/>
        <v>Q1.6</v>
      </c>
      <c r="I8" t="str">
        <f t="shared" si="2"/>
        <v/>
      </c>
      <c r="J8">
        <f t="shared" si="3"/>
        <v>0.13</v>
      </c>
      <c r="K8" t="str">
        <f t="shared" si="4"/>
        <v/>
      </c>
      <c r="L8" t="str">
        <f t="shared" si="5"/>
        <v/>
      </c>
      <c r="M8">
        <f t="shared" si="6"/>
        <v>-0.1</v>
      </c>
      <c r="T8" t="s">
        <v>5</v>
      </c>
      <c r="AB8" t="s">
        <v>239</v>
      </c>
    </row>
    <row r="9" spans="1:31" ht="15" thickBot="1" x14ac:dyDescent="0.35">
      <c r="A9" s="4" t="s">
        <v>97</v>
      </c>
      <c r="B9" t="s">
        <v>79</v>
      </c>
      <c r="C9">
        <v>0.19</v>
      </c>
      <c r="D9" t="s">
        <v>79</v>
      </c>
      <c r="E9">
        <v>-0.12</v>
      </c>
      <c r="F9">
        <v>-0.1</v>
      </c>
      <c r="G9" s="23"/>
      <c r="H9" t="str">
        <f t="shared" si="1"/>
        <v>Q1.7</v>
      </c>
      <c r="I9" t="str">
        <f t="shared" si="2"/>
        <v/>
      </c>
      <c r="J9">
        <f t="shared" si="3"/>
        <v>0.19</v>
      </c>
      <c r="K9" t="str">
        <f t="shared" si="4"/>
        <v/>
      </c>
      <c r="L9">
        <f t="shared" si="5"/>
        <v>-0.12</v>
      </c>
      <c r="M9">
        <f t="shared" si="6"/>
        <v>-0.1</v>
      </c>
      <c r="T9" t="s">
        <v>6</v>
      </c>
      <c r="AB9" t="s">
        <v>240</v>
      </c>
    </row>
    <row r="10" spans="1:31" ht="15" thickBot="1" x14ac:dyDescent="0.35">
      <c r="A10" s="4" t="s">
        <v>118</v>
      </c>
      <c r="B10" t="s">
        <v>79</v>
      </c>
      <c r="C10" t="s">
        <v>79</v>
      </c>
      <c r="D10" t="s">
        <v>79</v>
      </c>
      <c r="E10" t="s">
        <v>79</v>
      </c>
      <c r="F10" t="s">
        <v>79</v>
      </c>
      <c r="G10" s="23"/>
      <c r="H10" t="str">
        <f t="shared" si="1"/>
        <v>Q1.8</v>
      </c>
      <c r="I10" t="str">
        <f t="shared" si="2"/>
        <v/>
      </c>
      <c r="J10" t="str">
        <f t="shared" si="3"/>
        <v/>
      </c>
      <c r="K10" t="str">
        <f t="shared" si="4"/>
        <v/>
      </c>
      <c r="L10" t="str">
        <f t="shared" si="5"/>
        <v/>
      </c>
      <c r="M10" t="str">
        <f t="shared" si="6"/>
        <v/>
      </c>
      <c r="T10" t="s">
        <v>7</v>
      </c>
    </row>
    <row r="11" spans="1:31" ht="15" thickBot="1" x14ac:dyDescent="0.35">
      <c r="A11" s="4" t="s">
        <v>104</v>
      </c>
      <c r="B11" t="s">
        <v>79</v>
      </c>
      <c r="C11">
        <v>0.24</v>
      </c>
      <c r="D11" t="s">
        <v>79</v>
      </c>
      <c r="E11">
        <v>-0.19</v>
      </c>
      <c r="F11">
        <v>-0.12</v>
      </c>
      <c r="G11" s="23"/>
      <c r="H11" t="str">
        <f t="shared" si="1"/>
        <v>Q1.9</v>
      </c>
      <c r="I11" t="str">
        <f t="shared" si="2"/>
        <v/>
      </c>
      <c r="J11">
        <f t="shared" si="3"/>
        <v>0.24</v>
      </c>
      <c r="K11" t="str">
        <f t="shared" si="4"/>
        <v/>
      </c>
      <c r="L11">
        <f t="shared" si="5"/>
        <v>-0.19</v>
      </c>
      <c r="M11">
        <f t="shared" si="6"/>
        <v>-0.12</v>
      </c>
      <c r="T11" t="s">
        <v>8</v>
      </c>
      <c r="AE11" s="12" t="s">
        <v>244</v>
      </c>
    </row>
    <row r="12" spans="1:31" ht="15" thickBot="1" x14ac:dyDescent="0.35">
      <c r="A12" s="4" t="s">
        <v>117</v>
      </c>
      <c r="B12">
        <v>0.12</v>
      </c>
      <c r="C12" t="s">
        <v>79</v>
      </c>
      <c r="D12" t="s">
        <v>79</v>
      </c>
      <c r="E12">
        <v>-0.15</v>
      </c>
      <c r="F12" t="s">
        <v>79</v>
      </c>
      <c r="G12" s="23"/>
      <c r="H12" t="str">
        <f t="shared" si="1"/>
        <v>Q1.10</v>
      </c>
      <c r="I12">
        <f t="shared" si="2"/>
        <v>0.12</v>
      </c>
      <c r="J12" t="str">
        <f t="shared" si="3"/>
        <v/>
      </c>
      <c r="K12" t="str">
        <f t="shared" si="4"/>
        <v/>
      </c>
      <c r="L12">
        <f t="shared" si="5"/>
        <v>-0.15</v>
      </c>
      <c r="M12" t="str">
        <f t="shared" si="6"/>
        <v/>
      </c>
      <c r="T12" t="s">
        <v>9</v>
      </c>
      <c r="AB12">
        <v>21</v>
      </c>
      <c r="AC12" s="24" t="s">
        <v>20</v>
      </c>
      <c r="AE12" t="s">
        <v>128</v>
      </c>
    </row>
    <row r="13" spans="1:31" ht="15" thickBot="1" x14ac:dyDescent="0.35">
      <c r="A13" s="4" t="s">
        <v>116</v>
      </c>
      <c r="B13">
        <v>-0.2</v>
      </c>
      <c r="C13">
        <v>0.18</v>
      </c>
      <c r="D13">
        <v>0.18</v>
      </c>
      <c r="E13">
        <v>0.17</v>
      </c>
      <c r="F13">
        <v>-0.48</v>
      </c>
      <c r="G13" s="23"/>
      <c r="H13" t="str">
        <f t="shared" si="1"/>
        <v>Q1.11</v>
      </c>
      <c r="I13">
        <f t="shared" si="2"/>
        <v>-0.2</v>
      </c>
      <c r="J13">
        <f t="shared" si="3"/>
        <v>0.18</v>
      </c>
      <c r="K13">
        <f t="shared" si="4"/>
        <v>0.18</v>
      </c>
      <c r="L13">
        <f t="shared" si="5"/>
        <v>0.17</v>
      </c>
      <c r="M13">
        <f t="shared" si="6"/>
        <v>-0.48</v>
      </c>
      <c r="T13" t="s">
        <v>10</v>
      </c>
      <c r="AB13">
        <v>9</v>
      </c>
      <c r="AC13" s="24" t="s">
        <v>8</v>
      </c>
      <c r="AE13" t="s">
        <v>242</v>
      </c>
    </row>
    <row r="14" spans="1:31" ht="15" thickBot="1" x14ac:dyDescent="0.35">
      <c r="A14" s="4" t="s">
        <v>120</v>
      </c>
      <c r="B14" t="s">
        <v>79</v>
      </c>
      <c r="C14" t="s">
        <v>79</v>
      </c>
      <c r="D14" t="s">
        <v>79</v>
      </c>
      <c r="E14" t="s">
        <v>79</v>
      </c>
      <c r="F14" t="s">
        <v>79</v>
      </c>
      <c r="G14" s="23"/>
      <c r="H14" t="str">
        <f t="shared" si="1"/>
        <v>Q1.12</v>
      </c>
      <c r="I14" t="str">
        <f t="shared" si="2"/>
        <v/>
      </c>
      <c r="J14" t="str">
        <f t="shared" si="3"/>
        <v/>
      </c>
      <c r="K14" t="str">
        <f t="shared" si="4"/>
        <v/>
      </c>
      <c r="L14" t="str">
        <f t="shared" si="5"/>
        <v/>
      </c>
      <c r="M14" t="str">
        <f t="shared" si="6"/>
        <v/>
      </c>
      <c r="T14" t="s">
        <v>11</v>
      </c>
      <c r="AB14">
        <v>27</v>
      </c>
      <c r="AC14" s="24" t="s">
        <v>26</v>
      </c>
      <c r="AE14" t="s">
        <v>129</v>
      </c>
    </row>
    <row r="15" spans="1:31" ht="15" thickBot="1" x14ac:dyDescent="0.35">
      <c r="A15" s="4" t="s">
        <v>100</v>
      </c>
      <c r="B15" t="s">
        <v>79</v>
      </c>
      <c r="C15">
        <v>0.23</v>
      </c>
      <c r="D15" t="s">
        <v>79</v>
      </c>
      <c r="E15">
        <v>-0.19</v>
      </c>
      <c r="F15">
        <v>-0.12</v>
      </c>
      <c r="G15" s="23"/>
      <c r="H15" t="str">
        <f t="shared" si="1"/>
        <v>Q1.13</v>
      </c>
      <c r="I15" t="str">
        <f t="shared" si="2"/>
        <v/>
      </c>
      <c r="J15">
        <f t="shared" si="3"/>
        <v>0.23</v>
      </c>
      <c r="K15" t="str">
        <f t="shared" si="4"/>
        <v/>
      </c>
      <c r="L15">
        <f t="shared" si="5"/>
        <v>-0.19</v>
      </c>
      <c r="M15">
        <f t="shared" si="6"/>
        <v>-0.12</v>
      </c>
      <c r="T15" t="s">
        <v>13</v>
      </c>
      <c r="AB15">
        <v>4</v>
      </c>
      <c r="AC15" s="24" t="s">
        <v>3</v>
      </c>
      <c r="AE15" t="s">
        <v>243</v>
      </c>
    </row>
    <row r="16" spans="1:31" ht="15" thickBot="1" x14ac:dyDescent="0.35">
      <c r="A16" s="4" t="s">
        <v>93</v>
      </c>
      <c r="B16" t="s">
        <v>79</v>
      </c>
      <c r="C16">
        <v>0.26</v>
      </c>
      <c r="D16" t="s">
        <v>79</v>
      </c>
      <c r="E16">
        <v>-0.21</v>
      </c>
      <c r="F16">
        <v>-0.14000000000000001</v>
      </c>
      <c r="G16" s="23"/>
      <c r="H16" t="str">
        <f t="shared" si="1"/>
        <v>Q1.14</v>
      </c>
      <c r="I16" t="str">
        <f t="shared" si="2"/>
        <v/>
      </c>
      <c r="J16">
        <f t="shared" si="3"/>
        <v>0.26</v>
      </c>
      <c r="K16" t="str">
        <f t="shared" si="4"/>
        <v/>
      </c>
      <c r="L16">
        <f t="shared" si="5"/>
        <v>-0.21</v>
      </c>
      <c r="M16">
        <f t="shared" si="6"/>
        <v>-0.14000000000000001</v>
      </c>
      <c r="T16" t="s">
        <v>12</v>
      </c>
      <c r="AB16">
        <v>8</v>
      </c>
      <c r="AC16" s="24" t="s">
        <v>7</v>
      </c>
      <c r="AD16" t="s">
        <v>11</v>
      </c>
      <c r="AE16" t="s">
        <v>89</v>
      </c>
    </row>
    <row r="17" spans="1:31" ht="15" thickBot="1" x14ac:dyDescent="0.35">
      <c r="A17" s="4" t="s">
        <v>98</v>
      </c>
      <c r="B17" t="s">
        <v>79</v>
      </c>
      <c r="C17">
        <v>0.17</v>
      </c>
      <c r="D17" t="s">
        <v>79</v>
      </c>
      <c r="E17">
        <v>-0.1</v>
      </c>
      <c r="F17">
        <v>-0.13</v>
      </c>
      <c r="G17" s="23"/>
      <c r="H17" t="str">
        <f t="shared" si="1"/>
        <v>Q1.15</v>
      </c>
      <c r="I17" t="str">
        <f t="shared" si="2"/>
        <v/>
      </c>
      <c r="J17">
        <f t="shared" si="3"/>
        <v>0.17</v>
      </c>
      <c r="K17" t="str">
        <f t="shared" si="4"/>
        <v/>
      </c>
      <c r="L17">
        <f t="shared" si="5"/>
        <v>-0.1</v>
      </c>
      <c r="M17">
        <f t="shared" si="6"/>
        <v>-0.13</v>
      </c>
      <c r="T17" t="s">
        <v>14</v>
      </c>
      <c r="AB17">
        <v>10</v>
      </c>
      <c r="AC17" s="24" t="s">
        <v>9</v>
      </c>
      <c r="AE17" t="s">
        <v>141</v>
      </c>
    </row>
    <row r="18" spans="1:31" ht="15" thickBot="1" x14ac:dyDescent="0.35">
      <c r="A18" s="4" t="s">
        <v>99</v>
      </c>
      <c r="B18" t="s">
        <v>79</v>
      </c>
      <c r="C18">
        <v>0.25</v>
      </c>
      <c r="D18" t="s">
        <v>79</v>
      </c>
      <c r="E18">
        <v>-0.1</v>
      </c>
      <c r="F18">
        <v>-0.23</v>
      </c>
      <c r="G18" s="23"/>
      <c r="H18" t="str">
        <f t="shared" si="1"/>
        <v>Q1.16</v>
      </c>
      <c r="I18" t="str">
        <f t="shared" si="2"/>
        <v/>
      </c>
      <c r="J18">
        <f t="shared" si="3"/>
        <v>0.25</v>
      </c>
      <c r="K18" t="str">
        <f t="shared" si="4"/>
        <v/>
      </c>
      <c r="L18">
        <f t="shared" si="5"/>
        <v>-0.1</v>
      </c>
      <c r="M18">
        <f t="shared" si="6"/>
        <v>-0.23</v>
      </c>
      <c r="T18" t="s">
        <v>15</v>
      </c>
      <c r="AB18">
        <v>1</v>
      </c>
      <c r="AC18" s="24" t="s">
        <v>0</v>
      </c>
      <c r="AE18" t="s">
        <v>132</v>
      </c>
    </row>
    <row r="19" spans="1:31" ht="15" thickBot="1" x14ac:dyDescent="0.35">
      <c r="A19" s="4" t="s">
        <v>105</v>
      </c>
      <c r="B19" t="s">
        <v>79</v>
      </c>
      <c r="C19">
        <v>0.21</v>
      </c>
      <c r="D19" t="s">
        <v>79</v>
      </c>
      <c r="E19" t="s">
        <v>79</v>
      </c>
      <c r="F19">
        <v>-0.21</v>
      </c>
      <c r="G19" s="23"/>
      <c r="H19" t="str">
        <f t="shared" si="1"/>
        <v>Q1.17</v>
      </c>
      <c r="I19" t="str">
        <f t="shared" si="2"/>
        <v/>
      </c>
      <c r="J19">
        <f t="shared" si="3"/>
        <v>0.21</v>
      </c>
      <c r="K19" t="str">
        <f t="shared" si="4"/>
        <v/>
      </c>
      <c r="L19" t="str">
        <f t="shared" si="5"/>
        <v/>
      </c>
      <c r="M19">
        <f t="shared" si="6"/>
        <v>-0.21</v>
      </c>
      <c r="T19" t="s">
        <v>16</v>
      </c>
    </row>
    <row r="20" spans="1:31" ht="15" thickBot="1" x14ac:dyDescent="0.35">
      <c r="A20" s="4" t="s">
        <v>109</v>
      </c>
      <c r="B20" t="s">
        <v>79</v>
      </c>
      <c r="C20">
        <v>0.12</v>
      </c>
      <c r="D20" t="s">
        <v>79</v>
      </c>
      <c r="E20" t="s">
        <v>79</v>
      </c>
      <c r="F20" t="s">
        <v>79</v>
      </c>
      <c r="G20" s="23"/>
      <c r="H20" t="str">
        <f t="shared" si="1"/>
        <v>Q1.18</v>
      </c>
      <c r="I20" t="str">
        <f t="shared" si="2"/>
        <v/>
      </c>
      <c r="J20">
        <f t="shared" si="3"/>
        <v>0.12</v>
      </c>
      <c r="K20" t="str">
        <f t="shared" si="4"/>
        <v/>
      </c>
      <c r="L20" t="str">
        <f t="shared" si="5"/>
        <v/>
      </c>
      <c r="M20" t="str">
        <f t="shared" si="6"/>
        <v/>
      </c>
      <c r="T20" t="s">
        <v>17</v>
      </c>
    </row>
    <row r="21" spans="1:31" ht="15" thickBot="1" x14ac:dyDescent="0.35">
      <c r="A21" s="4" t="s">
        <v>112</v>
      </c>
      <c r="B21" t="s">
        <v>79</v>
      </c>
      <c r="C21" t="s">
        <v>79</v>
      </c>
      <c r="D21" t="s">
        <v>79</v>
      </c>
      <c r="E21" t="s">
        <v>79</v>
      </c>
      <c r="F21" t="s">
        <v>79</v>
      </c>
      <c r="G21" s="23"/>
      <c r="H21" t="str">
        <f t="shared" si="1"/>
        <v>Q1.19</v>
      </c>
      <c r="I21" t="str">
        <f t="shared" si="2"/>
        <v/>
      </c>
      <c r="J21" t="str">
        <f t="shared" si="3"/>
        <v/>
      </c>
      <c r="K21" t="str">
        <f t="shared" si="4"/>
        <v/>
      </c>
      <c r="L21" t="str">
        <f t="shared" si="5"/>
        <v/>
      </c>
      <c r="M21" t="str">
        <f t="shared" si="6"/>
        <v/>
      </c>
      <c r="T21" t="s">
        <v>18</v>
      </c>
    </row>
    <row r="22" spans="1:31" ht="15" thickBot="1" x14ac:dyDescent="0.35">
      <c r="A22" s="4" t="s">
        <v>94</v>
      </c>
      <c r="B22" t="s">
        <v>79</v>
      </c>
      <c r="C22">
        <v>0.23</v>
      </c>
      <c r="D22" t="s">
        <v>79</v>
      </c>
      <c r="E22">
        <v>-0.11</v>
      </c>
      <c r="F22">
        <v>-0.2</v>
      </c>
      <c r="G22" s="23"/>
      <c r="H22" t="str">
        <f t="shared" si="1"/>
        <v>Q1.20</v>
      </c>
      <c r="I22" t="str">
        <f t="shared" si="2"/>
        <v/>
      </c>
      <c r="J22">
        <f t="shared" si="3"/>
        <v>0.23</v>
      </c>
      <c r="K22" t="str">
        <f t="shared" si="4"/>
        <v/>
      </c>
      <c r="L22">
        <f t="shared" si="5"/>
        <v>-0.11</v>
      </c>
      <c r="M22">
        <f t="shared" si="6"/>
        <v>-0.2</v>
      </c>
      <c r="T22" t="s">
        <v>19</v>
      </c>
    </row>
    <row r="23" spans="1:31" ht="15" thickBot="1" x14ac:dyDescent="0.35">
      <c r="A23" s="4" t="s">
        <v>111</v>
      </c>
      <c r="B23" t="s">
        <v>79</v>
      </c>
      <c r="C23" t="s">
        <v>79</v>
      </c>
      <c r="D23" t="s">
        <v>79</v>
      </c>
      <c r="E23" t="s">
        <v>79</v>
      </c>
      <c r="F23" t="s">
        <v>79</v>
      </c>
      <c r="G23" s="23"/>
      <c r="H23" t="str">
        <f t="shared" si="1"/>
        <v>Q1.21</v>
      </c>
      <c r="I23" t="str">
        <f t="shared" si="2"/>
        <v/>
      </c>
      <c r="J23" t="str">
        <f t="shared" si="3"/>
        <v/>
      </c>
      <c r="K23" t="str">
        <f t="shared" si="4"/>
        <v/>
      </c>
      <c r="L23" t="str">
        <f t="shared" si="5"/>
        <v/>
      </c>
      <c r="M23" t="str">
        <f t="shared" si="6"/>
        <v/>
      </c>
      <c r="T23" t="s">
        <v>20</v>
      </c>
    </row>
    <row r="24" spans="1:31" ht="15" thickBot="1" x14ac:dyDescent="0.35">
      <c r="A24" s="4" t="s">
        <v>106</v>
      </c>
      <c r="B24" t="s">
        <v>79</v>
      </c>
      <c r="C24">
        <v>0.11</v>
      </c>
      <c r="D24" t="s">
        <v>79</v>
      </c>
      <c r="E24" t="s">
        <v>79</v>
      </c>
      <c r="F24" t="s">
        <v>79</v>
      </c>
      <c r="G24" s="23"/>
      <c r="H24" t="str">
        <f t="shared" si="1"/>
        <v>Q1.22</v>
      </c>
      <c r="I24" t="str">
        <f t="shared" si="2"/>
        <v/>
      </c>
      <c r="J24">
        <f t="shared" si="3"/>
        <v>0.11</v>
      </c>
      <c r="K24" t="str">
        <f t="shared" si="4"/>
        <v/>
      </c>
      <c r="L24" t="str">
        <f t="shared" si="5"/>
        <v/>
      </c>
      <c r="M24" t="str">
        <f t="shared" si="6"/>
        <v/>
      </c>
      <c r="T24" t="s">
        <v>21</v>
      </c>
    </row>
    <row r="25" spans="1:31" ht="15" thickBot="1" x14ac:dyDescent="0.35">
      <c r="A25" s="4" t="s">
        <v>107</v>
      </c>
      <c r="B25" t="s">
        <v>79</v>
      </c>
      <c r="C25">
        <v>0.16</v>
      </c>
      <c r="D25" t="s">
        <v>79</v>
      </c>
      <c r="E25" t="s">
        <v>79</v>
      </c>
      <c r="F25">
        <v>-0.14000000000000001</v>
      </c>
      <c r="G25" s="23"/>
      <c r="H25" t="str">
        <f t="shared" si="1"/>
        <v>Q1.23</v>
      </c>
      <c r="I25" t="str">
        <f t="shared" si="2"/>
        <v/>
      </c>
      <c r="J25">
        <f t="shared" si="3"/>
        <v>0.16</v>
      </c>
      <c r="K25" t="str">
        <f t="shared" si="4"/>
        <v/>
      </c>
      <c r="L25" t="str">
        <f t="shared" si="5"/>
        <v/>
      </c>
      <c r="M25">
        <f t="shared" si="6"/>
        <v>-0.14000000000000001</v>
      </c>
      <c r="T25" t="s">
        <v>22</v>
      </c>
    </row>
    <row r="26" spans="1:31" ht="15" thickBot="1" x14ac:dyDescent="0.35">
      <c r="A26" s="4" t="s">
        <v>110</v>
      </c>
      <c r="B26" t="s">
        <v>79</v>
      </c>
      <c r="C26" t="s">
        <v>79</v>
      </c>
      <c r="D26" t="s">
        <v>79</v>
      </c>
      <c r="E26" t="s">
        <v>79</v>
      </c>
      <c r="F26" t="s">
        <v>79</v>
      </c>
      <c r="G26" s="23"/>
      <c r="H26" t="str">
        <f t="shared" si="1"/>
        <v>Q1.24</v>
      </c>
      <c r="I26" t="str">
        <f t="shared" si="2"/>
        <v/>
      </c>
      <c r="J26" t="str">
        <f t="shared" si="3"/>
        <v/>
      </c>
      <c r="K26" t="str">
        <f t="shared" si="4"/>
        <v/>
      </c>
      <c r="L26" t="str">
        <f t="shared" si="5"/>
        <v/>
      </c>
      <c r="M26" t="str">
        <f t="shared" si="6"/>
        <v/>
      </c>
      <c r="T26" t="s">
        <v>23</v>
      </c>
    </row>
    <row r="27" spans="1:31" ht="15" thickBot="1" x14ac:dyDescent="0.35">
      <c r="A27" s="4" t="s">
        <v>101</v>
      </c>
      <c r="B27" t="s">
        <v>79</v>
      </c>
      <c r="C27">
        <v>0.16</v>
      </c>
      <c r="D27" t="s">
        <v>79</v>
      </c>
      <c r="E27" t="s">
        <v>79</v>
      </c>
      <c r="F27">
        <v>-0.15</v>
      </c>
      <c r="G27" s="23"/>
      <c r="H27" t="str">
        <f t="shared" si="1"/>
        <v>Q1.25</v>
      </c>
      <c r="I27" t="str">
        <f t="shared" si="2"/>
        <v/>
      </c>
      <c r="J27">
        <f t="shared" si="3"/>
        <v>0.16</v>
      </c>
      <c r="K27" t="str">
        <f t="shared" si="4"/>
        <v/>
      </c>
      <c r="L27" t="str">
        <f t="shared" si="5"/>
        <v/>
      </c>
      <c r="M27">
        <f t="shared" si="6"/>
        <v>-0.15</v>
      </c>
      <c r="T27" t="s">
        <v>24</v>
      </c>
    </row>
    <row r="28" spans="1:31" ht="15" thickBot="1" x14ac:dyDescent="0.35">
      <c r="A28" s="4" t="s">
        <v>103</v>
      </c>
      <c r="B28" t="s">
        <v>79</v>
      </c>
      <c r="C28">
        <v>0.24</v>
      </c>
      <c r="D28" t="s">
        <v>79</v>
      </c>
      <c r="E28">
        <v>-0.18</v>
      </c>
      <c r="F28">
        <v>-0.13</v>
      </c>
      <c r="G28" s="23"/>
      <c r="H28" t="str">
        <f t="shared" si="1"/>
        <v>Q1.26</v>
      </c>
      <c r="I28" t="str">
        <f t="shared" si="2"/>
        <v/>
      </c>
      <c r="J28">
        <f t="shared" si="3"/>
        <v>0.24</v>
      </c>
      <c r="K28" t="str">
        <f t="shared" si="4"/>
        <v/>
      </c>
      <c r="L28">
        <f t="shared" si="5"/>
        <v>-0.18</v>
      </c>
      <c r="M28">
        <f t="shared" si="6"/>
        <v>-0.13</v>
      </c>
      <c r="T28" t="s">
        <v>25</v>
      </c>
    </row>
    <row r="29" spans="1:31" ht="15" thickBot="1" x14ac:dyDescent="0.35">
      <c r="A29" s="4" t="s">
        <v>95</v>
      </c>
      <c r="B29">
        <v>0.14000000000000001</v>
      </c>
      <c r="C29">
        <v>0.3</v>
      </c>
      <c r="D29" t="s">
        <v>79</v>
      </c>
      <c r="E29">
        <v>-0.17</v>
      </c>
      <c r="F29">
        <v>-0.21</v>
      </c>
      <c r="G29" s="23"/>
      <c r="H29" t="str">
        <f t="shared" si="1"/>
        <v>Q1.27</v>
      </c>
      <c r="I29">
        <f t="shared" si="2"/>
        <v>0.14000000000000001</v>
      </c>
      <c r="J29">
        <f t="shared" si="3"/>
        <v>0.3</v>
      </c>
      <c r="K29" t="str">
        <f t="shared" si="4"/>
        <v/>
      </c>
      <c r="L29">
        <f t="shared" si="5"/>
        <v>-0.17</v>
      </c>
      <c r="M29">
        <f t="shared" si="6"/>
        <v>-0.21</v>
      </c>
      <c r="T29" t="s">
        <v>26</v>
      </c>
    </row>
    <row r="30" spans="1:31" ht="15" thickBot="1" x14ac:dyDescent="0.35">
      <c r="A30" s="4" t="s">
        <v>92</v>
      </c>
      <c r="B30" t="s">
        <v>79</v>
      </c>
      <c r="C30">
        <v>0.23</v>
      </c>
      <c r="D30" t="s">
        <v>79</v>
      </c>
      <c r="E30">
        <v>-0.14000000000000001</v>
      </c>
      <c r="F30">
        <v>-0.16</v>
      </c>
      <c r="G30" s="23"/>
      <c r="H30" t="str">
        <f t="shared" si="1"/>
        <v>Q1.28</v>
      </c>
      <c r="I30" t="str">
        <f t="shared" si="2"/>
        <v/>
      </c>
      <c r="J30">
        <f t="shared" si="3"/>
        <v>0.23</v>
      </c>
      <c r="K30" t="str">
        <f t="shared" si="4"/>
        <v/>
      </c>
      <c r="L30">
        <f t="shared" si="5"/>
        <v>-0.14000000000000001</v>
      </c>
      <c r="M30">
        <f t="shared" si="6"/>
        <v>-0.16</v>
      </c>
      <c r="T30" t="s">
        <v>27</v>
      </c>
    </row>
    <row r="31" spans="1:31" ht="15" thickBot="1" x14ac:dyDescent="0.35">
      <c r="A31" s="4" t="s">
        <v>113</v>
      </c>
      <c r="B31" t="s">
        <v>79</v>
      </c>
      <c r="C31">
        <v>0.1</v>
      </c>
      <c r="D31" t="s">
        <v>79</v>
      </c>
      <c r="E31" t="s">
        <v>79</v>
      </c>
      <c r="F31" t="s">
        <v>79</v>
      </c>
      <c r="G31" s="23"/>
      <c r="H31" t="str">
        <f t="shared" si="1"/>
        <v>Q1.29</v>
      </c>
      <c r="I31" t="str">
        <f t="shared" si="2"/>
        <v/>
      </c>
      <c r="J31">
        <f t="shared" si="3"/>
        <v>0.1</v>
      </c>
      <c r="K31" t="str">
        <f t="shared" si="4"/>
        <v/>
      </c>
      <c r="L31" t="str">
        <f t="shared" si="5"/>
        <v/>
      </c>
      <c r="M31" t="str">
        <f t="shared" si="6"/>
        <v/>
      </c>
      <c r="T31" t="s">
        <v>28</v>
      </c>
    </row>
    <row r="32" spans="1:31" ht="15" thickBot="1" x14ac:dyDescent="0.35">
      <c r="A32" s="4" t="s">
        <v>147</v>
      </c>
      <c r="B32" t="s">
        <v>79</v>
      </c>
      <c r="C32">
        <v>0.1</v>
      </c>
      <c r="D32" t="s">
        <v>79</v>
      </c>
      <c r="E32" t="s">
        <v>79</v>
      </c>
      <c r="F32">
        <v>-0.12</v>
      </c>
      <c r="G32" s="23"/>
      <c r="H32" t="str">
        <f t="shared" si="1"/>
        <v>Q2</v>
      </c>
      <c r="I32" t="str">
        <f t="shared" si="2"/>
        <v/>
      </c>
      <c r="J32">
        <f t="shared" si="3"/>
        <v>0.1</v>
      </c>
      <c r="K32" t="str">
        <f t="shared" si="4"/>
        <v/>
      </c>
      <c r="L32" t="str">
        <f t="shared" si="5"/>
        <v/>
      </c>
      <c r="M32">
        <f t="shared" si="6"/>
        <v>-0.12</v>
      </c>
      <c r="T32" t="s">
        <v>206</v>
      </c>
    </row>
    <row r="33" spans="1:20" ht="15" thickBot="1" x14ac:dyDescent="0.35">
      <c r="A33" s="4" t="s">
        <v>148</v>
      </c>
      <c r="B33">
        <v>-0.1</v>
      </c>
      <c r="C33" t="s">
        <v>79</v>
      </c>
      <c r="D33" t="s">
        <v>79</v>
      </c>
      <c r="E33" t="s">
        <v>79</v>
      </c>
      <c r="F33">
        <v>-0.1</v>
      </c>
      <c r="G33" s="23"/>
      <c r="H33" t="str">
        <f t="shared" si="1"/>
        <v>Q2.Cluster</v>
      </c>
      <c r="I33">
        <f t="shared" si="2"/>
        <v>-0.1</v>
      </c>
      <c r="J33" t="str">
        <f t="shared" si="3"/>
        <v/>
      </c>
      <c r="K33" t="str">
        <f t="shared" si="4"/>
        <v/>
      </c>
      <c r="L33" t="str">
        <f t="shared" si="5"/>
        <v/>
      </c>
      <c r="M33">
        <f t="shared" si="6"/>
        <v>-0.1</v>
      </c>
      <c r="T33" t="s">
        <v>206</v>
      </c>
    </row>
    <row r="34" spans="1:20" ht="15" thickBot="1" x14ac:dyDescent="0.35">
      <c r="A34" s="4" t="s">
        <v>149</v>
      </c>
      <c r="B34" t="s">
        <v>79</v>
      </c>
      <c r="C34" t="s">
        <v>79</v>
      </c>
      <c r="D34" t="s">
        <v>79</v>
      </c>
      <c r="E34" t="s">
        <v>79</v>
      </c>
      <c r="F34" t="s">
        <v>79</v>
      </c>
      <c r="G34" s="23"/>
      <c r="H34" t="str">
        <f t="shared" si="1"/>
        <v>Q3</v>
      </c>
      <c r="I34" t="str">
        <f t="shared" si="2"/>
        <v/>
      </c>
      <c r="J34" t="str">
        <f t="shared" si="3"/>
        <v/>
      </c>
      <c r="K34" t="str">
        <f t="shared" si="4"/>
        <v/>
      </c>
      <c r="L34" t="str">
        <f t="shared" si="5"/>
        <v/>
      </c>
      <c r="M34" t="str">
        <f t="shared" si="6"/>
        <v/>
      </c>
      <c r="T34" t="s">
        <v>207</v>
      </c>
    </row>
    <row r="35" spans="1:20" ht="15" thickBot="1" x14ac:dyDescent="0.35">
      <c r="A35" s="4" t="s">
        <v>150</v>
      </c>
      <c r="B35" t="s">
        <v>79</v>
      </c>
      <c r="C35">
        <v>0.1</v>
      </c>
      <c r="D35" t="s">
        <v>79</v>
      </c>
      <c r="E35">
        <v>-0.12</v>
      </c>
      <c r="F35" t="s">
        <v>79</v>
      </c>
      <c r="G35" s="23"/>
      <c r="H35" t="str">
        <f t="shared" si="1"/>
        <v>Q4</v>
      </c>
      <c r="I35" t="str">
        <f t="shared" si="2"/>
        <v/>
      </c>
      <c r="J35">
        <f t="shared" si="3"/>
        <v>0.1</v>
      </c>
      <c r="K35" t="str">
        <f t="shared" si="4"/>
        <v/>
      </c>
      <c r="L35">
        <f t="shared" si="5"/>
        <v>-0.12</v>
      </c>
      <c r="M35" t="str">
        <f t="shared" si="6"/>
        <v/>
      </c>
      <c r="T35" t="s">
        <v>208</v>
      </c>
    </row>
    <row r="36" spans="1:20" ht="15" thickBot="1" x14ac:dyDescent="0.35">
      <c r="A36" s="4" t="s">
        <v>151</v>
      </c>
      <c r="B36" t="s">
        <v>79</v>
      </c>
      <c r="C36">
        <v>0.25</v>
      </c>
      <c r="D36" t="s">
        <v>79</v>
      </c>
      <c r="E36">
        <v>-0.16</v>
      </c>
      <c r="F36">
        <v>-0.13</v>
      </c>
      <c r="G36" s="23"/>
      <c r="H36" t="str">
        <f t="shared" si="1"/>
        <v>Q5</v>
      </c>
      <c r="I36" t="str">
        <f t="shared" ref="I36:I67" si="7">IF(ISNUMBER(B36),B36,"")</f>
        <v/>
      </c>
      <c r="J36">
        <f t="shared" ref="J36:J67" si="8">IF(ISNUMBER(C36),C36,"")</f>
        <v>0.25</v>
      </c>
      <c r="K36" t="str">
        <f t="shared" ref="K36:K67" si="9">IF(ISNUMBER(D36),D36,"")</f>
        <v/>
      </c>
      <c r="L36">
        <f t="shared" ref="L36:L67" si="10">IF(ISNUMBER(E36),E36,"")</f>
        <v>-0.16</v>
      </c>
      <c r="M36">
        <f t="shared" ref="M36:M67" si="11">IF(ISNUMBER(F36),F36,"")</f>
        <v>-0.13</v>
      </c>
      <c r="T36" t="s">
        <v>209</v>
      </c>
    </row>
    <row r="37" spans="1:20" ht="15" thickBot="1" x14ac:dyDescent="0.35">
      <c r="A37" s="4" t="s">
        <v>152</v>
      </c>
      <c r="B37" t="s">
        <v>79</v>
      </c>
      <c r="C37" t="s">
        <v>79</v>
      </c>
      <c r="D37" t="s">
        <v>79</v>
      </c>
      <c r="E37" t="s">
        <v>79</v>
      </c>
      <c r="F37" t="s">
        <v>79</v>
      </c>
      <c r="G37" s="23"/>
      <c r="H37" t="str">
        <f t="shared" si="1"/>
        <v>Q6</v>
      </c>
      <c r="I37" t="str">
        <f t="shared" si="7"/>
        <v/>
      </c>
      <c r="J37" t="str">
        <f t="shared" si="8"/>
        <v/>
      </c>
      <c r="K37" t="str">
        <f t="shared" si="9"/>
        <v/>
      </c>
      <c r="L37" t="str">
        <f t="shared" si="10"/>
        <v/>
      </c>
      <c r="M37" t="str">
        <f t="shared" si="11"/>
        <v/>
      </c>
      <c r="T37" t="s">
        <v>210</v>
      </c>
    </row>
    <row r="38" spans="1:20" ht="15" thickBot="1" x14ac:dyDescent="0.35">
      <c r="A38" s="4" t="s">
        <v>153</v>
      </c>
      <c r="B38" t="s">
        <v>79</v>
      </c>
      <c r="C38" t="s">
        <v>79</v>
      </c>
      <c r="D38" t="s">
        <v>79</v>
      </c>
      <c r="E38" t="s">
        <v>79</v>
      </c>
      <c r="F38">
        <v>-0.17</v>
      </c>
      <c r="G38" s="23"/>
      <c r="H38" t="str">
        <f t="shared" si="1"/>
        <v>Q7.1</v>
      </c>
      <c r="I38" t="str">
        <f t="shared" si="7"/>
        <v/>
      </c>
      <c r="J38" t="str">
        <f t="shared" si="8"/>
        <v/>
      </c>
      <c r="K38" t="str">
        <f t="shared" si="9"/>
        <v/>
      </c>
      <c r="L38" t="str">
        <f t="shared" si="10"/>
        <v/>
      </c>
      <c r="M38">
        <f t="shared" si="11"/>
        <v>-0.17</v>
      </c>
      <c r="T38" t="s">
        <v>211</v>
      </c>
    </row>
    <row r="39" spans="1:20" ht="15" thickBot="1" x14ac:dyDescent="0.35">
      <c r="A39" s="4" t="s">
        <v>154</v>
      </c>
      <c r="B39" t="s">
        <v>79</v>
      </c>
      <c r="C39" t="s">
        <v>79</v>
      </c>
      <c r="D39" t="s">
        <v>79</v>
      </c>
      <c r="E39" t="s">
        <v>79</v>
      </c>
      <c r="F39" t="s">
        <v>79</v>
      </c>
      <c r="G39" s="23"/>
      <c r="H39" t="str">
        <f t="shared" si="1"/>
        <v>Q7.2</v>
      </c>
      <c r="I39" t="str">
        <f t="shared" si="7"/>
        <v/>
      </c>
      <c r="J39" t="str">
        <f t="shared" si="8"/>
        <v/>
      </c>
      <c r="K39" t="str">
        <f t="shared" si="9"/>
        <v/>
      </c>
      <c r="L39" t="str">
        <f t="shared" si="10"/>
        <v/>
      </c>
      <c r="M39" t="str">
        <f t="shared" si="11"/>
        <v/>
      </c>
      <c r="T39" t="s">
        <v>212</v>
      </c>
    </row>
    <row r="40" spans="1:20" ht="15" thickBot="1" x14ac:dyDescent="0.35">
      <c r="A40" s="4" t="s">
        <v>155</v>
      </c>
      <c r="B40" t="s">
        <v>79</v>
      </c>
      <c r="C40" t="s">
        <v>79</v>
      </c>
      <c r="D40" t="s">
        <v>79</v>
      </c>
      <c r="E40" t="s">
        <v>79</v>
      </c>
      <c r="F40" t="s">
        <v>79</v>
      </c>
      <c r="G40" s="23"/>
      <c r="H40" t="str">
        <f t="shared" si="1"/>
        <v>Q7.3</v>
      </c>
      <c r="I40" t="str">
        <f t="shared" si="7"/>
        <v/>
      </c>
      <c r="J40" t="str">
        <f t="shared" si="8"/>
        <v/>
      </c>
      <c r="K40" t="str">
        <f t="shared" si="9"/>
        <v/>
      </c>
      <c r="L40" t="str">
        <f t="shared" si="10"/>
        <v/>
      </c>
      <c r="M40" t="str">
        <f t="shared" si="11"/>
        <v/>
      </c>
      <c r="T40" t="s">
        <v>213</v>
      </c>
    </row>
    <row r="41" spans="1:20" ht="15" thickBot="1" x14ac:dyDescent="0.35">
      <c r="A41" s="4" t="s">
        <v>156</v>
      </c>
      <c r="B41" t="s">
        <v>79</v>
      </c>
      <c r="C41" t="s">
        <v>79</v>
      </c>
      <c r="D41" t="s">
        <v>79</v>
      </c>
      <c r="E41" t="s">
        <v>79</v>
      </c>
      <c r="F41" t="s">
        <v>79</v>
      </c>
      <c r="G41" s="23"/>
      <c r="H41" t="str">
        <f t="shared" si="1"/>
        <v>Q7.4</v>
      </c>
      <c r="I41" t="str">
        <f t="shared" si="7"/>
        <v/>
      </c>
      <c r="J41" t="str">
        <f t="shared" si="8"/>
        <v/>
      </c>
      <c r="K41" t="str">
        <f t="shared" si="9"/>
        <v/>
      </c>
      <c r="L41" t="str">
        <f t="shared" si="10"/>
        <v/>
      </c>
      <c r="M41" t="str">
        <f t="shared" si="11"/>
        <v/>
      </c>
      <c r="T41" t="s">
        <v>214</v>
      </c>
    </row>
    <row r="42" spans="1:20" ht="15" thickBot="1" x14ac:dyDescent="0.35">
      <c r="A42" s="4" t="s">
        <v>157</v>
      </c>
      <c r="B42" t="s">
        <v>79</v>
      </c>
      <c r="C42">
        <v>0.1</v>
      </c>
      <c r="D42" t="s">
        <v>79</v>
      </c>
      <c r="E42" t="s">
        <v>79</v>
      </c>
      <c r="F42">
        <v>-0.14000000000000001</v>
      </c>
      <c r="G42" s="23"/>
      <c r="H42" t="str">
        <f t="shared" si="1"/>
        <v>Q8</v>
      </c>
      <c r="I42" t="str">
        <f t="shared" si="7"/>
        <v/>
      </c>
      <c r="J42">
        <f t="shared" si="8"/>
        <v>0.1</v>
      </c>
      <c r="K42" t="str">
        <f t="shared" si="9"/>
        <v/>
      </c>
      <c r="L42" t="str">
        <f t="shared" si="10"/>
        <v/>
      </c>
      <c r="M42">
        <f t="shared" si="11"/>
        <v>-0.14000000000000001</v>
      </c>
      <c r="T42" t="s">
        <v>215</v>
      </c>
    </row>
    <row r="43" spans="1:20" ht="15" thickBot="1" x14ac:dyDescent="0.35">
      <c r="A43" s="4" t="s">
        <v>158</v>
      </c>
      <c r="B43" t="s">
        <v>79</v>
      </c>
      <c r="C43" t="s">
        <v>79</v>
      </c>
      <c r="D43" t="s">
        <v>79</v>
      </c>
      <c r="E43" t="s">
        <v>79</v>
      </c>
      <c r="F43">
        <v>-0.1</v>
      </c>
      <c r="G43" s="23"/>
      <c r="H43" t="str">
        <f t="shared" si="1"/>
        <v>Q9.1</v>
      </c>
      <c r="I43" t="str">
        <f t="shared" si="7"/>
        <v/>
      </c>
      <c r="J43" t="str">
        <f t="shared" si="8"/>
        <v/>
      </c>
      <c r="K43" t="str">
        <f t="shared" si="9"/>
        <v/>
      </c>
      <c r="L43" t="str">
        <f t="shared" si="10"/>
        <v/>
      </c>
      <c r="M43">
        <f t="shared" si="11"/>
        <v>-0.1</v>
      </c>
      <c r="T43" t="s">
        <v>216</v>
      </c>
    </row>
    <row r="44" spans="1:20" ht="15" thickBot="1" x14ac:dyDescent="0.35">
      <c r="A44" s="4" t="s">
        <v>159</v>
      </c>
      <c r="B44" t="s">
        <v>79</v>
      </c>
      <c r="C44" t="s">
        <v>79</v>
      </c>
      <c r="D44" t="s">
        <v>79</v>
      </c>
      <c r="E44" t="s">
        <v>79</v>
      </c>
      <c r="F44" t="s">
        <v>79</v>
      </c>
      <c r="G44" s="23"/>
      <c r="H44" t="str">
        <f t="shared" si="1"/>
        <v>Q9.2</v>
      </c>
      <c r="I44" t="str">
        <f t="shared" si="7"/>
        <v/>
      </c>
      <c r="J44" t="str">
        <f t="shared" si="8"/>
        <v/>
      </c>
      <c r="K44" t="str">
        <f t="shared" si="9"/>
        <v/>
      </c>
      <c r="L44" t="str">
        <f t="shared" si="10"/>
        <v/>
      </c>
      <c r="M44" t="str">
        <f t="shared" si="11"/>
        <v/>
      </c>
      <c r="T44" t="s">
        <v>217</v>
      </c>
    </row>
    <row r="45" spans="1:20" ht="15" thickBot="1" x14ac:dyDescent="0.35">
      <c r="A45" s="4" t="s">
        <v>160</v>
      </c>
      <c r="B45" t="s">
        <v>79</v>
      </c>
      <c r="C45" t="s">
        <v>79</v>
      </c>
      <c r="D45" t="s">
        <v>79</v>
      </c>
      <c r="E45" t="s">
        <v>79</v>
      </c>
      <c r="F45" t="s">
        <v>79</v>
      </c>
      <c r="G45" s="23"/>
      <c r="H45" t="str">
        <f t="shared" si="1"/>
        <v>Q9.3</v>
      </c>
      <c r="I45" t="str">
        <f t="shared" si="7"/>
        <v/>
      </c>
      <c r="J45" t="str">
        <f t="shared" si="8"/>
        <v/>
      </c>
      <c r="K45" t="str">
        <f t="shared" si="9"/>
        <v/>
      </c>
      <c r="L45" t="str">
        <f t="shared" si="10"/>
        <v/>
      </c>
      <c r="M45" t="str">
        <f t="shared" si="11"/>
        <v/>
      </c>
      <c r="T45" t="s">
        <v>218</v>
      </c>
    </row>
    <row r="46" spans="1:20" ht="15" thickBot="1" x14ac:dyDescent="0.35">
      <c r="A46" s="4" t="s">
        <v>161</v>
      </c>
      <c r="B46" t="s">
        <v>79</v>
      </c>
      <c r="C46" t="s">
        <v>79</v>
      </c>
      <c r="D46" t="s">
        <v>79</v>
      </c>
      <c r="E46" t="s">
        <v>79</v>
      </c>
      <c r="F46" t="s">
        <v>79</v>
      </c>
      <c r="G46" s="23"/>
      <c r="H46" t="str">
        <f t="shared" si="1"/>
        <v>Q9.4</v>
      </c>
      <c r="I46" t="str">
        <f t="shared" si="7"/>
        <v/>
      </c>
      <c r="J46" t="str">
        <f t="shared" si="8"/>
        <v/>
      </c>
      <c r="K46" t="str">
        <f t="shared" si="9"/>
        <v/>
      </c>
      <c r="L46" t="str">
        <f t="shared" si="10"/>
        <v/>
      </c>
      <c r="M46" t="str">
        <f t="shared" si="11"/>
        <v/>
      </c>
      <c r="T46" t="s">
        <v>219</v>
      </c>
    </row>
    <row r="47" spans="1:20" ht="15" thickBot="1" x14ac:dyDescent="0.35">
      <c r="A47" s="4" t="s">
        <v>162</v>
      </c>
      <c r="B47" t="s">
        <v>79</v>
      </c>
      <c r="C47" t="s">
        <v>79</v>
      </c>
      <c r="D47" t="s">
        <v>79</v>
      </c>
      <c r="E47">
        <v>-0.1</v>
      </c>
      <c r="F47" t="s">
        <v>79</v>
      </c>
      <c r="G47" s="23"/>
      <c r="H47" t="str">
        <f t="shared" si="1"/>
        <v>Q9.5</v>
      </c>
      <c r="I47" t="str">
        <f t="shared" si="7"/>
        <v/>
      </c>
      <c r="J47" t="str">
        <f t="shared" si="8"/>
        <v/>
      </c>
      <c r="K47" t="str">
        <f t="shared" si="9"/>
        <v/>
      </c>
      <c r="L47">
        <f t="shared" si="10"/>
        <v>-0.1</v>
      </c>
      <c r="M47" t="str">
        <f t="shared" si="11"/>
        <v/>
      </c>
      <c r="T47" t="s">
        <v>220</v>
      </c>
    </row>
    <row r="48" spans="1:20" ht="15" thickBot="1" x14ac:dyDescent="0.35">
      <c r="A48" s="4" t="s">
        <v>163</v>
      </c>
      <c r="B48" t="s">
        <v>79</v>
      </c>
      <c r="C48">
        <v>0.11</v>
      </c>
      <c r="D48" t="s">
        <v>79</v>
      </c>
      <c r="E48" t="s">
        <v>79</v>
      </c>
      <c r="F48">
        <v>-0.1</v>
      </c>
      <c r="G48" s="23"/>
      <c r="H48" t="str">
        <f t="shared" si="1"/>
        <v>Q10</v>
      </c>
      <c r="I48" t="str">
        <f t="shared" si="7"/>
        <v/>
      </c>
      <c r="J48">
        <f t="shared" si="8"/>
        <v>0.11</v>
      </c>
      <c r="K48" t="str">
        <f t="shared" si="9"/>
        <v/>
      </c>
      <c r="L48" t="str">
        <f t="shared" si="10"/>
        <v/>
      </c>
      <c r="M48">
        <f t="shared" si="11"/>
        <v>-0.1</v>
      </c>
      <c r="T48" t="s">
        <v>221</v>
      </c>
    </row>
    <row r="49" spans="1:20" ht="15" thickBot="1" x14ac:dyDescent="0.35">
      <c r="A49" s="4" t="s">
        <v>164</v>
      </c>
      <c r="B49" t="s">
        <v>79</v>
      </c>
      <c r="C49" t="s">
        <v>79</v>
      </c>
      <c r="D49" t="s">
        <v>79</v>
      </c>
      <c r="E49" t="s">
        <v>79</v>
      </c>
      <c r="F49">
        <v>0.12</v>
      </c>
      <c r="G49" s="23"/>
      <c r="H49" t="str">
        <f t="shared" si="1"/>
        <v>Q11</v>
      </c>
      <c r="I49" t="str">
        <f t="shared" si="7"/>
        <v/>
      </c>
      <c r="J49" t="str">
        <f t="shared" si="8"/>
        <v/>
      </c>
      <c r="K49" t="str">
        <f t="shared" si="9"/>
        <v/>
      </c>
      <c r="L49" t="str">
        <f t="shared" si="10"/>
        <v/>
      </c>
      <c r="M49">
        <f t="shared" si="11"/>
        <v>0.12</v>
      </c>
      <c r="T49" t="s">
        <v>259</v>
      </c>
    </row>
    <row r="50" spans="1:20" ht="15" thickBot="1" x14ac:dyDescent="0.35">
      <c r="A50" s="4" t="s">
        <v>165</v>
      </c>
      <c r="B50" t="s">
        <v>79</v>
      </c>
      <c r="C50" t="s">
        <v>79</v>
      </c>
      <c r="D50" t="s">
        <v>79</v>
      </c>
      <c r="E50" t="s">
        <v>79</v>
      </c>
      <c r="F50" t="s">
        <v>79</v>
      </c>
      <c r="G50" s="23"/>
      <c r="H50" t="str">
        <f t="shared" si="1"/>
        <v>Q12</v>
      </c>
      <c r="I50" t="str">
        <f t="shared" si="7"/>
        <v/>
      </c>
      <c r="J50" t="str">
        <f t="shared" si="8"/>
        <v/>
      </c>
      <c r="K50" t="str">
        <f t="shared" si="9"/>
        <v/>
      </c>
      <c r="L50" t="str">
        <f t="shared" si="10"/>
        <v/>
      </c>
      <c r="M50" t="str">
        <f t="shared" si="11"/>
        <v/>
      </c>
      <c r="T50" t="s">
        <v>233</v>
      </c>
    </row>
    <row r="51" spans="1:20" ht="15" thickBot="1" x14ac:dyDescent="0.35">
      <c r="A51" s="4" t="s">
        <v>166</v>
      </c>
      <c r="B51">
        <v>0.12</v>
      </c>
      <c r="C51" t="s">
        <v>79</v>
      </c>
      <c r="D51" t="s">
        <v>79</v>
      </c>
      <c r="E51">
        <v>-0.1</v>
      </c>
      <c r="F51" t="s">
        <v>79</v>
      </c>
      <c r="G51" s="23"/>
      <c r="H51" t="str">
        <f t="shared" si="1"/>
        <v>Q13</v>
      </c>
      <c r="I51">
        <f t="shared" si="7"/>
        <v>0.12</v>
      </c>
      <c r="J51" t="str">
        <f t="shared" si="8"/>
        <v/>
      </c>
      <c r="K51" t="str">
        <f t="shared" si="9"/>
        <v/>
      </c>
      <c r="L51">
        <f t="shared" si="10"/>
        <v>-0.1</v>
      </c>
      <c r="M51" t="str">
        <f t="shared" si="11"/>
        <v/>
      </c>
      <c r="T51" t="s">
        <v>222</v>
      </c>
    </row>
    <row r="52" spans="1:20" ht="15" thickBot="1" x14ac:dyDescent="0.35">
      <c r="A52" s="4" t="s">
        <v>167</v>
      </c>
      <c r="B52" t="s">
        <v>79</v>
      </c>
      <c r="C52">
        <v>-0.12</v>
      </c>
      <c r="D52" t="s">
        <v>79</v>
      </c>
      <c r="E52" t="s">
        <v>79</v>
      </c>
      <c r="F52" t="s">
        <v>79</v>
      </c>
      <c r="G52" s="23"/>
      <c r="H52" t="str">
        <f t="shared" si="1"/>
        <v>Q14</v>
      </c>
      <c r="I52" t="str">
        <f t="shared" si="7"/>
        <v/>
      </c>
      <c r="J52">
        <f t="shared" si="8"/>
        <v>-0.12</v>
      </c>
      <c r="K52" t="str">
        <f t="shared" si="9"/>
        <v/>
      </c>
      <c r="L52" t="str">
        <f t="shared" si="10"/>
        <v/>
      </c>
      <c r="M52" t="str">
        <f t="shared" si="11"/>
        <v/>
      </c>
      <c r="T52" t="s">
        <v>223</v>
      </c>
    </row>
    <row r="53" spans="1:20" ht="15" thickBot="1" x14ac:dyDescent="0.35">
      <c r="A53" s="4" t="s">
        <v>168</v>
      </c>
      <c r="B53" t="s">
        <v>79</v>
      </c>
      <c r="C53">
        <v>-0.12</v>
      </c>
      <c r="D53" t="s">
        <v>79</v>
      </c>
      <c r="E53">
        <v>0.11</v>
      </c>
      <c r="F53" t="s">
        <v>79</v>
      </c>
      <c r="G53" s="23"/>
      <c r="H53" t="str">
        <f t="shared" si="1"/>
        <v>Q15</v>
      </c>
      <c r="I53" t="str">
        <f t="shared" si="7"/>
        <v/>
      </c>
      <c r="J53">
        <f t="shared" si="8"/>
        <v>-0.12</v>
      </c>
      <c r="K53" t="str">
        <f t="shared" si="9"/>
        <v/>
      </c>
      <c r="L53">
        <f t="shared" si="10"/>
        <v>0.11</v>
      </c>
      <c r="M53" t="str">
        <f t="shared" si="11"/>
        <v/>
      </c>
      <c r="T53" t="s">
        <v>224</v>
      </c>
    </row>
    <row r="54" spans="1:20" ht="15" thickBot="1" x14ac:dyDescent="0.35">
      <c r="A54" s="4" t="s">
        <v>169</v>
      </c>
      <c r="B54" t="s">
        <v>79</v>
      </c>
      <c r="C54" t="s">
        <v>79</v>
      </c>
      <c r="D54" t="s">
        <v>79</v>
      </c>
      <c r="E54" t="s">
        <v>79</v>
      </c>
      <c r="F54">
        <v>0.1</v>
      </c>
      <c r="G54" s="23"/>
      <c r="H54" t="str">
        <f t="shared" si="1"/>
        <v>Q16</v>
      </c>
      <c r="I54" t="str">
        <f t="shared" si="7"/>
        <v/>
      </c>
      <c r="J54" t="str">
        <f t="shared" si="8"/>
        <v/>
      </c>
      <c r="K54" t="str">
        <f t="shared" si="9"/>
        <v/>
      </c>
      <c r="L54" t="str">
        <f t="shared" si="10"/>
        <v/>
      </c>
      <c r="M54">
        <f t="shared" si="11"/>
        <v>0.1</v>
      </c>
    </row>
    <row r="55" spans="1:20" ht="15" thickBot="1" x14ac:dyDescent="0.35">
      <c r="A55" s="4" t="s">
        <v>170</v>
      </c>
      <c r="B55" t="s">
        <v>79</v>
      </c>
      <c r="C55" t="s">
        <v>79</v>
      </c>
      <c r="D55" t="s">
        <v>79</v>
      </c>
      <c r="E55" t="s">
        <v>79</v>
      </c>
      <c r="F55" t="s">
        <v>79</v>
      </c>
      <c r="G55" s="23"/>
      <c r="H55" t="str">
        <f t="shared" si="1"/>
        <v>Q16.1</v>
      </c>
      <c r="I55" t="str">
        <f t="shared" si="7"/>
        <v/>
      </c>
      <c r="J55" t="str">
        <f t="shared" si="8"/>
        <v/>
      </c>
      <c r="K55" t="str">
        <f t="shared" si="9"/>
        <v/>
      </c>
      <c r="L55" t="str">
        <f t="shared" si="10"/>
        <v/>
      </c>
      <c r="M55" t="str">
        <f t="shared" si="11"/>
        <v/>
      </c>
      <c r="T55" t="s">
        <v>260</v>
      </c>
    </row>
    <row r="56" spans="1:20" ht="15" thickBot="1" x14ac:dyDescent="0.35">
      <c r="A56" s="4" t="s">
        <v>171</v>
      </c>
      <c r="B56" t="s">
        <v>79</v>
      </c>
      <c r="C56">
        <v>0.1</v>
      </c>
      <c r="D56" t="s">
        <v>79</v>
      </c>
      <c r="E56" t="s">
        <v>79</v>
      </c>
      <c r="F56" t="s">
        <v>79</v>
      </c>
      <c r="G56" s="23"/>
      <c r="H56" t="str">
        <f t="shared" si="1"/>
        <v>Q16.2</v>
      </c>
      <c r="I56" t="str">
        <f t="shared" si="7"/>
        <v/>
      </c>
      <c r="J56">
        <f t="shared" si="8"/>
        <v>0.1</v>
      </c>
      <c r="K56" t="str">
        <f t="shared" si="9"/>
        <v/>
      </c>
      <c r="L56" t="str">
        <f t="shared" si="10"/>
        <v/>
      </c>
      <c r="M56" t="str">
        <f t="shared" si="11"/>
        <v/>
      </c>
      <c r="T56" t="s">
        <v>225</v>
      </c>
    </row>
    <row r="57" spans="1:20" ht="15" thickBot="1" x14ac:dyDescent="0.35">
      <c r="A57" s="4" t="s">
        <v>172</v>
      </c>
      <c r="B57" t="s">
        <v>79</v>
      </c>
      <c r="C57">
        <v>0.11</v>
      </c>
      <c r="D57" t="s">
        <v>79</v>
      </c>
      <c r="E57" t="s">
        <v>79</v>
      </c>
      <c r="F57" t="s">
        <v>79</v>
      </c>
      <c r="G57" s="23"/>
      <c r="H57" t="str">
        <f t="shared" si="1"/>
        <v>Q16.3</v>
      </c>
      <c r="I57" t="str">
        <f t="shared" si="7"/>
        <v/>
      </c>
      <c r="J57">
        <f t="shared" si="8"/>
        <v>0.11</v>
      </c>
      <c r="K57" t="str">
        <f t="shared" si="9"/>
        <v/>
      </c>
      <c r="L57" t="str">
        <f t="shared" si="10"/>
        <v/>
      </c>
      <c r="M57" t="str">
        <f t="shared" si="11"/>
        <v/>
      </c>
    </row>
    <row r="58" spans="1:20" ht="15" thickBot="1" x14ac:dyDescent="0.35">
      <c r="A58" s="4" t="s">
        <v>173</v>
      </c>
      <c r="B58" t="s">
        <v>79</v>
      </c>
      <c r="C58" t="s">
        <v>79</v>
      </c>
      <c r="D58" t="s">
        <v>79</v>
      </c>
      <c r="E58" t="s">
        <v>79</v>
      </c>
      <c r="F58" t="s">
        <v>79</v>
      </c>
      <c r="G58" s="23"/>
      <c r="H58" t="str">
        <f t="shared" si="1"/>
        <v>Q16.4</v>
      </c>
      <c r="I58" t="str">
        <f t="shared" si="7"/>
        <v/>
      </c>
      <c r="J58" t="str">
        <f t="shared" si="8"/>
        <v/>
      </c>
      <c r="K58" t="str">
        <f t="shared" si="9"/>
        <v/>
      </c>
      <c r="L58" t="str">
        <f t="shared" si="10"/>
        <v/>
      </c>
      <c r="M58" t="str">
        <f t="shared" si="11"/>
        <v/>
      </c>
    </row>
    <row r="59" spans="1:20" ht="15" thickBot="1" x14ac:dyDescent="0.35">
      <c r="A59" s="4" t="s">
        <v>174</v>
      </c>
      <c r="B59" t="s">
        <v>79</v>
      </c>
      <c r="C59" t="s">
        <v>79</v>
      </c>
      <c r="D59" t="s">
        <v>79</v>
      </c>
      <c r="E59" t="s">
        <v>79</v>
      </c>
      <c r="F59" t="s">
        <v>79</v>
      </c>
      <c r="G59" s="23"/>
      <c r="H59" t="str">
        <f t="shared" si="1"/>
        <v>Q16.5</v>
      </c>
      <c r="I59" t="str">
        <f t="shared" si="7"/>
        <v/>
      </c>
      <c r="J59" t="str">
        <f t="shared" si="8"/>
        <v/>
      </c>
      <c r="K59" t="str">
        <f t="shared" si="9"/>
        <v/>
      </c>
      <c r="L59" t="str">
        <f t="shared" si="10"/>
        <v/>
      </c>
      <c r="M59" t="str">
        <f t="shared" si="11"/>
        <v/>
      </c>
    </row>
    <row r="60" spans="1:20" ht="15" thickBot="1" x14ac:dyDescent="0.35">
      <c r="A60" s="4" t="s">
        <v>175</v>
      </c>
      <c r="B60" t="s">
        <v>79</v>
      </c>
      <c r="C60">
        <v>0.1</v>
      </c>
      <c r="D60" t="s">
        <v>79</v>
      </c>
      <c r="E60" t="s">
        <v>79</v>
      </c>
      <c r="F60" t="s">
        <v>79</v>
      </c>
      <c r="G60" s="23"/>
      <c r="H60" t="str">
        <f t="shared" si="1"/>
        <v>Q16.6</v>
      </c>
      <c r="I60" t="str">
        <f t="shared" si="7"/>
        <v/>
      </c>
      <c r="J60">
        <f t="shared" si="8"/>
        <v>0.1</v>
      </c>
      <c r="K60" t="str">
        <f t="shared" si="9"/>
        <v/>
      </c>
      <c r="L60" t="str">
        <f t="shared" si="10"/>
        <v/>
      </c>
      <c r="M60" t="str">
        <f t="shared" si="11"/>
        <v/>
      </c>
    </row>
    <row r="61" spans="1:20" ht="15" thickBot="1" x14ac:dyDescent="0.35">
      <c r="A61" s="4" t="s">
        <v>176</v>
      </c>
      <c r="B61" t="s">
        <v>79</v>
      </c>
      <c r="C61" t="s">
        <v>79</v>
      </c>
      <c r="D61" t="s">
        <v>79</v>
      </c>
      <c r="E61" t="s">
        <v>79</v>
      </c>
      <c r="F61" t="s">
        <v>79</v>
      </c>
      <c r="G61" s="23"/>
      <c r="H61" t="str">
        <f t="shared" si="1"/>
        <v>Q16.7</v>
      </c>
      <c r="I61" t="str">
        <f t="shared" si="7"/>
        <v/>
      </c>
      <c r="J61" t="str">
        <f t="shared" si="8"/>
        <v/>
      </c>
      <c r="K61" t="str">
        <f t="shared" si="9"/>
        <v/>
      </c>
      <c r="L61" t="str">
        <f t="shared" si="10"/>
        <v/>
      </c>
      <c r="M61" t="str">
        <f t="shared" si="11"/>
        <v/>
      </c>
    </row>
    <row r="62" spans="1:20" ht="15" thickBot="1" x14ac:dyDescent="0.35">
      <c r="A62" s="4" t="s">
        <v>177</v>
      </c>
      <c r="B62" t="s">
        <v>79</v>
      </c>
      <c r="C62" t="s">
        <v>79</v>
      </c>
      <c r="D62" t="s">
        <v>79</v>
      </c>
      <c r="E62" t="s">
        <v>79</v>
      </c>
      <c r="F62" t="s">
        <v>79</v>
      </c>
      <c r="G62" s="23"/>
      <c r="H62" t="str">
        <f t="shared" si="1"/>
        <v>Q16.8</v>
      </c>
      <c r="I62" t="str">
        <f t="shared" si="7"/>
        <v/>
      </c>
      <c r="J62" t="str">
        <f t="shared" si="8"/>
        <v/>
      </c>
      <c r="K62" t="str">
        <f t="shared" si="9"/>
        <v/>
      </c>
      <c r="L62" t="str">
        <f t="shared" si="10"/>
        <v/>
      </c>
      <c r="M62" t="str">
        <f t="shared" si="11"/>
        <v/>
      </c>
    </row>
    <row r="63" spans="1:20" ht="15" thickBot="1" x14ac:dyDescent="0.35">
      <c r="A63" s="4" t="s">
        <v>178</v>
      </c>
      <c r="B63" t="s">
        <v>79</v>
      </c>
      <c r="C63" t="s">
        <v>79</v>
      </c>
      <c r="D63" t="s">
        <v>79</v>
      </c>
      <c r="E63" t="s">
        <v>79</v>
      </c>
      <c r="F63" t="s">
        <v>79</v>
      </c>
      <c r="G63" s="23"/>
      <c r="H63" t="str">
        <f t="shared" si="1"/>
        <v>Q16.9</v>
      </c>
      <c r="I63" t="str">
        <f t="shared" si="7"/>
        <v/>
      </c>
      <c r="J63" t="str">
        <f t="shared" si="8"/>
        <v/>
      </c>
      <c r="K63" t="str">
        <f t="shared" si="9"/>
        <v/>
      </c>
      <c r="L63" t="str">
        <f t="shared" si="10"/>
        <v/>
      </c>
      <c r="M63" t="str">
        <f t="shared" si="11"/>
        <v/>
      </c>
    </row>
    <row r="64" spans="1:20" ht="15" thickBot="1" x14ac:dyDescent="0.35">
      <c r="A64" s="4" t="s">
        <v>179</v>
      </c>
      <c r="B64" t="s">
        <v>79</v>
      </c>
      <c r="C64" t="s">
        <v>79</v>
      </c>
      <c r="D64" t="s">
        <v>79</v>
      </c>
      <c r="E64" t="s">
        <v>79</v>
      </c>
      <c r="F64" t="s">
        <v>79</v>
      </c>
      <c r="G64" s="23"/>
      <c r="H64" t="str">
        <f t="shared" si="1"/>
        <v>Q16.10</v>
      </c>
      <c r="I64" t="str">
        <f t="shared" si="7"/>
        <v/>
      </c>
      <c r="J64" t="str">
        <f t="shared" si="8"/>
        <v/>
      </c>
      <c r="K64" t="str">
        <f t="shared" si="9"/>
        <v/>
      </c>
      <c r="L64" t="str">
        <f t="shared" si="10"/>
        <v/>
      </c>
      <c r="M64" t="str">
        <f t="shared" si="11"/>
        <v/>
      </c>
    </row>
    <row r="65" spans="1:20" ht="15" thickBot="1" x14ac:dyDescent="0.35">
      <c r="A65" s="4" t="s">
        <v>180</v>
      </c>
      <c r="B65" t="s">
        <v>79</v>
      </c>
      <c r="C65" t="s">
        <v>79</v>
      </c>
      <c r="D65" t="s">
        <v>79</v>
      </c>
      <c r="E65" t="s">
        <v>79</v>
      </c>
      <c r="F65" t="s">
        <v>79</v>
      </c>
      <c r="G65" s="23"/>
      <c r="H65" t="str">
        <f t="shared" si="1"/>
        <v>Q16.11</v>
      </c>
      <c r="I65" t="str">
        <f t="shared" si="7"/>
        <v/>
      </c>
      <c r="J65" t="str">
        <f t="shared" si="8"/>
        <v/>
      </c>
      <c r="K65" t="str">
        <f t="shared" si="9"/>
        <v/>
      </c>
      <c r="L65" t="str">
        <f t="shared" si="10"/>
        <v/>
      </c>
      <c r="M65" t="str">
        <f t="shared" si="11"/>
        <v/>
      </c>
      <c r="T65" t="s">
        <v>253</v>
      </c>
    </row>
    <row r="66" spans="1:20" ht="15" thickBot="1" x14ac:dyDescent="0.35">
      <c r="A66" s="4" t="s">
        <v>181</v>
      </c>
      <c r="B66" t="s">
        <v>79</v>
      </c>
      <c r="C66" t="s">
        <v>79</v>
      </c>
      <c r="D66" t="s">
        <v>79</v>
      </c>
      <c r="E66" t="s">
        <v>79</v>
      </c>
      <c r="F66" t="s">
        <v>79</v>
      </c>
      <c r="G66" s="23"/>
      <c r="H66" t="str">
        <f t="shared" si="1"/>
        <v>Q16.12</v>
      </c>
      <c r="I66" t="str">
        <f t="shared" si="7"/>
        <v/>
      </c>
      <c r="J66" t="str">
        <f t="shared" si="8"/>
        <v/>
      </c>
      <c r="K66" t="str">
        <f t="shared" si="9"/>
        <v/>
      </c>
      <c r="L66" t="str">
        <f t="shared" si="10"/>
        <v/>
      </c>
      <c r="M66" t="str">
        <f t="shared" si="11"/>
        <v/>
      </c>
      <c r="T66" t="s">
        <v>252</v>
      </c>
    </row>
    <row r="67" spans="1:20" ht="15" thickBot="1" x14ac:dyDescent="0.35">
      <c r="A67" s="4" t="s">
        <v>182</v>
      </c>
      <c r="B67" t="s">
        <v>79</v>
      </c>
      <c r="C67">
        <v>0.1</v>
      </c>
      <c r="D67" t="s">
        <v>79</v>
      </c>
      <c r="E67" t="s">
        <v>79</v>
      </c>
      <c r="F67" t="s">
        <v>79</v>
      </c>
      <c r="G67" s="23"/>
      <c r="H67" t="str">
        <f t="shared" si="1"/>
        <v>Q16.13</v>
      </c>
      <c r="I67" t="str">
        <f t="shared" si="7"/>
        <v/>
      </c>
      <c r="J67">
        <f t="shared" si="8"/>
        <v>0.1</v>
      </c>
      <c r="K67" t="str">
        <f t="shared" si="9"/>
        <v/>
      </c>
      <c r="L67" t="str">
        <f t="shared" si="10"/>
        <v/>
      </c>
      <c r="M67" t="str">
        <f t="shared" si="11"/>
        <v/>
      </c>
      <c r="T67" t="s">
        <v>226</v>
      </c>
    </row>
    <row r="68" spans="1:20" ht="15" thickBot="1" x14ac:dyDescent="0.35">
      <c r="A68" s="4" t="s">
        <v>183</v>
      </c>
      <c r="B68" t="s">
        <v>79</v>
      </c>
      <c r="C68">
        <v>0.1</v>
      </c>
      <c r="D68" t="s">
        <v>79</v>
      </c>
      <c r="E68" t="s">
        <v>79</v>
      </c>
      <c r="F68" t="s">
        <v>79</v>
      </c>
      <c r="G68" s="23"/>
      <c r="H68" t="str">
        <f t="shared" ref="H68:H83" si="12">A68</f>
        <v>Q16.14</v>
      </c>
      <c r="I68" t="str">
        <f t="shared" ref="I68:I83" si="13">IF(ISNUMBER(B68),B68,"")</f>
        <v/>
      </c>
      <c r="J68">
        <f t="shared" ref="J68:J83" si="14">IF(ISNUMBER(C68),C68,"")</f>
        <v>0.1</v>
      </c>
      <c r="K68" t="str">
        <f t="shared" ref="K68:K83" si="15">IF(ISNUMBER(D68),D68,"")</f>
        <v/>
      </c>
      <c r="L68" t="str">
        <f t="shared" ref="L68:L83" si="16">IF(ISNUMBER(E68),E68,"")</f>
        <v/>
      </c>
      <c r="M68" t="str">
        <f t="shared" ref="M68:M83" si="17">IF(ISNUMBER(F68),F68,"")</f>
        <v/>
      </c>
      <c r="T68" t="s">
        <v>227</v>
      </c>
    </row>
    <row r="69" spans="1:20" ht="15" thickBot="1" x14ac:dyDescent="0.35">
      <c r="A69" s="4" t="s">
        <v>184</v>
      </c>
      <c r="B69" t="s">
        <v>79</v>
      </c>
      <c r="C69">
        <v>0.1</v>
      </c>
      <c r="D69" t="s">
        <v>79</v>
      </c>
      <c r="E69" t="s">
        <v>79</v>
      </c>
      <c r="F69" t="s">
        <v>79</v>
      </c>
      <c r="G69" s="23"/>
      <c r="H69" t="str">
        <f t="shared" si="12"/>
        <v>Q16.15</v>
      </c>
      <c r="I69" t="str">
        <f t="shared" si="13"/>
        <v/>
      </c>
      <c r="J69">
        <f t="shared" si="14"/>
        <v>0.1</v>
      </c>
      <c r="K69" t="str">
        <f t="shared" si="15"/>
        <v/>
      </c>
      <c r="L69" t="str">
        <f t="shared" si="16"/>
        <v/>
      </c>
      <c r="M69" t="str">
        <f t="shared" si="17"/>
        <v/>
      </c>
    </row>
    <row r="70" spans="1:20" ht="15" thickBot="1" x14ac:dyDescent="0.35">
      <c r="A70" s="4" t="s">
        <v>185</v>
      </c>
      <c r="B70" t="s">
        <v>79</v>
      </c>
      <c r="C70">
        <v>0.1</v>
      </c>
      <c r="D70" t="s">
        <v>79</v>
      </c>
      <c r="E70" t="s">
        <v>79</v>
      </c>
      <c r="F70" t="s">
        <v>79</v>
      </c>
      <c r="G70" s="23"/>
      <c r="H70" t="str">
        <f t="shared" si="12"/>
        <v>Q16.16</v>
      </c>
      <c r="I70" t="str">
        <f t="shared" si="13"/>
        <v/>
      </c>
      <c r="J70">
        <f t="shared" si="14"/>
        <v>0.1</v>
      </c>
      <c r="K70" t="str">
        <f t="shared" si="15"/>
        <v/>
      </c>
      <c r="L70" t="str">
        <f t="shared" si="16"/>
        <v/>
      </c>
      <c r="M70" t="str">
        <f t="shared" si="17"/>
        <v/>
      </c>
      <c r="T70" t="s">
        <v>228</v>
      </c>
    </row>
    <row r="71" spans="1:20" ht="15" thickBot="1" x14ac:dyDescent="0.35">
      <c r="A71" s="4" t="s">
        <v>186</v>
      </c>
      <c r="B71" t="s">
        <v>79</v>
      </c>
      <c r="C71" t="s">
        <v>79</v>
      </c>
      <c r="D71" t="s">
        <v>79</v>
      </c>
      <c r="E71" t="s">
        <v>79</v>
      </c>
      <c r="F71" t="s">
        <v>79</v>
      </c>
      <c r="G71" s="23"/>
      <c r="H71" t="str">
        <f t="shared" si="12"/>
        <v>Q16.17</v>
      </c>
      <c r="I71" t="str">
        <f t="shared" si="13"/>
        <v/>
      </c>
      <c r="J71" t="str">
        <f t="shared" si="14"/>
        <v/>
      </c>
      <c r="K71" t="str">
        <f t="shared" si="15"/>
        <v/>
      </c>
      <c r="L71" t="str">
        <f t="shared" si="16"/>
        <v/>
      </c>
      <c r="M71" t="str">
        <f t="shared" si="17"/>
        <v/>
      </c>
    </row>
    <row r="72" spans="1:20" ht="15" thickBot="1" x14ac:dyDescent="0.35">
      <c r="A72" s="4" t="s">
        <v>187</v>
      </c>
      <c r="B72" t="s">
        <v>79</v>
      </c>
      <c r="C72" t="s">
        <v>79</v>
      </c>
      <c r="D72" t="s">
        <v>79</v>
      </c>
      <c r="E72" t="s">
        <v>79</v>
      </c>
      <c r="F72" t="s">
        <v>79</v>
      </c>
      <c r="G72" s="23"/>
      <c r="H72" t="str">
        <f t="shared" si="12"/>
        <v>Q16.18</v>
      </c>
      <c r="I72" t="str">
        <f t="shared" si="13"/>
        <v/>
      </c>
      <c r="J72" t="str">
        <f t="shared" si="14"/>
        <v/>
      </c>
      <c r="K72" t="str">
        <f t="shared" si="15"/>
        <v/>
      </c>
      <c r="L72" t="str">
        <f t="shared" si="16"/>
        <v/>
      </c>
      <c r="M72" t="str">
        <f t="shared" si="17"/>
        <v/>
      </c>
    </row>
    <row r="73" spans="1:20" ht="15" thickBot="1" x14ac:dyDescent="0.35">
      <c r="A73" s="4" t="s">
        <v>188</v>
      </c>
      <c r="B73" t="s">
        <v>79</v>
      </c>
      <c r="C73" t="s">
        <v>79</v>
      </c>
      <c r="D73" t="s">
        <v>79</v>
      </c>
      <c r="E73" t="s">
        <v>79</v>
      </c>
      <c r="F73" t="s">
        <v>79</v>
      </c>
      <c r="G73" s="23"/>
      <c r="H73" t="str">
        <f t="shared" si="12"/>
        <v>Q16.19</v>
      </c>
      <c r="I73" t="str">
        <f t="shared" si="13"/>
        <v/>
      </c>
      <c r="J73" t="str">
        <f t="shared" si="14"/>
        <v/>
      </c>
      <c r="K73" t="str">
        <f t="shared" si="15"/>
        <v/>
      </c>
      <c r="L73" t="str">
        <f t="shared" si="16"/>
        <v/>
      </c>
      <c r="M73" t="str">
        <f t="shared" si="17"/>
        <v/>
      </c>
    </row>
    <row r="74" spans="1:20" ht="15" thickBot="1" x14ac:dyDescent="0.35">
      <c r="A74" s="4" t="s">
        <v>189</v>
      </c>
      <c r="B74" t="s">
        <v>79</v>
      </c>
      <c r="C74" t="s">
        <v>79</v>
      </c>
      <c r="D74" t="s">
        <v>79</v>
      </c>
      <c r="E74" t="s">
        <v>79</v>
      </c>
      <c r="F74" t="s">
        <v>79</v>
      </c>
      <c r="G74" s="23"/>
      <c r="H74" t="str">
        <f t="shared" si="12"/>
        <v>Q16.20</v>
      </c>
      <c r="I74" t="str">
        <f t="shared" si="13"/>
        <v/>
      </c>
      <c r="J74" t="str">
        <f t="shared" si="14"/>
        <v/>
      </c>
      <c r="K74" t="str">
        <f t="shared" si="15"/>
        <v/>
      </c>
      <c r="L74" t="str">
        <f t="shared" si="16"/>
        <v/>
      </c>
      <c r="M74" t="str">
        <f t="shared" si="17"/>
        <v/>
      </c>
    </row>
    <row r="75" spans="1:20" ht="15" thickBot="1" x14ac:dyDescent="0.35">
      <c r="A75" s="4" t="s">
        <v>190</v>
      </c>
      <c r="B75" t="s">
        <v>79</v>
      </c>
      <c r="C75" t="s">
        <v>79</v>
      </c>
      <c r="D75" t="s">
        <v>79</v>
      </c>
      <c r="E75" t="s">
        <v>79</v>
      </c>
      <c r="F75" t="s">
        <v>79</v>
      </c>
      <c r="G75" s="23"/>
      <c r="H75" t="str">
        <f t="shared" si="12"/>
        <v>Q16.21</v>
      </c>
      <c r="I75" t="str">
        <f t="shared" si="13"/>
        <v/>
      </c>
      <c r="J75" t="str">
        <f t="shared" si="14"/>
        <v/>
      </c>
      <c r="K75" t="str">
        <f t="shared" si="15"/>
        <v/>
      </c>
      <c r="L75" t="str">
        <f t="shared" si="16"/>
        <v/>
      </c>
      <c r="M75" t="str">
        <f t="shared" si="17"/>
        <v/>
      </c>
    </row>
    <row r="76" spans="1:20" ht="15" thickBot="1" x14ac:dyDescent="0.35">
      <c r="A76" s="4" t="s">
        <v>191</v>
      </c>
      <c r="B76" t="s">
        <v>79</v>
      </c>
      <c r="C76" t="s">
        <v>79</v>
      </c>
      <c r="D76" t="s">
        <v>79</v>
      </c>
      <c r="E76" t="s">
        <v>79</v>
      </c>
      <c r="F76" t="s">
        <v>79</v>
      </c>
      <c r="G76" s="23"/>
      <c r="H76" t="str">
        <f t="shared" si="12"/>
        <v>Q16.22</v>
      </c>
      <c r="I76" t="str">
        <f t="shared" si="13"/>
        <v/>
      </c>
      <c r="J76" t="str">
        <f t="shared" si="14"/>
        <v/>
      </c>
      <c r="K76" t="str">
        <f t="shared" si="15"/>
        <v/>
      </c>
      <c r="L76" t="str">
        <f t="shared" si="16"/>
        <v/>
      </c>
      <c r="M76" t="str">
        <f t="shared" si="17"/>
        <v/>
      </c>
    </row>
    <row r="77" spans="1:20" ht="15" thickBot="1" x14ac:dyDescent="0.35">
      <c r="A77" s="4" t="s">
        <v>192</v>
      </c>
      <c r="B77" t="s">
        <v>79</v>
      </c>
      <c r="C77" t="s">
        <v>79</v>
      </c>
      <c r="D77" t="s">
        <v>79</v>
      </c>
      <c r="E77" t="s">
        <v>79</v>
      </c>
      <c r="F77" t="s">
        <v>79</v>
      </c>
      <c r="G77" s="23"/>
      <c r="H77" t="str">
        <f t="shared" si="12"/>
        <v>Q16.23</v>
      </c>
      <c r="I77" t="str">
        <f t="shared" si="13"/>
        <v/>
      </c>
      <c r="J77" t="str">
        <f t="shared" si="14"/>
        <v/>
      </c>
      <c r="K77" t="str">
        <f t="shared" si="15"/>
        <v/>
      </c>
      <c r="L77" t="str">
        <f t="shared" si="16"/>
        <v/>
      </c>
      <c r="M77" t="str">
        <f t="shared" si="17"/>
        <v/>
      </c>
    </row>
    <row r="78" spans="1:20" ht="15" thickBot="1" x14ac:dyDescent="0.35">
      <c r="A78" s="4" t="s">
        <v>193</v>
      </c>
      <c r="B78" t="s">
        <v>79</v>
      </c>
      <c r="C78" t="s">
        <v>79</v>
      </c>
      <c r="D78" t="s">
        <v>79</v>
      </c>
      <c r="E78" t="s">
        <v>79</v>
      </c>
      <c r="F78" t="s">
        <v>79</v>
      </c>
      <c r="G78" s="23"/>
      <c r="H78" t="str">
        <f t="shared" si="12"/>
        <v>Q16.24</v>
      </c>
      <c r="I78" t="str">
        <f t="shared" si="13"/>
        <v/>
      </c>
      <c r="J78" t="str">
        <f t="shared" si="14"/>
        <v/>
      </c>
      <c r="K78" t="str">
        <f t="shared" si="15"/>
        <v/>
      </c>
      <c r="L78" t="str">
        <f t="shared" si="16"/>
        <v/>
      </c>
      <c r="M78" t="str">
        <f t="shared" si="17"/>
        <v/>
      </c>
      <c r="T78" t="s">
        <v>251</v>
      </c>
    </row>
    <row r="79" spans="1:20" ht="15" thickBot="1" x14ac:dyDescent="0.35">
      <c r="A79" s="4" t="s">
        <v>194</v>
      </c>
      <c r="B79" t="s">
        <v>79</v>
      </c>
      <c r="C79">
        <v>0.12</v>
      </c>
      <c r="D79" t="s">
        <v>79</v>
      </c>
      <c r="E79" t="s">
        <v>79</v>
      </c>
      <c r="F79" t="s">
        <v>79</v>
      </c>
      <c r="G79" s="23"/>
      <c r="H79" t="str">
        <f t="shared" si="12"/>
        <v>Q16.25</v>
      </c>
      <c r="I79" t="str">
        <f t="shared" si="13"/>
        <v/>
      </c>
      <c r="J79">
        <f t="shared" si="14"/>
        <v>0.12</v>
      </c>
      <c r="K79" t="str">
        <f t="shared" si="15"/>
        <v/>
      </c>
      <c r="L79" t="str">
        <f t="shared" si="16"/>
        <v/>
      </c>
      <c r="M79" t="str">
        <f t="shared" si="17"/>
        <v/>
      </c>
      <c r="T79" t="s">
        <v>229</v>
      </c>
    </row>
    <row r="80" spans="1:20" ht="15" thickBot="1" x14ac:dyDescent="0.35">
      <c r="A80" s="4" t="s">
        <v>195</v>
      </c>
      <c r="B80" t="s">
        <v>79</v>
      </c>
      <c r="C80" t="s">
        <v>79</v>
      </c>
      <c r="D80" t="s">
        <v>79</v>
      </c>
      <c r="E80" t="s">
        <v>79</v>
      </c>
      <c r="F80" t="s">
        <v>79</v>
      </c>
      <c r="G80" s="23"/>
      <c r="H80" t="str">
        <f t="shared" si="12"/>
        <v>Q16.26</v>
      </c>
      <c r="I80" t="str">
        <f t="shared" si="13"/>
        <v/>
      </c>
      <c r="J80" t="str">
        <f t="shared" si="14"/>
        <v/>
      </c>
      <c r="K80" t="str">
        <f t="shared" si="15"/>
        <v/>
      </c>
      <c r="L80" t="str">
        <f t="shared" si="16"/>
        <v/>
      </c>
      <c r="M80" t="str">
        <f t="shared" si="17"/>
        <v/>
      </c>
      <c r="T80" t="s">
        <v>250</v>
      </c>
    </row>
    <row r="81" spans="1:20" ht="15" thickBot="1" x14ac:dyDescent="0.35">
      <c r="A81" s="4" t="s">
        <v>196</v>
      </c>
      <c r="B81" t="s">
        <v>79</v>
      </c>
      <c r="C81">
        <v>0.11</v>
      </c>
      <c r="D81" t="s">
        <v>79</v>
      </c>
      <c r="E81" t="s">
        <v>79</v>
      </c>
      <c r="F81" t="s">
        <v>79</v>
      </c>
      <c r="G81" s="23"/>
      <c r="H81" t="str">
        <f t="shared" si="12"/>
        <v>Q16.27</v>
      </c>
      <c r="I81" t="str">
        <f t="shared" si="13"/>
        <v/>
      </c>
      <c r="J81">
        <f t="shared" si="14"/>
        <v>0.11</v>
      </c>
      <c r="K81" t="str">
        <f t="shared" si="15"/>
        <v/>
      </c>
      <c r="L81" t="str">
        <f t="shared" si="16"/>
        <v/>
      </c>
      <c r="M81" t="str">
        <f t="shared" si="17"/>
        <v/>
      </c>
      <c r="T81" t="s">
        <v>230</v>
      </c>
    </row>
    <row r="82" spans="1:20" ht="15" thickBot="1" x14ac:dyDescent="0.35">
      <c r="A82" s="4" t="s">
        <v>197</v>
      </c>
      <c r="B82">
        <v>-0.15</v>
      </c>
      <c r="C82">
        <v>0.46</v>
      </c>
      <c r="D82">
        <v>0.1</v>
      </c>
      <c r="E82">
        <v>-0.17</v>
      </c>
      <c r="F82">
        <v>-0.33</v>
      </c>
      <c r="G82" s="23"/>
      <c r="H82" t="str">
        <f t="shared" si="12"/>
        <v>Q17</v>
      </c>
      <c r="I82">
        <f t="shared" si="13"/>
        <v>-0.15</v>
      </c>
      <c r="J82">
        <f t="shared" si="14"/>
        <v>0.46</v>
      </c>
      <c r="K82">
        <f t="shared" si="15"/>
        <v>0.1</v>
      </c>
      <c r="L82">
        <f t="shared" si="16"/>
        <v>-0.17</v>
      </c>
      <c r="M82">
        <f t="shared" si="17"/>
        <v>-0.33</v>
      </c>
      <c r="T82" t="s">
        <v>231</v>
      </c>
    </row>
    <row r="83" spans="1:20" ht="15" thickBot="1" x14ac:dyDescent="0.35">
      <c r="A83" s="4" t="s">
        <v>198</v>
      </c>
      <c r="B83">
        <v>-0.12</v>
      </c>
      <c r="C83">
        <v>-0.24</v>
      </c>
      <c r="D83" t="s">
        <v>79</v>
      </c>
      <c r="E83">
        <v>0.14000000000000001</v>
      </c>
      <c r="F83">
        <v>0.13</v>
      </c>
      <c r="G83" s="23"/>
      <c r="H83" t="str">
        <f t="shared" si="12"/>
        <v>Q18</v>
      </c>
      <c r="I83">
        <f t="shared" si="13"/>
        <v>-0.12</v>
      </c>
      <c r="J83">
        <f t="shared" si="14"/>
        <v>-0.24</v>
      </c>
      <c r="K83" t="str">
        <f t="shared" si="15"/>
        <v/>
      </c>
      <c r="L83">
        <f t="shared" si="16"/>
        <v>0.14000000000000001</v>
      </c>
      <c r="M83">
        <f t="shared" si="17"/>
        <v>0.13</v>
      </c>
      <c r="T83" t="s">
        <v>232</v>
      </c>
    </row>
  </sheetData>
  <conditionalFormatting sqref="I4:I83">
    <cfRule type="colorScale" priority="3">
      <colorScale>
        <cfvo type="min"/>
        <cfvo type="percentile" val="50"/>
        <cfvo type="max"/>
        <color rgb="FFF8696B"/>
        <color rgb="FFFFEB84"/>
        <color rgb="FF63BE7B"/>
      </colorScale>
    </cfRule>
  </conditionalFormatting>
  <conditionalFormatting sqref="N3:S83">
    <cfRule type="colorScale" priority="2">
      <colorScale>
        <cfvo type="min"/>
        <cfvo type="percentile" val="50"/>
        <cfvo type="max"/>
        <color rgb="FFF8696B"/>
        <color rgb="FFFFEB84"/>
        <color rgb="FF63BE7B"/>
      </colorScale>
    </cfRule>
  </conditionalFormatting>
  <conditionalFormatting sqref="J4:M83">
    <cfRule type="colorScale" priority="4">
      <colorScale>
        <cfvo type="min"/>
        <cfvo type="percentile" val="50"/>
        <cfvo type="max"/>
        <color rgb="FFF8696B"/>
        <color rgb="FFFFEB84"/>
        <color rgb="FF63BE7B"/>
      </colorScale>
    </cfRule>
  </conditionalFormatting>
  <conditionalFormatting sqref="I3:M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218AD-7B67-4A75-9190-3402B2C58EC1}">
  <sheetPr>
    <tabColor theme="5"/>
  </sheetPr>
  <dimension ref="A1:AC83"/>
  <sheetViews>
    <sheetView workbookViewId="0">
      <selection activeCell="H2" sqref="H2"/>
    </sheetView>
  </sheetViews>
  <sheetFormatPr defaultRowHeight="14.4" x14ac:dyDescent="0.3"/>
  <cols>
    <col min="1" max="1" width="17.33203125" bestFit="1" customWidth="1"/>
    <col min="9" max="11" width="8.88671875" customWidth="1"/>
    <col min="12" max="17" width="8.88671875" hidden="1" customWidth="1"/>
  </cols>
  <sheetData>
    <row r="1" spans="1:29" ht="21" x14ac:dyDescent="0.4">
      <c r="A1" s="25" t="s">
        <v>246</v>
      </c>
      <c r="B1" s="15" t="s">
        <v>205</v>
      </c>
      <c r="H1" s="15" t="s">
        <v>205</v>
      </c>
    </row>
    <row r="2" spans="1:29" x14ac:dyDescent="0.3">
      <c r="B2" s="12" t="s">
        <v>199</v>
      </c>
      <c r="C2" s="12" t="s">
        <v>200</v>
      </c>
      <c r="D2" s="12" t="s">
        <v>201</v>
      </c>
      <c r="E2" s="12" t="s">
        <v>202</v>
      </c>
      <c r="F2" s="12"/>
      <c r="H2" s="12" t="s">
        <v>265</v>
      </c>
      <c r="I2" s="12" t="s">
        <v>264</v>
      </c>
      <c r="J2" s="12" t="s">
        <v>141</v>
      </c>
      <c r="K2" s="12" t="s">
        <v>269</v>
      </c>
      <c r="L2" s="12" t="str">
        <f>H2</f>
        <v>Status &amp; enthusiast</v>
      </c>
      <c r="M2" s="12" t="str">
        <f>I2</f>
        <v>Beginner</v>
      </c>
      <c r="N2" s="12" t="str">
        <f>J2</f>
        <v>Expert</v>
      </c>
      <c r="O2" s="12" t="str">
        <f>K2</f>
        <v>Older, a bit expert, anti status guy</v>
      </c>
      <c r="P2" s="12" t="e">
        <f>#REF!</f>
        <v>#REF!</v>
      </c>
      <c r="Q2" s="12" t="e">
        <f>#REF!</f>
        <v>#REF!</v>
      </c>
      <c r="Z2" s="12" t="s">
        <v>241</v>
      </c>
    </row>
    <row r="3" spans="1:29" ht="15" thickBot="1" x14ac:dyDescent="0.35">
      <c r="A3" s="4" t="s">
        <v>115</v>
      </c>
      <c r="B3" t="s">
        <v>79</v>
      </c>
      <c r="C3" t="s">
        <v>79</v>
      </c>
      <c r="D3" t="s">
        <v>79</v>
      </c>
      <c r="E3" t="s">
        <v>79</v>
      </c>
      <c r="F3" s="23"/>
      <c r="G3" t="str">
        <f>A3</f>
        <v>Q1.1</v>
      </c>
      <c r="H3" t="str">
        <f t="shared" ref="H3:H34" si="0">IF(ISNUMBER(B3),B3,"")</f>
        <v/>
      </c>
      <c r="I3" t="str">
        <f t="shared" ref="I3:I34" si="1">IF(ISNUMBER(C3),C3,"")</f>
        <v/>
      </c>
      <c r="J3" t="str">
        <f t="shared" ref="J3:J34" si="2">IF(ISNUMBER(D3),D3,"")</f>
        <v/>
      </c>
      <c r="K3" t="str">
        <f t="shared" ref="K3:K34" si="3">IF(ISNUMBER(E3),E3,"")</f>
        <v/>
      </c>
      <c r="R3" t="s">
        <v>0</v>
      </c>
      <c r="Z3" t="s">
        <v>234</v>
      </c>
    </row>
    <row r="4" spans="1:29" ht="15" thickBot="1" x14ac:dyDescent="0.35">
      <c r="A4" s="4" t="s">
        <v>119</v>
      </c>
      <c r="B4" t="s">
        <v>79</v>
      </c>
      <c r="C4" t="s">
        <v>79</v>
      </c>
      <c r="D4" t="s">
        <v>79</v>
      </c>
      <c r="E4" t="s">
        <v>79</v>
      </c>
      <c r="F4" s="23"/>
      <c r="G4" t="str">
        <f t="shared" ref="G4:G67" si="4">A4</f>
        <v>Q1.2</v>
      </c>
      <c r="H4" t="str">
        <f t="shared" si="0"/>
        <v/>
      </c>
      <c r="I4" t="str">
        <f t="shared" si="1"/>
        <v/>
      </c>
      <c r="J4" t="str">
        <f t="shared" si="2"/>
        <v/>
      </c>
      <c r="K4" t="str">
        <f t="shared" si="3"/>
        <v/>
      </c>
      <c r="R4" t="s">
        <v>1</v>
      </c>
      <c r="Z4" t="s">
        <v>235</v>
      </c>
    </row>
    <row r="5" spans="1:29" ht="15" thickBot="1" x14ac:dyDescent="0.35">
      <c r="A5" s="4" t="s">
        <v>96</v>
      </c>
      <c r="B5">
        <v>0.25</v>
      </c>
      <c r="C5" t="s">
        <v>79</v>
      </c>
      <c r="D5" t="s">
        <v>79</v>
      </c>
      <c r="E5">
        <v>-0.22</v>
      </c>
      <c r="F5" s="23"/>
      <c r="G5" t="str">
        <f t="shared" si="4"/>
        <v>Q1.3</v>
      </c>
      <c r="H5">
        <f t="shared" si="0"/>
        <v>0.25</v>
      </c>
      <c r="I5" t="str">
        <f t="shared" si="1"/>
        <v/>
      </c>
      <c r="J5" t="str">
        <f t="shared" si="2"/>
        <v/>
      </c>
      <c r="K5">
        <f t="shared" si="3"/>
        <v>-0.22</v>
      </c>
      <c r="R5" t="s">
        <v>2</v>
      </c>
      <c r="Z5" t="s">
        <v>236</v>
      </c>
    </row>
    <row r="6" spans="1:29" ht="15" thickBot="1" x14ac:dyDescent="0.35">
      <c r="A6" s="4" t="s">
        <v>114</v>
      </c>
      <c r="B6" t="s">
        <v>79</v>
      </c>
      <c r="C6" t="s">
        <v>79</v>
      </c>
      <c r="D6" t="s">
        <v>79</v>
      </c>
      <c r="E6" t="s">
        <v>79</v>
      </c>
      <c r="F6" s="23"/>
      <c r="G6" t="str">
        <f t="shared" si="4"/>
        <v>Q1.4</v>
      </c>
      <c r="H6" t="str">
        <f t="shared" si="0"/>
        <v/>
      </c>
      <c r="I6" t="str">
        <f t="shared" si="1"/>
        <v/>
      </c>
      <c r="J6" t="str">
        <f t="shared" si="2"/>
        <v/>
      </c>
      <c r="K6" t="str">
        <f t="shared" si="3"/>
        <v/>
      </c>
      <c r="R6" t="s">
        <v>3</v>
      </c>
      <c r="Z6" t="s">
        <v>237</v>
      </c>
    </row>
    <row r="7" spans="1:29" ht="15" thickBot="1" x14ac:dyDescent="0.35">
      <c r="A7" s="4" t="s">
        <v>108</v>
      </c>
      <c r="B7">
        <v>0.14000000000000001</v>
      </c>
      <c r="C7" t="s">
        <v>79</v>
      </c>
      <c r="D7" t="s">
        <v>79</v>
      </c>
      <c r="E7" t="s">
        <v>79</v>
      </c>
      <c r="F7" s="23"/>
      <c r="G7" t="str">
        <f t="shared" si="4"/>
        <v>Q1.5</v>
      </c>
      <c r="H7">
        <f t="shared" si="0"/>
        <v>0.14000000000000001</v>
      </c>
      <c r="I7" t="str">
        <f t="shared" si="1"/>
        <v/>
      </c>
      <c r="J7" t="str">
        <f t="shared" si="2"/>
        <v/>
      </c>
      <c r="K7" t="str">
        <f t="shared" si="3"/>
        <v/>
      </c>
      <c r="R7" t="s">
        <v>4</v>
      </c>
      <c r="Z7" t="s">
        <v>238</v>
      </c>
    </row>
    <row r="8" spans="1:29" ht="15" thickBot="1" x14ac:dyDescent="0.35">
      <c r="A8" s="4" t="s">
        <v>102</v>
      </c>
      <c r="B8">
        <v>0.13</v>
      </c>
      <c r="C8" t="s">
        <v>79</v>
      </c>
      <c r="D8" t="s">
        <v>79</v>
      </c>
      <c r="E8" t="s">
        <v>79</v>
      </c>
      <c r="F8" s="23"/>
      <c r="G8" t="str">
        <f t="shared" si="4"/>
        <v>Q1.6</v>
      </c>
      <c r="H8">
        <f t="shared" si="0"/>
        <v>0.13</v>
      </c>
      <c r="I8" t="str">
        <f t="shared" si="1"/>
        <v/>
      </c>
      <c r="J8" t="str">
        <f t="shared" si="2"/>
        <v/>
      </c>
      <c r="K8" t="str">
        <f t="shared" si="3"/>
        <v/>
      </c>
      <c r="R8" t="s">
        <v>5</v>
      </c>
      <c r="Z8" t="s">
        <v>239</v>
      </c>
    </row>
    <row r="9" spans="1:29" ht="15" thickBot="1" x14ac:dyDescent="0.35">
      <c r="A9" s="4" t="s">
        <v>97</v>
      </c>
      <c r="B9">
        <v>0.18</v>
      </c>
      <c r="C9" t="s">
        <v>79</v>
      </c>
      <c r="D9" t="s">
        <v>79</v>
      </c>
      <c r="E9">
        <v>-0.14000000000000001</v>
      </c>
      <c r="F9" s="23"/>
      <c r="G9" t="str">
        <f t="shared" si="4"/>
        <v>Q1.7</v>
      </c>
      <c r="H9">
        <f t="shared" si="0"/>
        <v>0.18</v>
      </c>
      <c r="I9" t="str">
        <f t="shared" si="1"/>
        <v/>
      </c>
      <c r="J9" t="str">
        <f t="shared" si="2"/>
        <v/>
      </c>
      <c r="K9">
        <f t="shared" si="3"/>
        <v>-0.14000000000000001</v>
      </c>
      <c r="R9" t="s">
        <v>6</v>
      </c>
      <c r="Z9" t="s">
        <v>240</v>
      </c>
    </row>
    <row r="10" spans="1:29" ht="15" thickBot="1" x14ac:dyDescent="0.35">
      <c r="A10" s="4" t="s">
        <v>118</v>
      </c>
      <c r="B10" t="s">
        <v>79</v>
      </c>
      <c r="C10" t="s">
        <v>79</v>
      </c>
      <c r="D10" t="s">
        <v>79</v>
      </c>
      <c r="E10" t="s">
        <v>79</v>
      </c>
      <c r="F10" s="23"/>
      <c r="G10" t="str">
        <f t="shared" si="4"/>
        <v>Q1.8</v>
      </c>
      <c r="H10" t="str">
        <f t="shared" si="0"/>
        <v/>
      </c>
      <c r="I10" t="str">
        <f t="shared" si="1"/>
        <v/>
      </c>
      <c r="J10" t="str">
        <f t="shared" si="2"/>
        <v/>
      </c>
      <c r="K10" t="str">
        <f t="shared" si="3"/>
        <v/>
      </c>
      <c r="R10" t="s">
        <v>7</v>
      </c>
    </row>
    <row r="11" spans="1:29" ht="15" thickBot="1" x14ac:dyDescent="0.35">
      <c r="A11" s="4" t="s">
        <v>104</v>
      </c>
      <c r="B11">
        <v>0.37</v>
      </c>
      <c r="C11" t="s">
        <v>79</v>
      </c>
      <c r="D11" t="s">
        <v>79</v>
      </c>
      <c r="E11">
        <v>-0.39</v>
      </c>
      <c r="F11" s="23"/>
      <c r="G11" t="str">
        <f t="shared" si="4"/>
        <v>Q1.9</v>
      </c>
      <c r="H11">
        <f t="shared" si="0"/>
        <v>0.37</v>
      </c>
      <c r="I11" t="str">
        <f t="shared" si="1"/>
        <v/>
      </c>
      <c r="J11" t="str">
        <f t="shared" si="2"/>
        <v/>
      </c>
      <c r="K11">
        <f t="shared" si="3"/>
        <v>-0.39</v>
      </c>
      <c r="R11" t="s">
        <v>8</v>
      </c>
      <c r="AC11" s="12" t="s">
        <v>244</v>
      </c>
    </row>
    <row r="12" spans="1:29" ht="15" thickBot="1" x14ac:dyDescent="0.35">
      <c r="A12" s="4" t="s">
        <v>117</v>
      </c>
      <c r="B12" t="s">
        <v>79</v>
      </c>
      <c r="C12">
        <v>0.19</v>
      </c>
      <c r="D12">
        <v>-0.19</v>
      </c>
      <c r="E12">
        <v>0.14000000000000001</v>
      </c>
      <c r="F12" s="23"/>
      <c r="G12" t="str">
        <f t="shared" si="4"/>
        <v>Q1.10</v>
      </c>
      <c r="H12" t="str">
        <f t="shared" si="0"/>
        <v/>
      </c>
      <c r="I12">
        <f t="shared" si="1"/>
        <v>0.19</v>
      </c>
      <c r="J12">
        <f t="shared" si="2"/>
        <v>-0.19</v>
      </c>
      <c r="K12">
        <f t="shared" si="3"/>
        <v>0.14000000000000001</v>
      </c>
      <c r="R12" t="s">
        <v>9</v>
      </c>
      <c r="Z12">
        <v>21</v>
      </c>
      <c r="AA12" s="24" t="s">
        <v>20</v>
      </c>
      <c r="AC12" t="s">
        <v>128</v>
      </c>
    </row>
    <row r="13" spans="1:29" ht="15" thickBot="1" x14ac:dyDescent="0.35">
      <c r="A13" s="4" t="s">
        <v>116</v>
      </c>
      <c r="B13" t="s">
        <v>79</v>
      </c>
      <c r="C13" t="s">
        <v>79</v>
      </c>
      <c r="D13" t="s">
        <v>79</v>
      </c>
      <c r="E13" t="s">
        <v>79</v>
      </c>
      <c r="F13" s="23"/>
      <c r="G13" t="str">
        <f t="shared" si="4"/>
        <v>Q1.11</v>
      </c>
      <c r="H13" t="str">
        <f t="shared" si="0"/>
        <v/>
      </c>
      <c r="I13" t="str">
        <f t="shared" si="1"/>
        <v/>
      </c>
      <c r="J13" t="str">
        <f t="shared" si="2"/>
        <v/>
      </c>
      <c r="K13" t="str">
        <f t="shared" si="3"/>
        <v/>
      </c>
      <c r="R13" t="s">
        <v>10</v>
      </c>
      <c r="Z13">
        <v>9</v>
      </c>
      <c r="AA13" s="24" t="s">
        <v>8</v>
      </c>
      <c r="AC13" t="s">
        <v>242</v>
      </c>
    </row>
    <row r="14" spans="1:29" ht="15" thickBot="1" x14ac:dyDescent="0.35">
      <c r="A14" s="4" t="s">
        <v>120</v>
      </c>
      <c r="B14" t="s">
        <v>79</v>
      </c>
      <c r="C14" t="s">
        <v>79</v>
      </c>
      <c r="D14" t="s">
        <v>79</v>
      </c>
      <c r="E14" t="s">
        <v>79</v>
      </c>
      <c r="F14" s="23"/>
      <c r="G14" t="str">
        <f t="shared" si="4"/>
        <v>Q1.12</v>
      </c>
      <c r="H14" t="str">
        <f t="shared" si="0"/>
        <v/>
      </c>
      <c r="I14" t="str">
        <f t="shared" si="1"/>
        <v/>
      </c>
      <c r="J14" t="str">
        <f t="shared" si="2"/>
        <v/>
      </c>
      <c r="K14" t="str">
        <f t="shared" si="3"/>
        <v/>
      </c>
      <c r="R14" t="s">
        <v>11</v>
      </c>
      <c r="Z14">
        <v>27</v>
      </c>
      <c r="AA14" s="24" t="s">
        <v>26</v>
      </c>
      <c r="AC14" t="s">
        <v>129</v>
      </c>
    </row>
    <row r="15" spans="1:29" ht="15" thickBot="1" x14ac:dyDescent="0.35">
      <c r="A15" s="4" t="s">
        <v>100</v>
      </c>
      <c r="B15">
        <v>0.24</v>
      </c>
      <c r="C15" t="s">
        <v>79</v>
      </c>
      <c r="D15" t="s">
        <v>79</v>
      </c>
      <c r="E15">
        <v>-0.18</v>
      </c>
      <c r="F15" s="23"/>
      <c r="G15" t="str">
        <f t="shared" si="4"/>
        <v>Q1.13</v>
      </c>
      <c r="H15">
        <f t="shared" si="0"/>
        <v>0.24</v>
      </c>
      <c r="I15" t="str">
        <f t="shared" si="1"/>
        <v/>
      </c>
      <c r="J15" t="str">
        <f t="shared" si="2"/>
        <v/>
      </c>
      <c r="K15">
        <f t="shared" si="3"/>
        <v>-0.18</v>
      </c>
      <c r="R15" t="s">
        <v>13</v>
      </c>
      <c r="Z15">
        <v>4</v>
      </c>
      <c r="AA15" s="24" t="s">
        <v>3</v>
      </c>
      <c r="AC15" t="s">
        <v>243</v>
      </c>
    </row>
    <row r="16" spans="1:29" ht="15" thickBot="1" x14ac:dyDescent="0.35">
      <c r="A16" s="4" t="s">
        <v>93</v>
      </c>
      <c r="B16">
        <v>0.21</v>
      </c>
      <c r="C16" t="s">
        <v>79</v>
      </c>
      <c r="D16" t="s">
        <v>79</v>
      </c>
      <c r="E16">
        <v>-0.15</v>
      </c>
      <c r="F16" s="23"/>
      <c r="G16" t="str">
        <f t="shared" si="4"/>
        <v>Q1.14</v>
      </c>
      <c r="H16">
        <f t="shared" si="0"/>
        <v>0.21</v>
      </c>
      <c r="I16" t="str">
        <f t="shared" si="1"/>
        <v/>
      </c>
      <c r="J16" t="str">
        <f t="shared" si="2"/>
        <v/>
      </c>
      <c r="K16">
        <f t="shared" si="3"/>
        <v>-0.15</v>
      </c>
      <c r="R16" t="s">
        <v>12</v>
      </c>
      <c r="Z16">
        <v>8</v>
      </c>
      <c r="AA16" s="24" t="s">
        <v>7</v>
      </c>
      <c r="AB16" t="s">
        <v>11</v>
      </c>
      <c r="AC16" t="s">
        <v>89</v>
      </c>
    </row>
    <row r="17" spans="1:29" ht="15" thickBot="1" x14ac:dyDescent="0.35">
      <c r="A17" s="4" t="s">
        <v>98</v>
      </c>
      <c r="B17">
        <v>0.15</v>
      </c>
      <c r="C17" t="s">
        <v>79</v>
      </c>
      <c r="D17" t="s">
        <v>79</v>
      </c>
      <c r="E17" t="s">
        <v>79</v>
      </c>
      <c r="F17" s="23"/>
      <c r="G17" t="str">
        <f t="shared" si="4"/>
        <v>Q1.15</v>
      </c>
      <c r="H17">
        <f t="shared" si="0"/>
        <v>0.15</v>
      </c>
      <c r="I17" t="str">
        <f t="shared" si="1"/>
        <v/>
      </c>
      <c r="J17" t="str">
        <f t="shared" si="2"/>
        <v/>
      </c>
      <c r="K17" t="str">
        <f t="shared" si="3"/>
        <v/>
      </c>
      <c r="R17" t="s">
        <v>14</v>
      </c>
      <c r="Z17">
        <v>10</v>
      </c>
      <c r="AA17" s="24" t="s">
        <v>9</v>
      </c>
      <c r="AC17" t="s">
        <v>141</v>
      </c>
    </row>
    <row r="18" spans="1:29" ht="15" thickBot="1" x14ac:dyDescent="0.35">
      <c r="A18" s="4" t="s">
        <v>99</v>
      </c>
      <c r="B18">
        <v>0.24</v>
      </c>
      <c r="C18" t="s">
        <v>79</v>
      </c>
      <c r="D18" t="s">
        <v>79</v>
      </c>
      <c r="E18">
        <v>-0.22</v>
      </c>
      <c r="F18" s="23"/>
      <c r="G18" t="str">
        <f t="shared" si="4"/>
        <v>Q1.16</v>
      </c>
      <c r="H18">
        <f t="shared" si="0"/>
        <v>0.24</v>
      </c>
      <c r="I18" t="str">
        <f t="shared" si="1"/>
        <v/>
      </c>
      <c r="J18" t="str">
        <f t="shared" si="2"/>
        <v/>
      </c>
      <c r="K18">
        <f t="shared" si="3"/>
        <v>-0.22</v>
      </c>
      <c r="R18" t="s">
        <v>15</v>
      </c>
      <c r="Z18">
        <v>1</v>
      </c>
      <c r="AA18" s="24" t="s">
        <v>0</v>
      </c>
      <c r="AC18" t="s">
        <v>132</v>
      </c>
    </row>
    <row r="19" spans="1:29" ht="15" thickBot="1" x14ac:dyDescent="0.35">
      <c r="A19" s="4" t="s">
        <v>105</v>
      </c>
      <c r="B19">
        <v>0.2</v>
      </c>
      <c r="C19" t="s">
        <v>79</v>
      </c>
      <c r="D19" t="s">
        <v>79</v>
      </c>
      <c r="E19">
        <v>-0.18</v>
      </c>
      <c r="F19" s="23"/>
      <c r="G19" t="str">
        <f t="shared" si="4"/>
        <v>Q1.17</v>
      </c>
      <c r="H19">
        <f t="shared" si="0"/>
        <v>0.2</v>
      </c>
      <c r="I19" t="str">
        <f t="shared" si="1"/>
        <v/>
      </c>
      <c r="J19" t="str">
        <f t="shared" si="2"/>
        <v/>
      </c>
      <c r="K19">
        <f t="shared" si="3"/>
        <v>-0.18</v>
      </c>
      <c r="R19" t="s">
        <v>16</v>
      </c>
    </row>
    <row r="20" spans="1:29" ht="15" thickBot="1" x14ac:dyDescent="0.35">
      <c r="A20" s="4" t="s">
        <v>109</v>
      </c>
      <c r="B20" t="s">
        <v>79</v>
      </c>
      <c r="C20" t="s">
        <v>79</v>
      </c>
      <c r="D20" t="s">
        <v>79</v>
      </c>
      <c r="E20" t="s">
        <v>79</v>
      </c>
      <c r="F20" s="23"/>
      <c r="G20" t="str">
        <f t="shared" si="4"/>
        <v>Q1.18</v>
      </c>
      <c r="H20" t="str">
        <f t="shared" si="0"/>
        <v/>
      </c>
      <c r="I20" t="str">
        <f t="shared" si="1"/>
        <v/>
      </c>
      <c r="J20" t="str">
        <f t="shared" si="2"/>
        <v/>
      </c>
      <c r="K20" t="str">
        <f t="shared" si="3"/>
        <v/>
      </c>
      <c r="R20" t="s">
        <v>17</v>
      </c>
    </row>
    <row r="21" spans="1:29" ht="15" thickBot="1" x14ac:dyDescent="0.35">
      <c r="A21" s="4" t="s">
        <v>112</v>
      </c>
      <c r="B21" t="s">
        <v>79</v>
      </c>
      <c r="C21" t="s">
        <v>79</v>
      </c>
      <c r="D21" t="s">
        <v>79</v>
      </c>
      <c r="E21" t="s">
        <v>79</v>
      </c>
      <c r="F21" s="23"/>
      <c r="G21" t="str">
        <f t="shared" si="4"/>
        <v>Q1.19</v>
      </c>
      <c r="H21" t="str">
        <f t="shared" si="0"/>
        <v/>
      </c>
      <c r="I21" t="str">
        <f t="shared" si="1"/>
        <v/>
      </c>
      <c r="J21" t="str">
        <f t="shared" si="2"/>
        <v/>
      </c>
      <c r="K21" t="str">
        <f t="shared" si="3"/>
        <v/>
      </c>
      <c r="R21" t="s">
        <v>18</v>
      </c>
    </row>
    <row r="22" spans="1:29" ht="15" thickBot="1" x14ac:dyDescent="0.35">
      <c r="A22" s="4" t="s">
        <v>94</v>
      </c>
      <c r="B22">
        <v>0.21</v>
      </c>
      <c r="C22" t="s">
        <v>79</v>
      </c>
      <c r="D22" t="s">
        <v>79</v>
      </c>
      <c r="E22">
        <v>-0.14000000000000001</v>
      </c>
      <c r="F22" s="23"/>
      <c r="G22" t="str">
        <f t="shared" si="4"/>
        <v>Q1.20</v>
      </c>
      <c r="H22">
        <f t="shared" si="0"/>
        <v>0.21</v>
      </c>
      <c r="I22" t="str">
        <f t="shared" si="1"/>
        <v/>
      </c>
      <c r="J22" t="str">
        <f t="shared" si="2"/>
        <v/>
      </c>
      <c r="K22">
        <f t="shared" si="3"/>
        <v>-0.14000000000000001</v>
      </c>
      <c r="R22" t="s">
        <v>19</v>
      </c>
    </row>
    <row r="23" spans="1:29" ht="15" thickBot="1" x14ac:dyDescent="0.35">
      <c r="A23" s="4" t="s">
        <v>111</v>
      </c>
      <c r="B23" t="s">
        <v>79</v>
      </c>
      <c r="C23" t="s">
        <v>79</v>
      </c>
      <c r="D23" t="s">
        <v>79</v>
      </c>
      <c r="E23" t="s">
        <v>79</v>
      </c>
      <c r="F23" s="23"/>
      <c r="G23" t="str">
        <f t="shared" si="4"/>
        <v>Q1.21</v>
      </c>
      <c r="H23" t="str">
        <f t="shared" si="0"/>
        <v/>
      </c>
      <c r="I23" t="str">
        <f t="shared" si="1"/>
        <v/>
      </c>
      <c r="J23" t="str">
        <f t="shared" si="2"/>
        <v/>
      </c>
      <c r="K23" t="str">
        <f t="shared" si="3"/>
        <v/>
      </c>
      <c r="R23" t="s">
        <v>20</v>
      </c>
    </row>
    <row r="24" spans="1:29" ht="15" thickBot="1" x14ac:dyDescent="0.35">
      <c r="A24" s="4" t="s">
        <v>106</v>
      </c>
      <c r="B24">
        <v>0.1</v>
      </c>
      <c r="C24" t="s">
        <v>79</v>
      </c>
      <c r="D24" t="s">
        <v>79</v>
      </c>
      <c r="E24" t="s">
        <v>79</v>
      </c>
      <c r="F24" s="23"/>
      <c r="G24" t="str">
        <f t="shared" si="4"/>
        <v>Q1.22</v>
      </c>
      <c r="H24">
        <f t="shared" si="0"/>
        <v>0.1</v>
      </c>
      <c r="I24" t="str">
        <f t="shared" si="1"/>
        <v/>
      </c>
      <c r="J24" t="str">
        <f t="shared" si="2"/>
        <v/>
      </c>
      <c r="K24" t="str">
        <f t="shared" si="3"/>
        <v/>
      </c>
      <c r="R24" t="s">
        <v>21</v>
      </c>
    </row>
    <row r="25" spans="1:29" ht="15" thickBot="1" x14ac:dyDescent="0.35">
      <c r="A25" s="4" t="s">
        <v>107</v>
      </c>
      <c r="B25">
        <v>0.15</v>
      </c>
      <c r="C25" t="s">
        <v>79</v>
      </c>
      <c r="D25" t="s">
        <v>79</v>
      </c>
      <c r="E25">
        <v>-0.11</v>
      </c>
      <c r="F25" s="23"/>
      <c r="G25" t="str">
        <f t="shared" si="4"/>
        <v>Q1.23</v>
      </c>
      <c r="H25">
        <f t="shared" si="0"/>
        <v>0.15</v>
      </c>
      <c r="I25" t="str">
        <f t="shared" si="1"/>
        <v/>
      </c>
      <c r="J25" t="str">
        <f t="shared" si="2"/>
        <v/>
      </c>
      <c r="K25">
        <f t="shared" si="3"/>
        <v>-0.11</v>
      </c>
      <c r="R25" t="s">
        <v>22</v>
      </c>
    </row>
    <row r="26" spans="1:29" ht="15" thickBot="1" x14ac:dyDescent="0.35">
      <c r="A26" s="4" t="s">
        <v>110</v>
      </c>
      <c r="B26" t="s">
        <v>79</v>
      </c>
      <c r="C26" t="s">
        <v>79</v>
      </c>
      <c r="D26" t="s">
        <v>79</v>
      </c>
      <c r="E26" t="s">
        <v>79</v>
      </c>
      <c r="F26" s="23"/>
      <c r="G26" t="str">
        <f t="shared" si="4"/>
        <v>Q1.24</v>
      </c>
      <c r="H26" t="str">
        <f t="shared" si="0"/>
        <v/>
      </c>
      <c r="I26" t="str">
        <f t="shared" si="1"/>
        <v/>
      </c>
      <c r="J26" t="str">
        <f t="shared" si="2"/>
        <v/>
      </c>
      <c r="K26" t="str">
        <f t="shared" si="3"/>
        <v/>
      </c>
      <c r="R26" t="s">
        <v>23</v>
      </c>
    </row>
    <row r="27" spans="1:29" ht="15" thickBot="1" x14ac:dyDescent="0.35">
      <c r="A27" s="4" t="s">
        <v>101</v>
      </c>
      <c r="B27">
        <v>0.14000000000000001</v>
      </c>
      <c r="C27" t="s">
        <v>79</v>
      </c>
      <c r="D27" t="s">
        <v>79</v>
      </c>
      <c r="E27">
        <v>-0.1</v>
      </c>
      <c r="F27" s="23"/>
      <c r="G27" t="str">
        <f t="shared" si="4"/>
        <v>Q1.25</v>
      </c>
      <c r="H27">
        <f t="shared" si="0"/>
        <v>0.14000000000000001</v>
      </c>
      <c r="I27" t="str">
        <f t="shared" si="1"/>
        <v/>
      </c>
      <c r="J27" t="str">
        <f t="shared" si="2"/>
        <v/>
      </c>
      <c r="K27">
        <f t="shared" si="3"/>
        <v>-0.1</v>
      </c>
      <c r="R27" t="s">
        <v>24</v>
      </c>
    </row>
    <row r="28" spans="1:29" ht="15" thickBot="1" x14ac:dyDescent="0.35">
      <c r="A28" s="4" t="s">
        <v>103</v>
      </c>
      <c r="B28">
        <v>0.27</v>
      </c>
      <c r="C28" t="s">
        <v>79</v>
      </c>
      <c r="D28" t="s">
        <v>79</v>
      </c>
      <c r="E28">
        <v>-0.23</v>
      </c>
      <c r="F28" s="23"/>
      <c r="G28" t="str">
        <f t="shared" si="4"/>
        <v>Q1.26</v>
      </c>
      <c r="H28">
        <f t="shared" si="0"/>
        <v>0.27</v>
      </c>
      <c r="I28" t="str">
        <f t="shared" si="1"/>
        <v/>
      </c>
      <c r="J28" t="str">
        <f t="shared" si="2"/>
        <v/>
      </c>
      <c r="K28">
        <f t="shared" si="3"/>
        <v>-0.23</v>
      </c>
      <c r="R28" t="s">
        <v>25</v>
      </c>
    </row>
    <row r="29" spans="1:29" ht="15" thickBot="1" x14ac:dyDescent="0.35">
      <c r="A29" s="4" t="s">
        <v>95</v>
      </c>
      <c r="B29">
        <v>0.37</v>
      </c>
      <c r="C29" t="s">
        <v>79</v>
      </c>
      <c r="D29">
        <v>-0.12</v>
      </c>
      <c r="E29">
        <v>-0.25</v>
      </c>
      <c r="F29" s="23"/>
      <c r="G29" t="str">
        <f t="shared" si="4"/>
        <v>Q1.27</v>
      </c>
      <c r="H29">
        <f t="shared" si="0"/>
        <v>0.37</v>
      </c>
      <c r="I29" t="str">
        <f t="shared" si="1"/>
        <v/>
      </c>
      <c r="J29">
        <f t="shared" si="2"/>
        <v>-0.12</v>
      </c>
      <c r="K29">
        <f t="shared" si="3"/>
        <v>-0.25</v>
      </c>
      <c r="R29" t="s">
        <v>26</v>
      </c>
    </row>
    <row r="30" spans="1:29" ht="15" thickBot="1" x14ac:dyDescent="0.35">
      <c r="A30" s="4" t="s">
        <v>92</v>
      </c>
      <c r="B30">
        <v>0.24</v>
      </c>
      <c r="C30" t="s">
        <v>79</v>
      </c>
      <c r="D30" t="s">
        <v>79</v>
      </c>
      <c r="E30">
        <v>-0.19</v>
      </c>
      <c r="F30" s="23"/>
      <c r="G30" t="str">
        <f t="shared" si="4"/>
        <v>Q1.28</v>
      </c>
      <c r="H30">
        <f t="shared" si="0"/>
        <v>0.24</v>
      </c>
      <c r="I30" t="str">
        <f t="shared" si="1"/>
        <v/>
      </c>
      <c r="J30" t="str">
        <f t="shared" si="2"/>
        <v/>
      </c>
      <c r="K30">
        <f t="shared" si="3"/>
        <v>-0.19</v>
      </c>
      <c r="R30" t="s">
        <v>27</v>
      </c>
    </row>
    <row r="31" spans="1:29" ht="15" thickBot="1" x14ac:dyDescent="0.35">
      <c r="A31" s="4" t="s">
        <v>113</v>
      </c>
      <c r="B31" t="s">
        <v>79</v>
      </c>
      <c r="C31" t="s">
        <v>79</v>
      </c>
      <c r="D31" t="s">
        <v>79</v>
      </c>
      <c r="E31" t="s">
        <v>79</v>
      </c>
      <c r="F31" s="23"/>
      <c r="G31" t="str">
        <f t="shared" si="4"/>
        <v>Q1.29</v>
      </c>
      <c r="H31" t="str">
        <f t="shared" si="0"/>
        <v/>
      </c>
      <c r="I31" t="str">
        <f t="shared" si="1"/>
        <v/>
      </c>
      <c r="J31" t="str">
        <f t="shared" si="2"/>
        <v/>
      </c>
      <c r="K31" t="str">
        <f t="shared" si="3"/>
        <v/>
      </c>
      <c r="R31" t="s">
        <v>28</v>
      </c>
    </row>
    <row r="32" spans="1:29" ht="15" thickBot="1" x14ac:dyDescent="0.35">
      <c r="A32" s="4" t="s">
        <v>147</v>
      </c>
      <c r="B32">
        <v>0.17</v>
      </c>
      <c r="C32">
        <v>-0.1</v>
      </c>
      <c r="D32" t="s">
        <v>79</v>
      </c>
      <c r="E32">
        <v>-0.13</v>
      </c>
      <c r="F32" s="23"/>
      <c r="G32" t="str">
        <f t="shared" si="4"/>
        <v>Q2</v>
      </c>
      <c r="H32">
        <f t="shared" si="0"/>
        <v>0.17</v>
      </c>
      <c r="I32">
        <f t="shared" si="1"/>
        <v>-0.1</v>
      </c>
      <c r="J32" t="str">
        <f t="shared" si="2"/>
        <v/>
      </c>
      <c r="K32">
        <f t="shared" si="3"/>
        <v>-0.13</v>
      </c>
      <c r="R32" t="s">
        <v>206</v>
      </c>
    </row>
    <row r="33" spans="1:18" ht="15" thickBot="1" x14ac:dyDescent="0.35">
      <c r="A33" s="4" t="s">
        <v>148</v>
      </c>
      <c r="B33" t="s">
        <v>79</v>
      </c>
      <c r="C33" t="s">
        <v>79</v>
      </c>
      <c r="D33" t="s">
        <v>79</v>
      </c>
      <c r="E33" t="s">
        <v>79</v>
      </c>
      <c r="F33" s="23"/>
      <c r="G33" t="str">
        <f t="shared" si="4"/>
        <v>Q2.Cluster</v>
      </c>
      <c r="H33" t="str">
        <f t="shared" si="0"/>
        <v/>
      </c>
      <c r="I33" t="str">
        <f t="shared" si="1"/>
        <v/>
      </c>
      <c r="J33" t="str">
        <f t="shared" si="2"/>
        <v/>
      </c>
      <c r="K33" t="str">
        <f t="shared" si="3"/>
        <v/>
      </c>
      <c r="R33" t="s">
        <v>206</v>
      </c>
    </row>
    <row r="34" spans="1:18" ht="15" thickBot="1" x14ac:dyDescent="0.35">
      <c r="A34" s="4" t="s">
        <v>149</v>
      </c>
      <c r="B34" t="s">
        <v>79</v>
      </c>
      <c r="C34" t="s">
        <v>79</v>
      </c>
      <c r="D34" t="s">
        <v>79</v>
      </c>
      <c r="E34" t="s">
        <v>79</v>
      </c>
      <c r="F34" s="23"/>
      <c r="G34" t="str">
        <f t="shared" si="4"/>
        <v>Q3</v>
      </c>
      <c r="H34" t="str">
        <f t="shared" si="0"/>
        <v/>
      </c>
      <c r="I34" t="str">
        <f t="shared" si="1"/>
        <v/>
      </c>
      <c r="J34" t="str">
        <f t="shared" si="2"/>
        <v/>
      </c>
      <c r="K34" t="str">
        <f t="shared" si="3"/>
        <v/>
      </c>
      <c r="R34" t="s">
        <v>207</v>
      </c>
    </row>
    <row r="35" spans="1:18" ht="15" thickBot="1" x14ac:dyDescent="0.35">
      <c r="A35" s="4" t="s">
        <v>150</v>
      </c>
      <c r="B35">
        <v>0.14000000000000001</v>
      </c>
      <c r="C35" t="s">
        <v>79</v>
      </c>
      <c r="D35" t="s">
        <v>79</v>
      </c>
      <c r="E35" t="s">
        <v>79</v>
      </c>
      <c r="F35" s="23"/>
      <c r="G35" t="str">
        <f t="shared" si="4"/>
        <v>Q4</v>
      </c>
      <c r="H35">
        <f t="shared" ref="H35:H66" si="5">IF(ISNUMBER(B35),B35,"")</f>
        <v>0.14000000000000001</v>
      </c>
      <c r="I35" t="str">
        <f t="shared" ref="I35:I66" si="6">IF(ISNUMBER(C35),C35,"")</f>
        <v/>
      </c>
      <c r="J35" t="str">
        <f t="shared" ref="J35:J66" si="7">IF(ISNUMBER(D35),D35,"")</f>
        <v/>
      </c>
      <c r="K35" t="str">
        <f t="shared" ref="K35:K66" si="8">IF(ISNUMBER(E35),E35,"")</f>
        <v/>
      </c>
      <c r="R35" t="s">
        <v>208</v>
      </c>
    </row>
    <row r="36" spans="1:18" ht="15" thickBot="1" x14ac:dyDescent="0.35">
      <c r="A36" s="4" t="s">
        <v>151</v>
      </c>
      <c r="B36">
        <v>0.26</v>
      </c>
      <c r="C36" t="s">
        <v>79</v>
      </c>
      <c r="D36" t="s">
        <v>79</v>
      </c>
      <c r="E36">
        <v>-0.19</v>
      </c>
      <c r="F36" s="23"/>
      <c r="G36" t="str">
        <f t="shared" si="4"/>
        <v>Q5</v>
      </c>
      <c r="H36">
        <f t="shared" si="5"/>
        <v>0.26</v>
      </c>
      <c r="I36" t="str">
        <f t="shared" si="6"/>
        <v/>
      </c>
      <c r="J36" t="str">
        <f t="shared" si="7"/>
        <v/>
      </c>
      <c r="K36">
        <f t="shared" si="8"/>
        <v>-0.19</v>
      </c>
      <c r="R36" t="s">
        <v>209</v>
      </c>
    </row>
    <row r="37" spans="1:18" ht="15" thickBot="1" x14ac:dyDescent="0.35">
      <c r="A37" s="4" t="s">
        <v>152</v>
      </c>
      <c r="B37" t="s">
        <v>79</v>
      </c>
      <c r="C37" t="s">
        <v>79</v>
      </c>
      <c r="D37" t="s">
        <v>79</v>
      </c>
      <c r="E37" t="s">
        <v>79</v>
      </c>
      <c r="F37" s="23"/>
      <c r="G37" t="str">
        <f t="shared" si="4"/>
        <v>Q6</v>
      </c>
      <c r="H37" t="str">
        <f t="shared" si="5"/>
        <v/>
      </c>
      <c r="I37" t="str">
        <f t="shared" si="6"/>
        <v/>
      </c>
      <c r="J37" t="str">
        <f t="shared" si="7"/>
        <v/>
      </c>
      <c r="K37" t="str">
        <f t="shared" si="8"/>
        <v/>
      </c>
      <c r="R37" t="s">
        <v>210</v>
      </c>
    </row>
    <row r="38" spans="1:18" ht="15" thickBot="1" x14ac:dyDescent="0.35">
      <c r="A38" s="4" t="s">
        <v>153</v>
      </c>
      <c r="B38">
        <v>0.1</v>
      </c>
      <c r="C38" t="s">
        <v>79</v>
      </c>
      <c r="D38" t="s">
        <v>79</v>
      </c>
      <c r="E38" t="s">
        <v>79</v>
      </c>
      <c r="F38" s="23"/>
      <c r="G38" t="str">
        <f t="shared" si="4"/>
        <v>Q7.1</v>
      </c>
      <c r="H38">
        <f t="shared" si="5"/>
        <v>0.1</v>
      </c>
      <c r="I38" t="str">
        <f t="shared" si="6"/>
        <v/>
      </c>
      <c r="J38" t="str">
        <f t="shared" si="7"/>
        <v/>
      </c>
      <c r="K38" t="str">
        <f t="shared" si="8"/>
        <v/>
      </c>
      <c r="R38" t="s">
        <v>211</v>
      </c>
    </row>
    <row r="39" spans="1:18" ht="15" thickBot="1" x14ac:dyDescent="0.35">
      <c r="A39" s="4" t="s">
        <v>154</v>
      </c>
      <c r="B39" t="s">
        <v>79</v>
      </c>
      <c r="C39" t="s">
        <v>79</v>
      </c>
      <c r="D39" t="s">
        <v>79</v>
      </c>
      <c r="E39" t="s">
        <v>79</v>
      </c>
      <c r="F39" s="23"/>
      <c r="G39" t="str">
        <f t="shared" si="4"/>
        <v>Q7.2</v>
      </c>
      <c r="H39" t="str">
        <f t="shared" si="5"/>
        <v/>
      </c>
      <c r="I39" t="str">
        <f t="shared" si="6"/>
        <v/>
      </c>
      <c r="J39" t="str">
        <f t="shared" si="7"/>
        <v/>
      </c>
      <c r="K39" t="str">
        <f t="shared" si="8"/>
        <v/>
      </c>
      <c r="R39" t="s">
        <v>212</v>
      </c>
    </row>
    <row r="40" spans="1:18" ht="15" thickBot="1" x14ac:dyDescent="0.35">
      <c r="A40" s="4" t="s">
        <v>155</v>
      </c>
      <c r="B40" t="s">
        <v>79</v>
      </c>
      <c r="C40" t="s">
        <v>79</v>
      </c>
      <c r="D40" t="s">
        <v>79</v>
      </c>
      <c r="E40" t="s">
        <v>79</v>
      </c>
      <c r="F40" s="23"/>
      <c r="G40" t="str">
        <f t="shared" si="4"/>
        <v>Q7.3</v>
      </c>
      <c r="H40" t="str">
        <f t="shared" si="5"/>
        <v/>
      </c>
      <c r="I40" t="str">
        <f t="shared" si="6"/>
        <v/>
      </c>
      <c r="J40" t="str">
        <f t="shared" si="7"/>
        <v/>
      </c>
      <c r="K40" t="str">
        <f t="shared" si="8"/>
        <v/>
      </c>
      <c r="R40" t="s">
        <v>213</v>
      </c>
    </row>
    <row r="41" spans="1:18" ht="15" thickBot="1" x14ac:dyDescent="0.35">
      <c r="A41" s="4" t="s">
        <v>156</v>
      </c>
      <c r="B41" t="s">
        <v>79</v>
      </c>
      <c r="C41" t="s">
        <v>79</v>
      </c>
      <c r="D41" t="s">
        <v>79</v>
      </c>
      <c r="E41" t="s">
        <v>79</v>
      </c>
      <c r="F41" s="23"/>
      <c r="G41" t="str">
        <f t="shared" si="4"/>
        <v>Q7.4</v>
      </c>
      <c r="H41" t="str">
        <f t="shared" si="5"/>
        <v/>
      </c>
      <c r="I41" t="str">
        <f t="shared" si="6"/>
        <v/>
      </c>
      <c r="J41" t="str">
        <f t="shared" si="7"/>
        <v/>
      </c>
      <c r="K41" t="str">
        <f t="shared" si="8"/>
        <v/>
      </c>
      <c r="R41" t="s">
        <v>214</v>
      </c>
    </row>
    <row r="42" spans="1:18" ht="15" thickBot="1" x14ac:dyDescent="0.35">
      <c r="A42" s="4" t="s">
        <v>157</v>
      </c>
      <c r="B42" t="s">
        <v>79</v>
      </c>
      <c r="C42" t="s">
        <v>79</v>
      </c>
      <c r="D42" t="s">
        <v>79</v>
      </c>
      <c r="E42" t="s">
        <v>79</v>
      </c>
      <c r="F42" s="23"/>
      <c r="G42" t="str">
        <f t="shared" si="4"/>
        <v>Q8</v>
      </c>
      <c r="H42" t="str">
        <f t="shared" si="5"/>
        <v/>
      </c>
      <c r="I42" t="str">
        <f t="shared" si="6"/>
        <v/>
      </c>
      <c r="J42" t="str">
        <f t="shared" si="7"/>
        <v/>
      </c>
      <c r="K42" t="str">
        <f t="shared" si="8"/>
        <v/>
      </c>
      <c r="R42" t="s">
        <v>215</v>
      </c>
    </row>
    <row r="43" spans="1:18" ht="15" thickBot="1" x14ac:dyDescent="0.35">
      <c r="A43" s="4" t="s">
        <v>158</v>
      </c>
      <c r="B43" t="s">
        <v>79</v>
      </c>
      <c r="C43" t="s">
        <v>79</v>
      </c>
      <c r="D43" t="s">
        <v>79</v>
      </c>
      <c r="E43" t="s">
        <v>79</v>
      </c>
      <c r="F43" s="23"/>
      <c r="G43" t="str">
        <f t="shared" si="4"/>
        <v>Q9.1</v>
      </c>
      <c r="H43" t="str">
        <f t="shared" si="5"/>
        <v/>
      </c>
      <c r="I43" t="str">
        <f t="shared" si="6"/>
        <v/>
      </c>
      <c r="J43" t="str">
        <f t="shared" si="7"/>
        <v/>
      </c>
      <c r="K43" t="str">
        <f t="shared" si="8"/>
        <v/>
      </c>
      <c r="R43" t="s">
        <v>216</v>
      </c>
    </row>
    <row r="44" spans="1:18" ht="15" thickBot="1" x14ac:dyDescent="0.35">
      <c r="A44" s="4" t="s">
        <v>159</v>
      </c>
      <c r="B44" t="s">
        <v>79</v>
      </c>
      <c r="C44" t="s">
        <v>79</v>
      </c>
      <c r="D44" t="s">
        <v>79</v>
      </c>
      <c r="E44" t="s">
        <v>79</v>
      </c>
      <c r="F44" s="23"/>
      <c r="G44" t="str">
        <f t="shared" si="4"/>
        <v>Q9.2</v>
      </c>
      <c r="H44" t="str">
        <f t="shared" si="5"/>
        <v/>
      </c>
      <c r="I44" t="str">
        <f t="shared" si="6"/>
        <v/>
      </c>
      <c r="J44" t="str">
        <f t="shared" si="7"/>
        <v/>
      </c>
      <c r="K44" t="str">
        <f t="shared" si="8"/>
        <v/>
      </c>
      <c r="R44" t="s">
        <v>217</v>
      </c>
    </row>
    <row r="45" spans="1:18" ht="15" thickBot="1" x14ac:dyDescent="0.35">
      <c r="A45" s="4" t="s">
        <v>160</v>
      </c>
      <c r="B45" t="s">
        <v>79</v>
      </c>
      <c r="C45" t="s">
        <v>79</v>
      </c>
      <c r="D45" t="s">
        <v>79</v>
      </c>
      <c r="E45" t="s">
        <v>79</v>
      </c>
      <c r="F45" s="23"/>
      <c r="G45" t="str">
        <f t="shared" si="4"/>
        <v>Q9.3</v>
      </c>
      <c r="H45" t="str">
        <f t="shared" si="5"/>
        <v/>
      </c>
      <c r="I45" t="str">
        <f t="shared" si="6"/>
        <v/>
      </c>
      <c r="J45" t="str">
        <f t="shared" si="7"/>
        <v/>
      </c>
      <c r="K45" t="str">
        <f t="shared" si="8"/>
        <v/>
      </c>
      <c r="R45" t="s">
        <v>218</v>
      </c>
    </row>
    <row r="46" spans="1:18" ht="15" thickBot="1" x14ac:dyDescent="0.35">
      <c r="A46" s="4" t="s">
        <v>161</v>
      </c>
      <c r="B46" t="s">
        <v>79</v>
      </c>
      <c r="C46" t="s">
        <v>79</v>
      </c>
      <c r="D46" t="s">
        <v>79</v>
      </c>
      <c r="E46" t="s">
        <v>79</v>
      </c>
      <c r="F46" s="23"/>
      <c r="G46" t="str">
        <f t="shared" si="4"/>
        <v>Q9.4</v>
      </c>
      <c r="H46" t="str">
        <f t="shared" si="5"/>
        <v/>
      </c>
      <c r="I46" t="str">
        <f t="shared" si="6"/>
        <v/>
      </c>
      <c r="J46" t="str">
        <f t="shared" si="7"/>
        <v/>
      </c>
      <c r="K46" t="str">
        <f t="shared" si="8"/>
        <v/>
      </c>
      <c r="R46" t="s">
        <v>219</v>
      </c>
    </row>
    <row r="47" spans="1:18" ht="15" thickBot="1" x14ac:dyDescent="0.35">
      <c r="A47" s="4" t="s">
        <v>162</v>
      </c>
      <c r="B47">
        <v>0.1</v>
      </c>
      <c r="C47" t="s">
        <v>79</v>
      </c>
      <c r="D47" t="s">
        <v>79</v>
      </c>
      <c r="E47" t="s">
        <v>79</v>
      </c>
      <c r="F47" s="23"/>
      <c r="G47" t="str">
        <f t="shared" si="4"/>
        <v>Q9.5</v>
      </c>
      <c r="H47">
        <f t="shared" si="5"/>
        <v>0.1</v>
      </c>
      <c r="I47" t="str">
        <f t="shared" si="6"/>
        <v/>
      </c>
      <c r="J47" t="str">
        <f t="shared" si="7"/>
        <v/>
      </c>
      <c r="K47" t="str">
        <f t="shared" si="8"/>
        <v/>
      </c>
      <c r="R47" t="s">
        <v>220</v>
      </c>
    </row>
    <row r="48" spans="1:18" ht="15" thickBot="1" x14ac:dyDescent="0.35">
      <c r="A48" s="4" t="s">
        <v>163</v>
      </c>
      <c r="B48">
        <v>0.15</v>
      </c>
      <c r="C48" t="s">
        <v>79</v>
      </c>
      <c r="D48" t="s">
        <v>79</v>
      </c>
      <c r="E48" t="s">
        <v>79</v>
      </c>
      <c r="F48" s="23"/>
      <c r="G48" t="str">
        <f t="shared" si="4"/>
        <v>Q10</v>
      </c>
      <c r="H48">
        <f t="shared" si="5"/>
        <v>0.15</v>
      </c>
      <c r="I48" t="str">
        <f t="shared" si="6"/>
        <v/>
      </c>
      <c r="J48" t="str">
        <f t="shared" si="7"/>
        <v/>
      </c>
      <c r="K48" t="str">
        <f t="shared" si="8"/>
        <v/>
      </c>
      <c r="R48" t="s">
        <v>221</v>
      </c>
    </row>
    <row r="49" spans="1:18" ht="15" thickBot="1" x14ac:dyDescent="0.35">
      <c r="A49" s="4" t="s">
        <v>164</v>
      </c>
      <c r="B49" t="s">
        <v>79</v>
      </c>
      <c r="C49" t="s">
        <v>79</v>
      </c>
      <c r="D49" t="s">
        <v>79</v>
      </c>
      <c r="E49" t="s">
        <v>79</v>
      </c>
      <c r="F49" s="23"/>
      <c r="G49" t="str">
        <f t="shared" si="4"/>
        <v>Q11</v>
      </c>
      <c r="H49" t="str">
        <f t="shared" si="5"/>
        <v/>
      </c>
      <c r="I49" t="str">
        <f t="shared" si="6"/>
        <v/>
      </c>
      <c r="J49" t="str">
        <f t="shared" si="7"/>
        <v/>
      </c>
      <c r="K49" t="str">
        <f t="shared" si="8"/>
        <v/>
      </c>
      <c r="R49" t="s">
        <v>259</v>
      </c>
    </row>
    <row r="50" spans="1:18" ht="15" thickBot="1" x14ac:dyDescent="0.35">
      <c r="A50" s="4" t="s">
        <v>165</v>
      </c>
      <c r="B50" t="s">
        <v>79</v>
      </c>
      <c r="C50" t="s">
        <v>79</v>
      </c>
      <c r="D50" t="s">
        <v>79</v>
      </c>
      <c r="E50" t="s">
        <v>79</v>
      </c>
      <c r="F50" s="23"/>
      <c r="G50" t="str">
        <f t="shared" si="4"/>
        <v>Q12</v>
      </c>
      <c r="H50" t="str">
        <f t="shared" si="5"/>
        <v/>
      </c>
      <c r="I50" t="str">
        <f t="shared" si="6"/>
        <v/>
      </c>
      <c r="J50" t="str">
        <f t="shared" si="7"/>
        <v/>
      </c>
      <c r="K50" t="str">
        <f t="shared" si="8"/>
        <v/>
      </c>
      <c r="R50" t="s">
        <v>233</v>
      </c>
    </row>
    <row r="51" spans="1:18" ht="15" thickBot="1" x14ac:dyDescent="0.35">
      <c r="A51" s="4" t="s">
        <v>166</v>
      </c>
      <c r="B51">
        <v>0.11</v>
      </c>
      <c r="C51" t="s">
        <v>79</v>
      </c>
      <c r="D51" t="s">
        <v>79</v>
      </c>
      <c r="E51">
        <v>-0.13</v>
      </c>
      <c r="F51" s="23"/>
      <c r="G51" t="str">
        <f t="shared" si="4"/>
        <v>Q13</v>
      </c>
      <c r="H51">
        <f t="shared" si="5"/>
        <v>0.11</v>
      </c>
      <c r="I51" t="str">
        <f t="shared" si="6"/>
        <v/>
      </c>
      <c r="J51" t="str">
        <f t="shared" si="7"/>
        <v/>
      </c>
      <c r="K51">
        <f t="shared" si="8"/>
        <v>-0.13</v>
      </c>
      <c r="R51" t="s">
        <v>222</v>
      </c>
    </row>
    <row r="52" spans="1:18" ht="15" thickBot="1" x14ac:dyDescent="0.35">
      <c r="A52" s="4" t="s">
        <v>167</v>
      </c>
      <c r="B52">
        <v>-0.14000000000000001</v>
      </c>
      <c r="C52" t="s">
        <v>79</v>
      </c>
      <c r="D52" t="s">
        <v>79</v>
      </c>
      <c r="E52" t="s">
        <v>79</v>
      </c>
      <c r="F52" s="23"/>
      <c r="G52" t="str">
        <f t="shared" si="4"/>
        <v>Q14</v>
      </c>
      <c r="H52">
        <f t="shared" si="5"/>
        <v>-0.14000000000000001</v>
      </c>
      <c r="I52" t="str">
        <f t="shared" si="6"/>
        <v/>
      </c>
      <c r="J52" t="str">
        <f t="shared" si="7"/>
        <v/>
      </c>
      <c r="K52" t="str">
        <f t="shared" si="8"/>
        <v/>
      </c>
      <c r="R52" t="s">
        <v>223</v>
      </c>
    </row>
    <row r="53" spans="1:18" ht="15" thickBot="1" x14ac:dyDescent="0.35">
      <c r="A53" s="4" t="s">
        <v>168</v>
      </c>
      <c r="B53">
        <v>-0.15</v>
      </c>
      <c r="C53" t="s">
        <v>79</v>
      </c>
      <c r="D53" t="s">
        <v>79</v>
      </c>
      <c r="E53">
        <v>0.13</v>
      </c>
      <c r="F53" s="23"/>
      <c r="G53" t="str">
        <f t="shared" si="4"/>
        <v>Q15</v>
      </c>
      <c r="H53">
        <f t="shared" si="5"/>
        <v>-0.15</v>
      </c>
      <c r="I53" t="str">
        <f t="shared" si="6"/>
        <v/>
      </c>
      <c r="J53" t="str">
        <f t="shared" si="7"/>
        <v/>
      </c>
      <c r="K53">
        <f t="shared" si="8"/>
        <v>0.13</v>
      </c>
      <c r="R53" t="s">
        <v>224</v>
      </c>
    </row>
    <row r="54" spans="1:18" ht="15" thickBot="1" x14ac:dyDescent="0.35">
      <c r="A54" s="4" t="s">
        <v>169</v>
      </c>
      <c r="B54" t="s">
        <v>79</v>
      </c>
      <c r="C54" t="s">
        <v>79</v>
      </c>
      <c r="D54" t="s">
        <v>79</v>
      </c>
      <c r="E54" t="s">
        <v>79</v>
      </c>
      <c r="F54" s="23"/>
      <c r="G54" t="str">
        <f t="shared" si="4"/>
        <v>Q16</v>
      </c>
      <c r="H54" t="str">
        <f t="shared" si="5"/>
        <v/>
      </c>
      <c r="I54" t="str">
        <f t="shared" si="6"/>
        <v/>
      </c>
      <c r="J54" t="str">
        <f t="shared" si="7"/>
        <v/>
      </c>
      <c r="K54" t="str">
        <f t="shared" si="8"/>
        <v/>
      </c>
    </row>
    <row r="55" spans="1:18" ht="15" thickBot="1" x14ac:dyDescent="0.35">
      <c r="A55" s="4" t="s">
        <v>170</v>
      </c>
      <c r="B55" t="s">
        <v>79</v>
      </c>
      <c r="C55" t="s">
        <v>79</v>
      </c>
      <c r="D55" t="s">
        <v>79</v>
      </c>
      <c r="E55" t="s">
        <v>79</v>
      </c>
      <c r="F55" s="23"/>
      <c r="G55" t="str">
        <f t="shared" si="4"/>
        <v>Q16.1</v>
      </c>
      <c r="H55" t="str">
        <f t="shared" si="5"/>
        <v/>
      </c>
      <c r="I55" t="str">
        <f t="shared" si="6"/>
        <v/>
      </c>
      <c r="J55" t="str">
        <f t="shared" si="7"/>
        <v/>
      </c>
      <c r="K55" t="str">
        <f t="shared" si="8"/>
        <v/>
      </c>
      <c r="R55" t="s">
        <v>260</v>
      </c>
    </row>
    <row r="56" spans="1:18" ht="15" thickBot="1" x14ac:dyDescent="0.35">
      <c r="A56" s="4" t="s">
        <v>171</v>
      </c>
      <c r="B56">
        <v>0.11</v>
      </c>
      <c r="C56" t="s">
        <v>79</v>
      </c>
      <c r="D56" t="s">
        <v>79</v>
      </c>
      <c r="E56" t="s">
        <v>79</v>
      </c>
      <c r="F56" s="23"/>
      <c r="G56" t="str">
        <f t="shared" si="4"/>
        <v>Q16.2</v>
      </c>
      <c r="H56">
        <f t="shared" si="5"/>
        <v>0.11</v>
      </c>
      <c r="I56" t="str">
        <f t="shared" si="6"/>
        <v/>
      </c>
      <c r="J56" t="str">
        <f t="shared" si="7"/>
        <v/>
      </c>
      <c r="K56" t="str">
        <f t="shared" si="8"/>
        <v/>
      </c>
      <c r="R56" t="s">
        <v>225</v>
      </c>
    </row>
    <row r="57" spans="1:18" ht="15" thickBot="1" x14ac:dyDescent="0.35">
      <c r="A57" s="4" t="s">
        <v>172</v>
      </c>
      <c r="B57" t="s">
        <v>79</v>
      </c>
      <c r="C57" t="s">
        <v>79</v>
      </c>
      <c r="D57" t="s">
        <v>79</v>
      </c>
      <c r="E57" t="s">
        <v>79</v>
      </c>
      <c r="F57" s="23"/>
      <c r="G57" t="str">
        <f t="shared" si="4"/>
        <v>Q16.3</v>
      </c>
      <c r="H57" t="str">
        <f t="shared" si="5"/>
        <v/>
      </c>
      <c r="I57" t="str">
        <f t="shared" si="6"/>
        <v/>
      </c>
      <c r="J57" t="str">
        <f t="shared" si="7"/>
        <v/>
      </c>
      <c r="K57" t="str">
        <f t="shared" si="8"/>
        <v/>
      </c>
    </row>
    <row r="58" spans="1:18" ht="15" thickBot="1" x14ac:dyDescent="0.35">
      <c r="A58" s="4" t="s">
        <v>173</v>
      </c>
      <c r="B58" t="s">
        <v>79</v>
      </c>
      <c r="C58" t="s">
        <v>79</v>
      </c>
      <c r="D58" t="s">
        <v>79</v>
      </c>
      <c r="E58" t="s">
        <v>79</v>
      </c>
      <c r="F58" s="23"/>
      <c r="G58" t="str">
        <f t="shared" si="4"/>
        <v>Q16.4</v>
      </c>
      <c r="H58" t="str">
        <f t="shared" si="5"/>
        <v/>
      </c>
      <c r="I58" t="str">
        <f t="shared" si="6"/>
        <v/>
      </c>
      <c r="J58" t="str">
        <f t="shared" si="7"/>
        <v/>
      </c>
      <c r="K58" t="str">
        <f t="shared" si="8"/>
        <v/>
      </c>
    </row>
    <row r="59" spans="1:18" ht="15" thickBot="1" x14ac:dyDescent="0.35">
      <c r="A59" s="4" t="s">
        <v>174</v>
      </c>
      <c r="B59" t="s">
        <v>79</v>
      </c>
      <c r="C59" t="s">
        <v>79</v>
      </c>
      <c r="D59" t="s">
        <v>79</v>
      </c>
      <c r="E59" t="s">
        <v>79</v>
      </c>
      <c r="F59" s="23"/>
      <c r="G59" t="str">
        <f t="shared" si="4"/>
        <v>Q16.5</v>
      </c>
      <c r="H59" t="str">
        <f t="shared" si="5"/>
        <v/>
      </c>
      <c r="I59" t="str">
        <f t="shared" si="6"/>
        <v/>
      </c>
      <c r="J59" t="str">
        <f t="shared" si="7"/>
        <v/>
      </c>
      <c r="K59" t="str">
        <f t="shared" si="8"/>
        <v/>
      </c>
    </row>
    <row r="60" spans="1:18" ht="15" thickBot="1" x14ac:dyDescent="0.35">
      <c r="A60" s="4" t="s">
        <v>175</v>
      </c>
      <c r="B60" t="s">
        <v>79</v>
      </c>
      <c r="C60" t="s">
        <v>79</v>
      </c>
      <c r="D60" t="s">
        <v>79</v>
      </c>
      <c r="E60" t="s">
        <v>79</v>
      </c>
      <c r="F60" s="23"/>
      <c r="G60" t="str">
        <f t="shared" si="4"/>
        <v>Q16.6</v>
      </c>
      <c r="H60" t="str">
        <f t="shared" si="5"/>
        <v/>
      </c>
      <c r="I60" t="str">
        <f t="shared" si="6"/>
        <v/>
      </c>
      <c r="J60" t="str">
        <f t="shared" si="7"/>
        <v/>
      </c>
      <c r="K60" t="str">
        <f t="shared" si="8"/>
        <v/>
      </c>
    </row>
    <row r="61" spans="1:18" ht="15" thickBot="1" x14ac:dyDescent="0.35">
      <c r="A61" s="4" t="s">
        <v>176</v>
      </c>
      <c r="B61" t="s">
        <v>79</v>
      </c>
      <c r="C61" t="s">
        <v>79</v>
      </c>
      <c r="D61" t="s">
        <v>79</v>
      </c>
      <c r="E61" t="s">
        <v>79</v>
      </c>
      <c r="F61" s="23"/>
      <c r="G61" t="str">
        <f t="shared" si="4"/>
        <v>Q16.7</v>
      </c>
      <c r="H61" t="str">
        <f t="shared" si="5"/>
        <v/>
      </c>
      <c r="I61" t="str">
        <f t="shared" si="6"/>
        <v/>
      </c>
      <c r="J61" t="str">
        <f t="shared" si="7"/>
        <v/>
      </c>
      <c r="K61" t="str">
        <f t="shared" si="8"/>
        <v/>
      </c>
    </row>
    <row r="62" spans="1:18" ht="15" thickBot="1" x14ac:dyDescent="0.35">
      <c r="A62" s="4" t="s">
        <v>177</v>
      </c>
      <c r="B62" t="s">
        <v>79</v>
      </c>
      <c r="C62" t="s">
        <v>79</v>
      </c>
      <c r="D62" t="s">
        <v>79</v>
      </c>
      <c r="E62" t="s">
        <v>79</v>
      </c>
      <c r="F62" s="23"/>
      <c r="G62" t="str">
        <f t="shared" si="4"/>
        <v>Q16.8</v>
      </c>
      <c r="H62" t="str">
        <f t="shared" si="5"/>
        <v/>
      </c>
      <c r="I62" t="str">
        <f t="shared" si="6"/>
        <v/>
      </c>
      <c r="J62" t="str">
        <f t="shared" si="7"/>
        <v/>
      </c>
      <c r="K62" t="str">
        <f t="shared" si="8"/>
        <v/>
      </c>
    </row>
    <row r="63" spans="1:18" ht="15" thickBot="1" x14ac:dyDescent="0.35">
      <c r="A63" s="4" t="s">
        <v>178</v>
      </c>
      <c r="B63" t="s">
        <v>79</v>
      </c>
      <c r="C63" t="s">
        <v>79</v>
      </c>
      <c r="D63" t="s">
        <v>79</v>
      </c>
      <c r="E63" t="s">
        <v>79</v>
      </c>
      <c r="F63" s="23"/>
      <c r="G63" t="str">
        <f t="shared" si="4"/>
        <v>Q16.9</v>
      </c>
      <c r="H63" t="str">
        <f t="shared" si="5"/>
        <v/>
      </c>
      <c r="I63" t="str">
        <f t="shared" si="6"/>
        <v/>
      </c>
      <c r="J63" t="str">
        <f t="shared" si="7"/>
        <v/>
      </c>
      <c r="K63" t="str">
        <f t="shared" si="8"/>
        <v/>
      </c>
    </row>
    <row r="64" spans="1:18" ht="15" thickBot="1" x14ac:dyDescent="0.35">
      <c r="A64" s="4" t="s">
        <v>179</v>
      </c>
      <c r="B64" t="s">
        <v>79</v>
      </c>
      <c r="C64" t="s">
        <v>79</v>
      </c>
      <c r="D64" t="s">
        <v>79</v>
      </c>
      <c r="E64" t="s">
        <v>79</v>
      </c>
      <c r="F64" s="23"/>
      <c r="G64" t="str">
        <f t="shared" si="4"/>
        <v>Q16.10</v>
      </c>
      <c r="H64" t="str">
        <f t="shared" si="5"/>
        <v/>
      </c>
      <c r="I64" t="str">
        <f t="shared" si="6"/>
        <v/>
      </c>
      <c r="J64" t="str">
        <f t="shared" si="7"/>
        <v/>
      </c>
      <c r="K64" t="str">
        <f t="shared" si="8"/>
        <v/>
      </c>
    </row>
    <row r="65" spans="1:18" ht="15" thickBot="1" x14ac:dyDescent="0.35">
      <c r="A65" s="4" t="s">
        <v>180</v>
      </c>
      <c r="B65" t="s">
        <v>79</v>
      </c>
      <c r="C65" t="s">
        <v>79</v>
      </c>
      <c r="D65" t="s">
        <v>79</v>
      </c>
      <c r="E65" t="s">
        <v>79</v>
      </c>
      <c r="F65" s="23"/>
      <c r="G65" t="str">
        <f t="shared" si="4"/>
        <v>Q16.11</v>
      </c>
      <c r="H65" t="str">
        <f t="shared" si="5"/>
        <v/>
      </c>
      <c r="I65" t="str">
        <f t="shared" si="6"/>
        <v/>
      </c>
      <c r="J65" t="str">
        <f t="shared" si="7"/>
        <v/>
      </c>
      <c r="K65" t="str">
        <f t="shared" si="8"/>
        <v/>
      </c>
      <c r="R65" t="s">
        <v>253</v>
      </c>
    </row>
    <row r="66" spans="1:18" ht="15" thickBot="1" x14ac:dyDescent="0.35">
      <c r="A66" s="4" t="s">
        <v>181</v>
      </c>
      <c r="B66" t="s">
        <v>79</v>
      </c>
      <c r="C66" t="s">
        <v>79</v>
      </c>
      <c r="D66" t="s">
        <v>79</v>
      </c>
      <c r="E66" t="s">
        <v>79</v>
      </c>
      <c r="F66" s="23"/>
      <c r="G66" t="str">
        <f t="shared" si="4"/>
        <v>Q16.12</v>
      </c>
      <c r="H66" t="str">
        <f t="shared" si="5"/>
        <v/>
      </c>
      <c r="I66" t="str">
        <f t="shared" si="6"/>
        <v/>
      </c>
      <c r="J66" t="str">
        <f t="shared" si="7"/>
        <v/>
      </c>
      <c r="K66" t="str">
        <f t="shared" si="8"/>
        <v/>
      </c>
      <c r="R66" t="s">
        <v>252</v>
      </c>
    </row>
    <row r="67" spans="1:18" ht="15" thickBot="1" x14ac:dyDescent="0.35">
      <c r="A67" s="4" t="s">
        <v>182</v>
      </c>
      <c r="B67">
        <v>0.1</v>
      </c>
      <c r="C67" t="s">
        <v>79</v>
      </c>
      <c r="D67" t="s">
        <v>79</v>
      </c>
      <c r="E67" t="s">
        <v>79</v>
      </c>
      <c r="F67" s="23"/>
      <c r="G67" t="str">
        <f t="shared" si="4"/>
        <v>Q16.13</v>
      </c>
      <c r="H67">
        <f t="shared" ref="H67:H83" si="9">IF(ISNUMBER(B67),B67,"")</f>
        <v>0.1</v>
      </c>
      <c r="I67" t="str">
        <f t="shared" ref="I67:I83" si="10">IF(ISNUMBER(C67),C67,"")</f>
        <v/>
      </c>
      <c r="J67" t="str">
        <f t="shared" ref="J67:J83" si="11">IF(ISNUMBER(D67),D67,"")</f>
        <v/>
      </c>
      <c r="K67" t="str">
        <f t="shared" ref="K67:K83" si="12">IF(ISNUMBER(E67),E67,"")</f>
        <v/>
      </c>
      <c r="R67" t="s">
        <v>226</v>
      </c>
    </row>
    <row r="68" spans="1:18" ht="15" thickBot="1" x14ac:dyDescent="0.35">
      <c r="A68" s="4" t="s">
        <v>183</v>
      </c>
      <c r="B68">
        <v>0.1</v>
      </c>
      <c r="C68" t="s">
        <v>79</v>
      </c>
      <c r="D68" t="s">
        <v>79</v>
      </c>
      <c r="E68" t="s">
        <v>79</v>
      </c>
      <c r="F68" s="23"/>
      <c r="G68" t="str">
        <f t="shared" ref="G68:G83" si="13">A68</f>
        <v>Q16.14</v>
      </c>
      <c r="H68">
        <f t="shared" si="9"/>
        <v>0.1</v>
      </c>
      <c r="I68" t="str">
        <f t="shared" si="10"/>
        <v/>
      </c>
      <c r="J68" t="str">
        <f t="shared" si="11"/>
        <v/>
      </c>
      <c r="K68" t="str">
        <f t="shared" si="12"/>
        <v/>
      </c>
      <c r="R68" t="s">
        <v>227</v>
      </c>
    </row>
    <row r="69" spans="1:18" ht="15" thickBot="1" x14ac:dyDescent="0.35">
      <c r="A69" s="4" t="s">
        <v>184</v>
      </c>
      <c r="B69" t="s">
        <v>79</v>
      </c>
      <c r="C69" t="s">
        <v>79</v>
      </c>
      <c r="D69" t="s">
        <v>79</v>
      </c>
      <c r="E69" t="s">
        <v>79</v>
      </c>
      <c r="F69" s="23"/>
      <c r="G69" t="str">
        <f t="shared" si="13"/>
        <v>Q16.15</v>
      </c>
      <c r="H69" t="str">
        <f t="shared" si="9"/>
        <v/>
      </c>
      <c r="I69" t="str">
        <f t="shared" si="10"/>
        <v/>
      </c>
      <c r="J69" t="str">
        <f t="shared" si="11"/>
        <v/>
      </c>
      <c r="K69" t="str">
        <f t="shared" si="12"/>
        <v/>
      </c>
    </row>
    <row r="70" spans="1:18" ht="15" thickBot="1" x14ac:dyDescent="0.35">
      <c r="A70" s="4" t="s">
        <v>185</v>
      </c>
      <c r="B70">
        <v>0.11</v>
      </c>
      <c r="C70" t="s">
        <v>79</v>
      </c>
      <c r="D70" t="s">
        <v>79</v>
      </c>
      <c r="E70" t="s">
        <v>79</v>
      </c>
      <c r="F70" s="23"/>
      <c r="G70" t="str">
        <f t="shared" si="13"/>
        <v>Q16.16</v>
      </c>
      <c r="H70">
        <f t="shared" si="9"/>
        <v>0.11</v>
      </c>
      <c r="I70" t="str">
        <f t="shared" si="10"/>
        <v/>
      </c>
      <c r="J70" t="str">
        <f t="shared" si="11"/>
        <v/>
      </c>
      <c r="K70" t="str">
        <f t="shared" si="12"/>
        <v/>
      </c>
      <c r="R70" t="s">
        <v>228</v>
      </c>
    </row>
    <row r="71" spans="1:18" ht="15" thickBot="1" x14ac:dyDescent="0.35">
      <c r="A71" s="4" t="s">
        <v>186</v>
      </c>
      <c r="B71" t="s">
        <v>79</v>
      </c>
      <c r="C71" t="s">
        <v>79</v>
      </c>
      <c r="D71" t="s">
        <v>79</v>
      </c>
      <c r="E71" t="s">
        <v>79</v>
      </c>
      <c r="F71" s="23"/>
      <c r="G71" t="str">
        <f t="shared" si="13"/>
        <v>Q16.17</v>
      </c>
      <c r="H71" t="str">
        <f t="shared" si="9"/>
        <v/>
      </c>
      <c r="I71" t="str">
        <f t="shared" si="10"/>
        <v/>
      </c>
      <c r="J71" t="str">
        <f t="shared" si="11"/>
        <v/>
      </c>
      <c r="K71" t="str">
        <f t="shared" si="12"/>
        <v/>
      </c>
    </row>
    <row r="72" spans="1:18" ht="15" thickBot="1" x14ac:dyDescent="0.35">
      <c r="A72" s="4" t="s">
        <v>187</v>
      </c>
      <c r="B72" t="s">
        <v>79</v>
      </c>
      <c r="C72" t="s">
        <v>79</v>
      </c>
      <c r="D72" t="s">
        <v>79</v>
      </c>
      <c r="E72" t="s">
        <v>79</v>
      </c>
      <c r="F72" s="23"/>
      <c r="G72" t="str">
        <f t="shared" si="13"/>
        <v>Q16.18</v>
      </c>
      <c r="H72" t="str">
        <f t="shared" si="9"/>
        <v/>
      </c>
      <c r="I72" t="str">
        <f t="shared" si="10"/>
        <v/>
      </c>
      <c r="J72" t="str">
        <f t="shared" si="11"/>
        <v/>
      </c>
      <c r="K72" t="str">
        <f t="shared" si="12"/>
        <v/>
      </c>
    </row>
    <row r="73" spans="1:18" ht="15" thickBot="1" x14ac:dyDescent="0.35">
      <c r="A73" s="4" t="s">
        <v>188</v>
      </c>
      <c r="B73" t="s">
        <v>79</v>
      </c>
      <c r="C73" t="s">
        <v>79</v>
      </c>
      <c r="D73" t="s">
        <v>79</v>
      </c>
      <c r="E73" t="s">
        <v>79</v>
      </c>
      <c r="F73" s="23"/>
      <c r="G73" t="str">
        <f t="shared" si="13"/>
        <v>Q16.19</v>
      </c>
      <c r="H73" t="str">
        <f t="shared" si="9"/>
        <v/>
      </c>
      <c r="I73" t="str">
        <f t="shared" si="10"/>
        <v/>
      </c>
      <c r="J73" t="str">
        <f t="shared" si="11"/>
        <v/>
      </c>
      <c r="K73" t="str">
        <f t="shared" si="12"/>
        <v/>
      </c>
    </row>
    <row r="74" spans="1:18" ht="15" thickBot="1" x14ac:dyDescent="0.35">
      <c r="A74" s="4" t="s">
        <v>189</v>
      </c>
      <c r="B74" t="s">
        <v>79</v>
      </c>
      <c r="C74" t="s">
        <v>79</v>
      </c>
      <c r="D74" t="s">
        <v>79</v>
      </c>
      <c r="E74" t="s">
        <v>79</v>
      </c>
      <c r="F74" s="23"/>
      <c r="G74" t="str">
        <f t="shared" si="13"/>
        <v>Q16.20</v>
      </c>
      <c r="H74" t="str">
        <f t="shared" si="9"/>
        <v/>
      </c>
      <c r="I74" t="str">
        <f t="shared" si="10"/>
        <v/>
      </c>
      <c r="J74" t="str">
        <f t="shared" si="11"/>
        <v/>
      </c>
      <c r="K74" t="str">
        <f t="shared" si="12"/>
        <v/>
      </c>
    </row>
    <row r="75" spans="1:18" ht="15" thickBot="1" x14ac:dyDescent="0.35">
      <c r="A75" s="4" t="s">
        <v>190</v>
      </c>
      <c r="B75" t="s">
        <v>79</v>
      </c>
      <c r="C75" t="s">
        <v>79</v>
      </c>
      <c r="D75" t="s">
        <v>79</v>
      </c>
      <c r="E75" t="s">
        <v>79</v>
      </c>
      <c r="F75" s="23"/>
      <c r="G75" t="str">
        <f t="shared" si="13"/>
        <v>Q16.21</v>
      </c>
      <c r="H75" t="str">
        <f t="shared" si="9"/>
        <v/>
      </c>
      <c r="I75" t="str">
        <f t="shared" si="10"/>
        <v/>
      </c>
      <c r="J75" t="str">
        <f t="shared" si="11"/>
        <v/>
      </c>
      <c r="K75" t="str">
        <f t="shared" si="12"/>
        <v/>
      </c>
    </row>
    <row r="76" spans="1:18" ht="15" thickBot="1" x14ac:dyDescent="0.35">
      <c r="A76" s="4" t="s">
        <v>191</v>
      </c>
      <c r="B76" t="s">
        <v>79</v>
      </c>
      <c r="C76" t="s">
        <v>79</v>
      </c>
      <c r="D76" t="s">
        <v>79</v>
      </c>
      <c r="E76" t="s">
        <v>79</v>
      </c>
      <c r="F76" s="23"/>
      <c r="G76" t="str">
        <f t="shared" si="13"/>
        <v>Q16.22</v>
      </c>
      <c r="H76" t="str">
        <f t="shared" si="9"/>
        <v/>
      </c>
      <c r="I76" t="str">
        <f t="shared" si="10"/>
        <v/>
      </c>
      <c r="J76" t="str">
        <f t="shared" si="11"/>
        <v/>
      </c>
      <c r="K76" t="str">
        <f t="shared" si="12"/>
        <v/>
      </c>
    </row>
    <row r="77" spans="1:18" ht="15" thickBot="1" x14ac:dyDescent="0.35">
      <c r="A77" s="4" t="s">
        <v>192</v>
      </c>
      <c r="B77" t="s">
        <v>79</v>
      </c>
      <c r="C77" t="s">
        <v>79</v>
      </c>
      <c r="D77" t="s">
        <v>79</v>
      </c>
      <c r="E77" t="s">
        <v>79</v>
      </c>
      <c r="F77" s="23"/>
      <c r="G77" t="str">
        <f t="shared" si="13"/>
        <v>Q16.23</v>
      </c>
      <c r="H77" t="str">
        <f t="shared" si="9"/>
        <v/>
      </c>
      <c r="I77" t="str">
        <f t="shared" si="10"/>
        <v/>
      </c>
      <c r="J77" t="str">
        <f t="shared" si="11"/>
        <v/>
      </c>
      <c r="K77" t="str">
        <f t="shared" si="12"/>
        <v/>
      </c>
    </row>
    <row r="78" spans="1:18" ht="15" thickBot="1" x14ac:dyDescent="0.35">
      <c r="A78" s="4" t="s">
        <v>193</v>
      </c>
      <c r="B78" t="s">
        <v>79</v>
      </c>
      <c r="C78" t="s">
        <v>79</v>
      </c>
      <c r="D78" t="s">
        <v>79</v>
      </c>
      <c r="E78" t="s">
        <v>79</v>
      </c>
      <c r="F78" s="23"/>
      <c r="G78" t="str">
        <f t="shared" si="13"/>
        <v>Q16.24</v>
      </c>
      <c r="H78" t="str">
        <f t="shared" si="9"/>
        <v/>
      </c>
      <c r="I78" t="str">
        <f t="shared" si="10"/>
        <v/>
      </c>
      <c r="J78" t="str">
        <f t="shared" si="11"/>
        <v/>
      </c>
      <c r="K78" t="str">
        <f t="shared" si="12"/>
        <v/>
      </c>
      <c r="R78" t="s">
        <v>251</v>
      </c>
    </row>
    <row r="79" spans="1:18" ht="15" thickBot="1" x14ac:dyDescent="0.35">
      <c r="A79" s="4" t="s">
        <v>194</v>
      </c>
      <c r="B79">
        <v>0.11</v>
      </c>
      <c r="C79" t="s">
        <v>79</v>
      </c>
      <c r="D79" t="s">
        <v>79</v>
      </c>
      <c r="E79" t="s">
        <v>79</v>
      </c>
      <c r="F79" s="23"/>
      <c r="G79" t="str">
        <f t="shared" si="13"/>
        <v>Q16.25</v>
      </c>
      <c r="H79">
        <f t="shared" si="9"/>
        <v>0.11</v>
      </c>
      <c r="I79" t="str">
        <f t="shared" si="10"/>
        <v/>
      </c>
      <c r="J79" t="str">
        <f t="shared" si="11"/>
        <v/>
      </c>
      <c r="K79" t="str">
        <f t="shared" si="12"/>
        <v/>
      </c>
      <c r="R79" t="s">
        <v>229</v>
      </c>
    </row>
    <row r="80" spans="1:18" ht="15" thickBot="1" x14ac:dyDescent="0.35">
      <c r="A80" s="4" t="s">
        <v>195</v>
      </c>
      <c r="B80" t="s">
        <v>79</v>
      </c>
      <c r="C80" t="s">
        <v>79</v>
      </c>
      <c r="D80" t="s">
        <v>79</v>
      </c>
      <c r="E80" t="s">
        <v>79</v>
      </c>
      <c r="F80" s="23"/>
      <c r="G80" t="str">
        <f t="shared" si="13"/>
        <v>Q16.26</v>
      </c>
      <c r="H80" t="str">
        <f t="shared" si="9"/>
        <v/>
      </c>
      <c r="I80" t="str">
        <f t="shared" si="10"/>
        <v/>
      </c>
      <c r="J80" t="str">
        <f t="shared" si="11"/>
        <v/>
      </c>
      <c r="K80" t="str">
        <f t="shared" si="12"/>
        <v/>
      </c>
      <c r="R80" t="s">
        <v>250</v>
      </c>
    </row>
    <row r="81" spans="1:18" ht="15" thickBot="1" x14ac:dyDescent="0.35">
      <c r="A81" s="4" t="s">
        <v>196</v>
      </c>
      <c r="B81">
        <v>0.11</v>
      </c>
      <c r="C81" t="s">
        <v>79</v>
      </c>
      <c r="D81" t="s">
        <v>79</v>
      </c>
      <c r="E81" t="s">
        <v>79</v>
      </c>
      <c r="F81" s="23"/>
      <c r="G81" t="str">
        <f t="shared" si="13"/>
        <v>Q16.27</v>
      </c>
      <c r="H81">
        <f t="shared" si="9"/>
        <v>0.11</v>
      </c>
      <c r="I81" t="str">
        <f t="shared" si="10"/>
        <v/>
      </c>
      <c r="J81" t="str">
        <f t="shared" si="11"/>
        <v/>
      </c>
      <c r="K81" t="str">
        <f t="shared" si="12"/>
        <v/>
      </c>
      <c r="R81" t="s">
        <v>230</v>
      </c>
    </row>
    <row r="82" spans="1:18" ht="15" thickBot="1" x14ac:dyDescent="0.35">
      <c r="A82" s="4" t="s">
        <v>197</v>
      </c>
      <c r="B82">
        <v>0.37</v>
      </c>
      <c r="C82" t="s">
        <v>79</v>
      </c>
      <c r="D82">
        <v>-0.13</v>
      </c>
      <c r="E82">
        <v>-0.12</v>
      </c>
      <c r="F82" s="23"/>
      <c r="G82" t="str">
        <f t="shared" si="13"/>
        <v>Q17</v>
      </c>
      <c r="H82">
        <f t="shared" si="9"/>
        <v>0.37</v>
      </c>
      <c r="I82" t="str">
        <f t="shared" si="10"/>
        <v/>
      </c>
      <c r="J82">
        <f t="shared" si="11"/>
        <v>-0.13</v>
      </c>
      <c r="K82">
        <f t="shared" si="12"/>
        <v>-0.12</v>
      </c>
      <c r="R82" t="s">
        <v>231</v>
      </c>
    </row>
    <row r="83" spans="1:18" ht="15" thickBot="1" x14ac:dyDescent="0.35">
      <c r="A83" s="4" t="s">
        <v>198</v>
      </c>
      <c r="B83">
        <v>-0.2</v>
      </c>
      <c r="C83" t="s">
        <v>79</v>
      </c>
      <c r="D83" t="s">
        <v>79</v>
      </c>
      <c r="E83">
        <v>0.19</v>
      </c>
      <c r="F83" s="23"/>
      <c r="G83" t="str">
        <f t="shared" si="13"/>
        <v>Q18</v>
      </c>
      <c r="H83">
        <f t="shared" si="9"/>
        <v>-0.2</v>
      </c>
      <c r="I83" t="str">
        <f t="shared" si="10"/>
        <v/>
      </c>
      <c r="J83" t="str">
        <f t="shared" si="11"/>
        <v/>
      </c>
      <c r="K83">
        <f t="shared" si="12"/>
        <v>0.19</v>
      </c>
      <c r="R83" t="s">
        <v>232</v>
      </c>
    </row>
  </sheetData>
  <conditionalFormatting sqref="H4:H83">
    <cfRule type="colorScale" priority="3">
      <colorScale>
        <cfvo type="min"/>
        <cfvo type="percentile" val="50"/>
        <cfvo type="max"/>
        <color rgb="FFF8696B"/>
        <color rgb="FFFFEB84"/>
        <color rgb="FF63BE7B"/>
      </colorScale>
    </cfRule>
  </conditionalFormatting>
  <conditionalFormatting sqref="L3:Q83">
    <cfRule type="colorScale" priority="2">
      <colorScale>
        <cfvo type="min"/>
        <cfvo type="percentile" val="50"/>
        <cfvo type="max"/>
        <color rgb="FFF8696B"/>
        <color rgb="FFFFEB84"/>
        <color rgb="FF63BE7B"/>
      </colorScale>
    </cfRule>
  </conditionalFormatting>
  <conditionalFormatting sqref="I4:K83">
    <cfRule type="colorScale" priority="9">
      <colorScale>
        <cfvo type="min"/>
        <cfvo type="percentile" val="50"/>
        <cfvo type="max"/>
        <color rgb="FFF8696B"/>
        <color rgb="FFFFEB84"/>
        <color rgb="FF63BE7B"/>
      </colorScale>
    </cfRule>
  </conditionalFormatting>
  <conditionalFormatting sqref="H3:K3">
    <cfRule type="colorScale" priority="10">
      <colorScale>
        <cfvo type="min"/>
        <cfvo type="percentile" val="50"/>
        <cfvo type="max"/>
        <color rgb="FFF8696B"/>
        <color rgb="FFFFEB84"/>
        <color rgb="FF63BE7B"/>
      </colorScale>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9C320-6016-40E3-A40F-909D03153583}">
  <sheetPr>
    <tabColor theme="2"/>
  </sheetPr>
  <dimension ref="A1:AC83"/>
  <sheetViews>
    <sheetView workbookViewId="0">
      <selection activeCell="F29" sqref="F29"/>
    </sheetView>
  </sheetViews>
  <sheetFormatPr defaultRowHeight="14.4" x14ac:dyDescent="0.3"/>
  <cols>
    <col min="1" max="1" width="17.33203125" bestFit="1" customWidth="1"/>
    <col min="9" max="11" width="8.88671875" customWidth="1"/>
    <col min="12" max="17" width="8.88671875" hidden="1" customWidth="1"/>
  </cols>
  <sheetData>
    <row r="1" spans="1:29" ht="21" x14ac:dyDescent="0.4">
      <c r="A1" s="25" t="s">
        <v>275</v>
      </c>
      <c r="B1" s="15" t="s">
        <v>205</v>
      </c>
      <c r="H1" s="15" t="s">
        <v>205</v>
      </c>
    </row>
    <row r="2" spans="1:29" x14ac:dyDescent="0.3">
      <c r="B2" s="12" t="s">
        <v>199</v>
      </c>
      <c r="C2" s="12" t="s">
        <v>200</v>
      </c>
      <c r="D2" s="12" t="s">
        <v>201</v>
      </c>
      <c r="E2" s="12" t="s">
        <v>202</v>
      </c>
      <c r="F2" s="12"/>
      <c r="H2" s="12" t="s">
        <v>264</v>
      </c>
      <c r="I2" s="12"/>
      <c r="J2" s="12"/>
      <c r="K2" s="12" t="s">
        <v>130</v>
      </c>
      <c r="L2" s="12" t="str">
        <f>H2</f>
        <v>Beginner</v>
      </c>
      <c r="M2" s="12">
        <f>I2</f>
        <v>0</v>
      </c>
      <c r="N2" s="12">
        <f>J2</f>
        <v>0</v>
      </c>
      <c r="O2" s="12" t="str">
        <f>K2</f>
        <v>Status</v>
      </c>
      <c r="P2" s="12" t="e">
        <f>#REF!</f>
        <v>#REF!</v>
      </c>
      <c r="Q2" s="12" t="e">
        <f>#REF!</f>
        <v>#REF!</v>
      </c>
      <c r="Z2" s="12" t="s">
        <v>241</v>
      </c>
    </row>
    <row r="3" spans="1:29" ht="15" thickBot="1" x14ac:dyDescent="0.35">
      <c r="A3" s="4" t="s">
        <v>115</v>
      </c>
      <c r="B3" t="s">
        <v>79</v>
      </c>
      <c r="C3" t="s">
        <v>79</v>
      </c>
      <c r="D3">
        <v>0.1</v>
      </c>
      <c r="E3" t="s">
        <v>79</v>
      </c>
      <c r="F3" s="23"/>
      <c r="G3" t="str">
        <f>A3</f>
        <v>Q1.1</v>
      </c>
      <c r="H3" t="str">
        <f t="shared" ref="H3:H34" si="0">IF(ISNUMBER(B3),B3,"")</f>
        <v/>
      </c>
      <c r="I3" t="str">
        <f t="shared" ref="I3:I34" si="1">IF(ISNUMBER(C3),C3,"")</f>
        <v/>
      </c>
      <c r="J3">
        <f t="shared" ref="J3:J34" si="2">IF(ISNUMBER(D3),D3,"")</f>
        <v>0.1</v>
      </c>
      <c r="K3" t="str">
        <f t="shared" ref="K3:K34" si="3">IF(ISNUMBER(E3),E3,"")</f>
        <v/>
      </c>
      <c r="R3" t="s">
        <v>0</v>
      </c>
      <c r="Z3" t="s">
        <v>234</v>
      </c>
    </row>
    <row r="4" spans="1:29" ht="15" thickBot="1" x14ac:dyDescent="0.35">
      <c r="A4" s="4" t="s">
        <v>119</v>
      </c>
      <c r="B4" t="s">
        <v>79</v>
      </c>
      <c r="C4" t="s">
        <v>79</v>
      </c>
      <c r="D4">
        <v>-0.1</v>
      </c>
      <c r="E4">
        <v>0.34</v>
      </c>
      <c r="F4" s="23"/>
      <c r="G4" t="str">
        <f t="shared" ref="G4:G67" si="4">A4</f>
        <v>Q1.2</v>
      </c>
      <c r="H4" t="str">
        <f t="shared" si="0"/>
        <v/>
      </c>
      <c r="I4" t="str">
        <f t="shared" si="1"/>
        <v/>
      </c>
      <c r="J4">
        <f t="shared" si="2"/>
        <v>-0.1</v>
      </c>
      <c r="K4">
        <f t="shared" si="3"/>
        <v>0.34</v>
      </c>
      <c r="R4" t="s">
        <v>1</v>
      </c>
      <c r="Z4" t="s">
        <v>235</v>
      </c>
    </row>
    <row r="5" spans="1:29" ht="15" thickBot="1" x14ac:dyDescent="0.35">
      <c r="A5" s="4" t="s">
        <v>96</v>
      </c>
      <c r="B5" t="s">
        <v>79</v>
      </c>
      <c r="C5" t="s">
        <v>79</v>
      </c>
      <c r="D5">
        <v>0.14000000000000001</v>
      </c>
      <c r="E5">
        <v>0.31</v>
      </c>
      <c r="F5" s="23"/>
      <c r="G5" t="str">
        <f t="shared" si="4"/>
        <v>Q1.3</v>
      </c>
      <c r="H5" t="str">
        <f t="shared" si="0"/>
        <v/>
      </c>
      <c r="I5" t="str">
        <f t="shared" si="1"/>
        <v/>
      </c>
      <c r="J5">
        <f t="shared" si="2"/>
        <v>0.14000000000000001</v>
      </c>
      <c r="K5">
        <f t="shared" si="3"/>
        <v>0.31</v>
      </c>
      <c r="R5" t="s">
        <v>2</v>
      </c>
      <c r="Z5" t="s">
        <v>236</v>
      </c>
    </row>
    <row r="6" spans="1:29" ht="15" thickBot="1" x14ac:dyDescent="0.35">
      <c r="A6" s="4" t="s">
        <v>114</v>
      </c>
      <c r="B6" t="s">
        <v>79</v>
      </c>
      <c r="C6" t="s">
        <v>79</v>
      </c>
      <c r="D6" t="s">
        <v>79</v>
      </c>
      <c r="E6">
        <v>0.1</v>
      </c>
      <c r="F6" s="23"/>
      <c r="G6" t="str">
        <f t="shared" si="4"/>
        <v>Q1.4</v>
      </c>
      <c r="H6" t="str">
        <f t="shared" si="0"/>
        <v/>
      </c>
      <c r="I6" t="str">
        <f t="shared" si="1"/>
        <v/>
      </c>
      <c r="J6" t="str">
        <f t="shared" si="2"/>
        <v/>
      </c>
      <c r="K6">
        <f t="shared" si="3"/>
        <v>0.1</v>
      </c>
      <c r="R6" t="s">
        <v>3</v>
      </c>
      <c r="Z6" t="s">
        <v>237</v>
      </c>
    </row>
    <row r="7" spans="1:29" ht="15" thickBot="1" x14ac:dyDescent="0.35">
      <c r="A7" s="4" t="s">
        <v>108</v>
      </c>
      <c r="B7" t="s">
        <v>79</v>
      </c>
      <c r="C7" t="s">
        <v>79</v>
      </c>
      <c r="D7">
        <v>0.11</v>
      </c>
      <c r="E7">
        <v>0.18</v>
      </c>
      <c r="F7" s="23"/>
      <c r="G7" t="str">
        <f t="shared" si="4"/>
        <v>Q1.5</v>
      </c>
      <c r="H7" t="str">
        <f t="shared" si="0"/>
        <v/>
      </c>
      <c r="I7" t="str">
        <f t="shared" si="1"/>
        <v/>
      </c>
      <c r="J7">
        <f t="shared" si="2"/>
        <v>0.11</v>
      </c>
      <c r="K7">
        <f t="shared" si="3"/>
        <v>0.18</v>
      </c>
      <c r="R7" t="s">
        <v>4</v>
      </c>
      <c r="Z7" t="s">
        <v>238</v>
      </c>
    </row>
    <row r="8" spans="1:29" ht="15" thickBot="1" x14ac:dyDescent="0.35">
      <c r="A8" s="4" t="s">
        <v>102</v>
      </c>
      <c r="B8" t="s">
        <v>79</v>
      </c>
      <c r="C8" t="s">
        <v>79</v>
      </c>
      <c r="D8">
        <v>0.12</v>
      </c>
      <c r="E8">
        <v>0.13</v>
      </c>
      <c r="F8" s="23"/>
      <c r="G8" t="str">
        <f t="shared" si="4"/>
        <v>Q1.6</v>
      </c>
      <c r="H8" t="str">
        <f t="shared" si="0"/>
        <v/>
      </c>
      <c r="I8" t="str">
        <f t="shared" si="1"/>
        <v/>
      </c>
      <c r="J8">
        <f t="shared" si="2"/>
        <v>0.12</v>
      </c>
      <c r="K8">
        <f t="shared" si="3"/>
        <v>0.13</v>
      </c>
      <c r="R8" t="s">
        <v>5</v>
      </c>
      <c r="Z8" t="s">
        <v>239</v>
      </c>
    </row>
    <row r="9" spans="1:29" ht="15" thickBot="1" x14ac:dyDescent="0.35">
      <c r="A9" s="4" t="s">
        <v>97</v>
      </c>
      <c r="B9" t="s">
        <v>79</v>
      </c>
      <c r="C9" t="s">
        <v>79</v>
      </c>
      <c r="D9">
        <v>0.15</v>
      </c>
      <c r="E9">
        <v>0.2</v>
      </c>
      <c r="F9" s="23"/>
      <c r="G9" t="str">
        <f t="shared" si="4"/>
        <v>Q1.7</v>
      </c>
      <c r="H9" t="str">
        <f t="shared" si="0"/>
        <v/>
      </c>
      <c r="I9" t="str">
        <f t="shared" si="1"/>
        <v/>
      </c>
      <c r="J9">
        <f t="shared" si="2"/>
        <v>0.15</v>
      </c>
      <c r="K9">
        <f t="shared" si="3"/>
        <v>0.2</v>
      </c>
      <c r="R9" t="s">
        <v>6</v>
      </c>
      <c r="Z9" t="s">
        <v>240</v>
      </c>
    </row>
    <row r="10" spans="1:29" ht="15" thickBot="1" x14ac:dyDescent="0.35">
      <c r="A10" s="4" t="s">
        <v>118</v>
      </c>
      <c r="B10" t="s">
        <v>79</v>
      </c>
      <c r="C10" t="s">
        <v>79</v>
      </c>
      <c r="D10" t="s">
        <v>79</v>
      </c>
      <c r="E10">
        <v>0.13</v>
      </c>
      <c r="F10" s="23"/>
      <c r="G10" t="str">
        <f t="shared" si="4"/>
        <v>Q1.8</v>
      </c>
      <c r="H10" t="str">
        <f t="shared" si="0"/>
        <v/>
      </c>
      <c r="I10" t="str">
        <f t="shared" si="1"/>
        <v/>
      </c>
      <c r="J10" t="str">
        <f t="shared" si="2"/>
        <v/>
      </c>
      <c r="K10">
        <f t="shared" si="3"/>
        <v>0.13</v>
      </c>
      <c r="R10" t="s">
        <v>7</v>
      </c>
    </row>
    <row r="11" spans="1:29" ht="15" thickBot="1" x14ac:dyDescent="0.35">
      <c r="A11" s="4" t="s">
        <v>104</v>
      </c>
      <c r="B11" t="s">
        <v>79</v>
      </c>
      <c r="C11" t="s">
        <v>79</v>
      </c>
      <c r="D11">
        <v>0.14000000000000001</v>
      </c>
      <c r="E11">
        <v>0.4</v>
      </c>
      <c r="F11" s="23"/>
      <c r="G11" t="str">
        <f t="shared" si="4"/>
        <v>Q1.9</v>
      </c>
      <c r="H11" t="str">
        <f t="shared" si="0"/>
        <v/>
      </c>
      <c r="I11" t="str">
        <f t="shared" si="1"/>
        <v/>
      </c>
      <c r="J11">
        <f t="shared" si="2"/>
        <v>0.14000000000000001</v>
      </c>
      <c r="K11">
        <f t="shared" si="3"/>
        <v>0.4</v>
      </c>
      <c r="R11" t="s">
        <v>8</v>
      </c>
      <c r="AC11" s="12" t="s">
        <v>244</v>
      </c>
    </row>
    <row r="12" spans="1:29" ht="15" thickBot="1" x14ac:dyDescent="0.35">
      <c r="A12" s="4" t="s">
        <v>117</v>
      </c>
      <c r="B12" t="s">
        <v>79</v>
      </c>
      <c r="C12" t="s">
        <v>79</v>
      </c>
      <c r="D12" t="s">
        <v>79</v>
      </c>
      <c r="E12">
        <v>0.24</v>
      </c>
      <c r="F12" s="23"/>
      <c r="G12" t="str">
        <f t="shared" si="4"/>
        <v>Q1.10</v>
      </c>
      <c r="H12" t="str">
        <f t="shared" si="0"/>
        <v/>
      </c>
      <c r="I12" t="str">
        <f t="shared" si="1"/>
        <v/>
      </c>
      <c r="J12" t="str">
        <f t="shared" si="2"/>
        <v/>
      </c>
      <c r="K12">
        <f t="shared" si="3"/>
        <v>0.24</v>
      </c>
      <c r="R12" t="s">
        <v>9</v>
      </c>
      <c r="Z12">
        <v>21</v>
      </c>
      <c r="AA12" s="24" t="s">
        <v>20</v>
      </c>
      <c r="AC12" t="s">
        <v>128</v>
      </c>
    </row>
    <row r="13" spans="1:29" ht="15" thickBot="1" x14ac:dyDescent="0.35">
      <c r="A13" s="4" t="s">
        <v>116</v>
      </c>
      <c r="B13">
        <v>-0.45</v>
      </c>
      <c r="C13" t="s">
        <v>79</v>
      </c>
      <c r="D13">
        <v>0.15</v>
      </c>
      <c r="E13">
        <v>0.26</v>
      </c>
      <c r="F13" s="23"/>
      <c r="G13" t="str">
        <f t="shared" si="4"/>
        <v>Q1.11</v>
      </c>
      <c r="H13">
        <f t="shared" si="0"/>
        <v>-0.45</v>
      </c>
      <c r="I13" t="str">
        <f t="shared" si="1"/>
        <v/>
      </c>
      <c r="J13">
        <f t="shared" si="2"/>
        <v>0.15</v>
      </c>
      <c r="K13">
        <f t="shared" si="3"/>
        <v>0.26</v>
      </c>
      <c r="R13" t="s">
        <v>10</v>
      </c>
      <c r="Z13">
        <v>9</v>
      </c>
      <c r="AA13" s="24" t="s">
        <v>8</v>
      </c>
      <c r="AC13" t="s">
        <v>242</v>
      </c>
    </row>
    <row r="14" spans="1:29" ht="15" thickBot="1" x14ac:dyDescent="0.35">
      <c r="A14" s="4" t="s">
        <v>120</v>
      </c>
      <c r="B14">
        <v>-0.1</v>
      </c>
      <c r="C14" t="s">
        <v>79</v>
      </c>
      <c r="D14">
        <v>-0.2</v>
      </c>
      <c r="E14">
        <v>0.48</v>
      </c>
      <c r="F14" s="23"/>
      <c r="G14" t="str">
        <f t="shared" si="4"/>
        <v>Q1.12</v>
      </c>
      <c r="H14">
        <f t="shared" si="0"/>
        <v>-0.1</v>
      </c>
      <c r="I14" t="str">
        <f t="shared" si="1"/>
        <v/>
      </c>
      <c r="J14">
        <f t="shared" si="2"/>
        <v>-0.2</v>
      </c>
      <c r="K14">
        <f t="shared" si="3"/>
        <v>0.48</v>
      </c>
      <c r="R14" t="s">
        <v>11</v>
      </c>
      <c r="Z14">
        <v>27</v>
      </c>
      <c r="AA14" s="24" t="s">
        <v>26</v>
      </c>
      <c r="AC14" t="s">
        <v>129</v>
      </c>
    </row>
    <row r="15" spans="1:29" ht="15" thickBot="1" x14ac:dyDescent="0.35">
      <c r="A15" s="4" t="s">
        <v>100</v>
      </c>
      <c r="B15" t="s">
        <v>79</v>
      </c>
      <c r="C15" t="s">
        <v>79</v>
      </c>
      <c r="D15">
        <v>0.13</v>
      </c>
      <c r="E15">
        <v>0.41</v>
      </c>
      <c r="F15" s="23"/>
      <c r="G15" t="str">
        <f t="shared" si="4"/>
        <v>Q1.13</v>
      </c>
      <c r="H15" t="str">
        <f t="shared" si="0"/>
        <v/>
      </c>
      <c r="I15" t="str">
        <f t="shared" si="1"/>
        <v/>
      </c>
      <c r="J15">
        <f t="shared" si="2"/>
        <v>0.13</v>
      </c>
      <c r="K15">
        <f t="shared" si="3"/>
        <v>0.41</v>
      </c>
      <c r="R15" t="s">
        <v>13</v>
      </c>
      <c r="Z15">
        <v>4</v>
      </c>
      <c r="AA15" s="24" t="s">
        <v>3</v>
      </c>
      <c r="AC15" t="s">
        <v>243</v>
      </c>
    </row>
    <row r="16" spans="1:29" ht="15" thickBot="1" x14ac:dyDescent="0.35">
      <c r="A16" s="4" t="s">
        <v>93</v>
      </c>
      <c r="B16" t="s">
        <v>79</v>
      </c>
      <c r="C16" t="s">
        <v>79</v>
      </c>
      <c r="D16">
        <v>0.14000000000000001</v>
      </c>
      <c r="E16">
        <v>0.3</v>
      </c>
      <c r="F16" s="23"/>
      <c r="G16" t="str">
        <f t="shared" si="4"/>
        <v>Q1.14</v>
      </c>
      <c r="H16" t="str">
        <f t="shared" si="0"/>
        <v/>
      </c>
      <c r="I16" t="str">
        <f t="shared" si="1"/>
        <v/>
      </c>
      <c r="J16">
        <f t="shared" si="2"/>
        <v>0.14000000000000001</v>
      </c>
      <c r="K16">
        <f t="shared" si="3"/>
        <v>0.3</v>
      </c>
      <c r="R16" t="s">
        <v>12</v>
      </c>
      <c r="Z16">
        <v>8</v>
      </c>
      <c r="AA16" s="24" t="s">
        <v>7</v>
      </c>
      <c r="AB16" t="s">
        <v>11</v>
      </c>
      <c r="AC16" t="s">
        <v>89</v>
      </c>
    </row>
    <row r="17" spans="1:29" ht="15" thickBot="1" x14ac:dyDescent="0.35">
      <c r="A17" s="4" t="s">
        <v>98</v>
      </c>
      <c r="B17" t="s">
        <v>79</v>
      </c>
      <c r="C17" t="s">
        <v>79</v>
      </c>
      <c r="D17">
        <v>0.13</v>
      </c>
      <c r="E17">
        <v>0.17</v>
      </c>
      <c r="F17" s="23"/>
      <c r="G17" t="str">
        <f t="shared" si="4"/>
        <v>Q1.15</v>
      </c>
      <c r="H17" t="str">
        <f t="shared" si="0"/>
        <v/>
      </c>
      <c r="I17" t="str">
        <f t="shared" si="1"/>
        <v/>
      </c>
      <c r="J17">
        <f t="shared" si="2"/>
        <v>0.13</v>
      </c>
      <c r="K17">
        <f t="shared" si="3"/>
        <v>0.17</v>
      </c>
      <c r="R17" t="s">
        <v>14</v>
      </c>
      <c r="Z17">
        <v>10</v>
      </c>
      <c r="AA17" s="24" t="s">
        <v>9</v>
      </c>
      <c r="AC17" t="s">
        <v>141</v>
      </c>
    </row>
    <row r="18" spans="1:29" ht="15" thickBot="1" x14ac:dyDescent="0.35">
      <c r="A18" s="4" t="s">
        <v>99</v>
      </c>
      <c r="B18">
        <v>-0.18</v>
      </c>
      <c r="C18" t="s">
        <v>79</v>
      </c>
      <c r="D18">
        <v>0.18</v>
      </c>
      <c r="E18">
        <v>0.35</v>
      </c>
      <c r="F18" s="23"/>
      <c r="G18" t="str">
        <f t="shared" si="4"/>
        <v>Q1.16</v>
      </c>
      <c r="H18">
        <f t="shared" si="0"/>
        <v>-0.18</v>
      </c>
      <c r="I18" t="str">
        <f t="shared" si="1"/>
        <v/>
      </c>
      <c r="J18">
        <f t="shared" si="2"/>
        <v>0.18</v>
      </c>
      <c r="K18">
        <f t="shared" si="3"/>
        <v>0.35</v>
      </c>
      <c r="R18" t="s">
        <v>15</v>
      </c>
      <c r="Z18">
        <v>1</v>
      </c>
      <c r="AA18" s="24" t="s">
        <v>0</v>
      </c>
      <c r="AC18" t="s">
        <v>132</v>
      </c>
    </row>
    <row r="19" spans="1:29" ht="15" thickBot="1" x14ac:dyDescent="0.35">
      <c r="A19" s="4" t="s">
        <v>105</v>
      </c>
      <c r="B19">
        <v>-0.16</v>
      </c>
      <c r="C19" t="s">
        <v>79</v>
      </c>
      <c r="D19">
        <v>0.14000000000000001</v>
      </c>
      <c r="E19">
        <v>0.32</v>
      </c>
      <c r="F19" s="23"/>
      <c r="G19" t="str">
        <f t="shared" si="4"/>
        <v>Q1.17</v>
      </c>
      <c r="H19">
        <f t="shared" si="0"/>
        <v>-0.16</v>
      </c>
      <c r="I19" t="str">
        <f t="shared" si="1"/>
        <v/>
      </c>
      <c r="J19">
        <f t="shared" si="2"/>
        <v>0.14000000000000001</v>
      </c>
      <c r="K19">
        <f t="shared" si="3"/>
        <v>0.32</v>
      </c>
      <c r="R19" t="s">
        <v>16</v>
      </c>
    </row>
    <row r="20" spans="1:29" ht="15" thickBot="1" x14ac:dyDescent="0.35">
      <c r="A20" s="4" t="s">
        <v>109</v>
      </c>
      <c r="B20" t="s">
        <v>79</v>
      </c>
      <c r="C20" t="s">
        <v>79</v>
      </c>
      <c r="D20">
        <v>0.11</v>
      </c>
      <c r="E20" t="s">
        <v>79</v>
      </c>
      <c r="F20" s="23"/>
      <c r="G20" t="str">
        <f t="shared" si="4"/>
        <v>Q1.18</v>
      </c>
      <c r="H20" t="str">
        <f t="shared" si="0"/>
        <v/>
      </c>
      <c r="I20" t="str">
        <f t="shared" si="1"/>
        <v/>
      </c>
      <c r="J20">
        <f t="shared" si="2"/>
        <v>0.11</v>
      </c>
      <c r="K20" t="str">
        <f t="shared" si="3"/>
        <v/>
      </c>
      <c r="R20" t="s">
        <v>17</v>
      </c>
    </row>
    <row r="21" spans="1:29" ht="15" thickBot="1" x14ac:dyDescent="0.35">
      <c r="A21" s="4" t="s">
        <v>112</v>
      </c>
      <c r="B21" t="s">
        <v>79</v>
      </c>
      <c r="C21" t="s">
        <v>79</v>
      </c>
      <c r="D21">
        <v>0.11</v>
      </c>
      <c r="E21" t="s">
        <v>79</v>
      </c>
      <c r="F21" s="23"/>
      <c r="G21" t="str">
        <f t="shared" si="4"/>
        <v>Q1.19</v>
      </c>
      <c r="H21" t="str">
        <f t="shared" si="0"/>
        <v/>
      </c>
      <c r="I21" t="str">
        <f t="shared" si="1"/>
        <v/>
      </c>
      <c r="J21">
        <f t="shared" si="2"/>
        <v>0.11</v>
      </c>
      <c r="K21" t="str">
        <f t="shared" si="3"/>
        <v/>
      </c>
      <c r="R21" t="s">
        <v>18</v>
      </c>
    </row>
    <row r="22" spans="1:29" ht="15" thickBot="1" x14ac:dyDescent="0.35">
      <c r="A22" s="4" t="s">
        <v>94</v>
      </c>
      <c r="B22">
        <v>-0.13</v>
      </c>
      <c r="C22" t="s">
        <v>79</v>
      </c>
      <c r="D22">
        <v>0.16</v>
      </c>
      <c r="E22">
        <v>0.32</v>
      </c>
      <c r="F22" s="23"/>
      <c r="G22" t="str">
        <f t="shared" si="4"/>
        <v>Q1.20</v>
      </c>
      <c r="H22">
        <f t="shared" si="0"/>
        <v>-0.13</v>
      </c>
      <c r="I22" t="str">
        <f t="shared" si="1"/>
        <v/>
      </c>
      <c r="J22">
        <f t="shared" si="2"/>
        <v>0.16</v>
      </c>
      <c r="K22">
        <f t="shared" si="3"/>
        <v>0.32</v>
      </c>
      <c r="R22" t="s">
        <v>19</v>
      </c>
    </row>
    <row r="23" spans="1:29" ht="15" thickBot="1" x14ac:dyDescent="0.35">
      <c r="A23" s="4" t="s">
        <v>111</v>
      </c>
      <c r="B23" t="s">
        <v>79</v>
      </c>
      <c r="C23" t="s">
        <v>79</v>
      </c>
      <c r="D23">
        <v>0.1</v>
      </c>
      <c r="E23" t="s">
        <v>79</v>
      </c>
      <c r="F23" s="23"/>
      <c r="G23" t="str">
        <f t="shared" si="4"/>
        <v>Q1.21</v>
      </c>
      <c r="H23" t="str">
        <f t="shared" si="0"/>
        <v/>
      </c>
      <c r="I23" t="str">
        <f t="shared" si="1"/>
        <v/>
      </c>
      <c r="J23">
        <f t="shared" si="2"/>
        <v>0.1</v>
      </c>
      <c r="K23" t="str">
        <f t="shared" si="3"/>
        <v/>
      </c>
      <c r="R23" t="s">
        <v>20</v>
      </c>
    </row>
    <row r="24" spans="1:29" ht="15" thickBot="1" x14ac:dyDescent="0.35">
      <c r="A24" s="4" t="s">
        <v>106</v>
      </c>
      <c r="B24" t="s">
        <v>79</v>
      </c>
      <c r="C24" t="s">
        <v>79</v>
      </c>
      <c r="D24">
        <v>0.1</v>
      </c>
      <c r="E24" t="s">
        <v>79</v>
      </c>
      <c r="F24" s="23"/>
      <c r="G24" t="str">
        <f t="shared" si="4"/>
        <v>Q1.22</v>
      </c>
      <c r="H24" t="str">
        <f t="shared" si="0"/>
        <v/>
      </c>
      <c r="I24" t="str">
        <f t="shared" si="1"/>
        <v/>
      </c>
      <c r="J24">
        <f t="shared" si="2"/>
        <v>0.1</v>
      </c>
      <c r="K24" t="str">
        <f t="shared" si="3"/>
        <v/>
      </c>
      <c r="R24" t="s">
        <v>21</v>
      </c>
    </row>
    <row r="25" spans="1:29" ht="15" thickBot="1" x14ac:dyDescent="0.35">
      <c r="A25" s="4" t="s">
        <v>107</v>
      </c>
      <c r="B25" t="s">
        <v>79</v>
      </c>
      <c r="C25" t="s">
        <v>79</v>
      </c>
      <c r="D25">
        <v>0.15</v>
      </c>
      <c r="E25">
        <v>0.18</v>
      </c>
      <c r="F25" s="23"/>
      <c r="G25" t="str">
        <f t="shared" si="4"/>
        <v>Q1.23</v>
      </c>
      <c r="H25" t="str">
        <f t="shared" si="0"/>
        <v/>
      </c>
      <c r="I25" t="str">
        <f t="shared" si="1"/>
        <v/>
      </c>
      <c r="J25">
        <f t="shared" si="2"/>
        <v>0.15</v>
      </c>
      <c r="K25">
        <f t="shared" si="3"/>
        <v>0.18</v>
      </c>
      <c r="R25" t="s">
        <v>22</v>
      </c>
    </row>
    <row r="26" spans="1:29" ht="15" thickBot="1" x14ac:dyDescent="0.35">
      <c r="A26" s="4" t="s">
        <v>110</v>
      </c>
      <c r="B26" t="s">
        <v>79</v>
      </c>
      <c r="C26" t="s">
        <v>79</v>
      </c>
      <c r="D26">
        <v>0.11</v>
      </c>
      <c r="E26" t="s">
        <v>79</v>
      </c>
      <c r="F26" s="23"/>
      <c r="G26" t="str">
        <f t="shared" si="4"/>
        <v>Q1.24</v>
      </c>
      <c r="H26" t="str">
        <f t="shared" si="0"/>
        <v/>
      </c>
      <c r="I26" t="str">
        <f t="shared" si="1"/>
        <v/>
      </c>
      <c r="J26">
        <f t="shared" si="2"/>
        <v>0.11</v>
      </c>
      <c r="K26" t="str">
        <f t="shared" si="3"/>
        <v/>
      </c>
      <c r="R26" t="s">
        <v>23</v>
      </c>
    </row>
    <row r="27" spans="1:29" ht="15" thickBot="1" x14ac:dyDescent="0.35">
      <c r="A27" s="4" t="s">
        <v>101</v>
      </c>
      <c r="B27" t="s">
        <v>79</v>
      </c>
      <c r="C27" t="s">
        <v>79</v>
      </c>
      <c r="D27">
        <v>0.14000000000000001</v>
      </c>
      <c r="E27">
        <v>0.16</v>
      </c>
      <c r="F27" s="23"/>
      <c r="G27" t="str">
        <f t="shared" si="4"/>
        <v>Q1.25</v>
      </c>
      <c r="H27" t="str">
        <f t="shared" si="0"/>
        <v/>
      </c>
      <c r="I27" t="str">
        <f t="shared" si="1"/>
        <v/>
      </c>
      <c r="J27">
        <f t="shared" si="2"/>
        <v>0.14000000000000001</v>
      </c>
      <c r="K27">
        <f t="shared" si="3"/>
        <v>0.16</v>
      </c>
      <c r="R27" t="s">
        <v>24</v>
      </c>
    </row>
    <row r="28" spans="1:29" ht="15" thickBot="1" x14ac:dyDescent="0.35">
      <c r="A28" s="4" t="s">
        <v>103</v>
      </c>
      <c r="B28" t="s">
        <v>79</v>
      </c>
      <c r="C28" t="s">
        <v>79</v>
      </c>
      <c r="D28">
        <v>0.14000000000000001</v>
      </c>
      <c r="E28">
        <v>0.37</v>
      </c>
      <c r="F28" s="23"/>
      <c r="G28" t="str">
        <f t="shared" si="4"/>
        <v>Q1.26</v>
      </c>
      <c r="H28" t="str">
        <f t="shared" si="0"/>
        <v/>
      </c>
      <c r="I28" t="str">
        <f t="shared" si="1"/>
        <v/>
      </c>
      <c r="J28">
        <f t="shared" si="2"/>
        <v>0.14000000000000001</v>
      </c>
      <c r="K28">
        <f t="shared" si="3"/>
        <v>0.37</v>
      </c>
      <c r="R28" t="s">
        <v>25</v>
      </c>
    </row>
    <row r="29" spans="1:29" ht="15" thickBot="1" x14ac:dyDescent="0.35">
      <c r="A29" s="4" t="s">
        <v>95</v>
      </c>
      <c r="B29">
        <v>-0.11</v>
      </c>
      <c r="C29">
        <v>-0.11</v>
      </c>
      <c r="D29">
        <v>0.23</v>
      </c>
      <c r="E29">
        <v>0.39</v>
      </c>
      <c r="F29" s="23"/>
      <c r="G29" t="str">
        <f t="shared" si="4"/>
        <v>Q1.27</v>
      </c>
      <c r="H29">
        <f t="shared" si="0"/>
        <v>-0.11</v>
      </c>
      <c r="I29">
        <f t="shared" si="1"/>
        <v>-0.11</v>
      </c>
      <c r="J29">
        <f t="shared" si="2"/>
        <v>0.23</v>
      </c>
      <c r="K29">
        <f t="shared" si="3"/>
        <v>0.39</v>
      </c>
      <c r="R29" t="s">
        <v>26</v>
      </c>
    </row>
    <row r="30" spans="1:29" ht="15" thickBot="1" x14ac:dyDescent="0.35">
      <c r="A30" s="4" t="s">
        <v>92</v>
      </c>
      <c r="B30">
        <v>-0.1</v>
      </c>
      <c r="C30" t="s">
        <v>79</v>
      </c>
      <c r="D30">
        <v>0.18</v>
      </c>
      <c r="E30">
        <v>0.3</v>
      </c>
      <c r="F30" s="23"/>
      <c r="G30" t="str">
        <f t="shared" si="4"/>
        <v>Q1.28</v>
      </c>
      <c r="H30">
        <f t="shared" si="0"/>
        <v>-0.1</v>
      </c>
      <c r="I30" t="str">
        <f t="shared" si="1"/>
        <v/>
      </c>
      <c r="J30">
        <f t="shared" si="2"/>
        <v>0.18</v>
      </c>
      <c r="K30">
        <f t="shared" si="3"/>
        <v>0.3</v>
      </c>
      <c r="R30" t="s">
        <v>27</v>
      </c>
    </row>
    <row r="31" spans="1:29" ht="15" thickBot="1" x14ac:dyDescent="0.35">
      <c r="A31" s="4" t="s">
        <v>113</v>
      </c>
      <c r="B31" t="s">
        <v>79</v>
      </c>
      <c r="C31" t="s">
        <v>79</v>
      </c>
      <c r="D31" t="s">
        <v>79</v>
      </c>
      <c r="E31">
        <v>0.12</v>
      </c>
      <c r="F31" s="23"/>
      <c r="G31" t="str">
        <f t="shared" si="4"/>
        <v>Q1.29</v>
      </c>
      <c r="H31" t="str">
        <f t="shared" si="0"/>
        <v/>
      </c>
      <c r="I31" t="str">
        <f t="shared" si="1"/>
        <v/>
      </c>
      <c r="J31" t="str">
        <f t="shared" si="2"/>
        <v/>
      </c>
      <c r="K31">
        <f t="shared" si="3"/>
        <v>0.12</v>
      </c>
      <c r="R31" t="s">
        <v>28</v>
      </c>
    </row>
    <row r="32" spans="1:29" ht="15" thickBot="1" x14ac:dyDescent="0.35">
      <c r="A32" s="4" t="s">
        <v>147</v>
      </c>
      <c r="B32">
        <v>-0.1</v>
      </c>
      <c r="C32" t="s">
        <v>79</v>
      </c>
      <c r="D32" t="s">
        <v>79</v>
      </c>
      <c r="E32">
        <v>0.28999999999999998</v>
      </c>
      <c r="F32" s="23"/>
      <c r="G32" t="str">
        <f t="shared" si="4"/>
        <v>Q2</v>
      </c>
      <c r="H32">
        <f t="shared" si="0"/>
        <v>-0.1</v>
      </c>
      <c r="I32" t="str">
        <f t="shared" si="1"/>
        <v/>
      </c>
      <c r="J32" t="str">
        <f t="shared" si="2"/>
        <v/>
      </c>
      <c r="K32">
        <f t="shared" si="3"/>
        <v>0.28999999999999998</v>
      </c>
      <c r="R32" t="s">
        <v>206</v>
      </c>
    </row>
    <row r="33" spans="1:18" ht="15" thickBot="1" x14ac:dyDescent="0.35">
      <c r="A33" s="4" t="s">
        <v>148</v>
      </c>
      <c r="B33" t="s">
        <v>79</v>
      </c>
      <c r="C33" t="s">
        <v>79</v>
      </c>
      <c r="D33" t="s">
        <v>79</v>
      </c>
      <c r="E33" t="s">
        <v>79</v>
      </c>
      <c r="F33" s="23"/>
      <c r="G33" t="str">
        <f t="shared" si="4"/>
        <v>Q2.Cluster</v>
      </c>
      <c r="H33" t="str">
        <f t="shared" si="0"/>
        <v/>
      </c>
      <c r="I33" t="str">
        <f t="shared" si="1"/>
        <v/>
      </c>
      <c r="J33" t="str">
        <f t="shared" si="2"/>
        <v/>
      </c>
      <c r="K33" t="str">
        <f t="shared" si="3"/>
        <v/>
      </c>
      <c r="R33" t="s">
        <v>206</v>
      </c>
    </row>
    <row r="34" spans="1:18" ht="15" thickBot="1" x14ac:dyDescent="0.35">
      <c r="A34" s="4" t="s">
        <v>149</v>
      </c>
      <c r="B34" t="s">
        <v>79</v>
      </c>
      <c r="C34" t="s">
        <v>79</v>
      </c>
      <c r="D34" t="s">
        <v>79</v>
      </c>
      <c r="E34">
        <v>0.1</v>
      </c>
      <c r="F34" s="23"/>
      <c r="G34" t="str">
        <f t="shared" si="4"/>
        <v>Q3</v>
      </c>
      <c r="H34" t="str">
        <f t="shared" si="0"/>
        <v/>
      </c>
      <c r="I34" t="str">
        <f t="shared" si="1"/>
        <v/>
      </c>
      <c r="J34" t="str">
        <f t="shared" si="2"/>
        <v/>
      </c>
      <c r="K34">
        <f t="shared" si="3"/>
        <v>0.1</v>
      </c>
      <c r="R34" t="s">
        <v>207</v>
      </c>
    </row>
    <row r="35" spans="1:18" ht="15" thickBot="1" x14ac:dyDescent="0.35">
      <c r="A35" s="4" t="s">
        <v>150</v>
      </c>
      <c r="B35" t="s">
        <v>79</v>
      </c>
      <c r="C35" t="s">
        <v>79</v>
      </c>
      <c r="D35" t="s">
        <v>79</v>
      </c>
      <c r="E35">
        <v>0.13</v>
      </c>
      <c r="F35" s="23"/>
      <c r="G35" t="str">
        <f t="shared" si="4"/>
        <v>Q4</v>
      </c>
      <c r="H35" t="str">
        <f t="shared" ref="H35:H66" si="5">IF(ISNUMBER(B35),B35,"")</f>
        <v/>
      </c>
      <c r="I35" t="str">
        <f t="shared" ref="I35:I66" si="6">IF(ISNUMBER(C35),C35,"")</f>
        <v/>
      </c>
      <c r="J35" t="str">
        <f t="shared" ref="J35:J66" si="7">IF(ISNUMBER(D35),D35,"")</f>
        <v/>
      </c>
      <c r="K35">
        <f t="shared" ref="K35:K66" si="8">IF(ISNUMBER(E35),E35,"")</f>
        <v>0.13</v>
      </c>
      <c r="R35" t="s">
        <v>208</v>
      </c>
    </row>
    <row r="36" spans="1:18" ht="15" thickBot="1" x14ac:dyDescent="0.35">
      <c r="A36" s="4" t="s">
        <v>151</v>
      </c>
      <c r="B36" t="s">
        <v>79</v>
      </c>
      <c r="C36" t="s">
        <v>79</v>
      </c>
      <c r="D36">
        <v>0.14000000000000001</v>
      </c>
      <c r="E36">
        <v>0.37</v>
      </c>
      <c r="F36" s="23"/>
      <c r="G36" t="str">
        <f t="shared" si="4"/>
        <v>Q5</v>
      </c>
      <c r="H36" t="str">
        <f t="shared" si="5"/>
        <v/>
      </c>
      <c r="I36" t="str">
        <f t="shared" si="6"/>
        <v/>
      </c>
      <c r="J36">
        <f t="shared" si="7"/>
        <v>0.14000000000000001</v>
      </c>
      <c r="K36">
        <f t="shared" si="8"/>
        <v>0.37</v>
      </c>
      <c r="R36" t="s">
        <v>209</v>
      </c>
    </row>
    <row r="37" spans="1:18" ht="15" thickBot="1" x14ac:dyDescent="0.35">
      <c r="A37" s="4" t="s">
        <v>152</v>
      </c>
      <c r="B37" t="s">
        <v>79</v>
      </c>
      <c r="C37" t="s">
        <v>79</v>
      </c>
      <c r="D37" t="s">
        <v>79</v>
      </c>
      <c r="E37">
        <v>0.1</v>
      </c>
      <c r="F37" s="23"/>
      <c r="G37" t="str">
        <f t="shared" si="4"/>
        <v>Q6</v>
      </c>
      <c r="H37" t="str">
        <f t="shared" si="5"/>
        <v/>
      </c>
      <c r="I37" t="str">
        <f t="shared" si="6"/>
        <v/>
      </c>
      <c r="J37" t="str">
        <f t="shared" si="7"/>
        <v/>
      </c>
      <c r="K37">
        <f t="shared" si="8"/>
        <v>0.1</v>
      </c>
      <c r="R37" t="s">
        <v>210</v>
      </c>
    </row>
    <row r="38" spans="1:18" ht="15" thickBot="1" x14ac:dyDescent="0.35">
      <c r="A38" s="4" t="s">
        <v>153</v>
      </c>
      <c r="B38">
        <v>-0.2</v>
      </c>
      <c r="C38" t="s">
        <v>79</v>
      </c>
      <c r="D38" t="s">
        <v>79</v>
      </c>
      <c r="E38">
        <v>0.39</v>
      </c>
      <c r="F38" s="23"/>
      <c r="G38" t="str">
        <f t="shared" si="4"/>
        <v>Q7.1</v>
      </c>
      <c r="H38">
        <f t="shared" si="5"/>
        <v>-0.2</v>
      </c>
      <c r="I38" t="str">
        <f t="shared" si="6"/>
        <v/>
      </c>
      <c r="J38" t="str">
        <f t="shared" si="7"/>
        <v/>
      </c>
      <c r="K38">
        <f t="shared" si="8"/>
        <v>0.39</v>
      </c>
      <c r="R38" t="s">
        <v>211</v>
      </c>
    </row>
    <row r="39" spans="1:18" ht="15" thickBot="1" x14ac:dyDescent="0.35">
      <c r="A39" s="4" t="s">
        <v>154</v>
      </c>
      <c r="B39" t="s">
        <v>79</v>
      </c>
      <c r="C39" t="s">
        <v>79</v>
      </c>
      <c r="D39" t="s">
        <v>79</v>
      </c>
      <c r="E39" t="s">
        <v>79</v>
      </c>
      <c r="F39" s="23"/>
      <c r="G39" t="str">
        <f t="shared" si="4"/>
        <v>Q7.2</v>
      </c>
      <c r="H39" t="str">
        <f t="shared" si="5"/>
        <v/>
      </c>
      <c r="I39" t="str">
        <f t="shared" si="6"/>
        <v/>
      </c>
      <c r="J39" t="str">
        <f t="shared" si="7"/>
        <v/>
      </c>
      <c r="K39" t="str">
        <f t="shared" si="8"/>
        <v/>
      </c>
      <c r="R39" t="s">
        <v>212</v>
      </c>
    </row>
    <row r="40" spans="1:18" ht="15" thickBot="1" x14ac:dyDescent="0.35">
      <c r="A40" s="4" t="s">
        <v>155</v>
      </c>
      <c r="B40" t="s">
        <v>79</v>
      </c>
      <c r="C40" t="s">
        <v>79</v>
      </c>
      <c r="D40" t="s">
        <v>79</v>
      </c>
      <c r="E40" t="s">
        <v>79</v>
      </c>
      <c r="F40" s="23"/>
      <c r="G40" t="str">
        <f t="shared" si="4"/>
        <v>Q7.3</v>
      </c>
      <c r="H40" t="str">
        <f t="shared" si="5"/>
        <v/>
      </c>
      <c r="I40" t="str">
        <f t="shared" si="6"/>
        <v/>
      </c>
      <c r="J40" t="str">
        <f t="shared" si="7"/>
        <v/>
      </c>
      <c r="K40" t="str">
        <f t="shared" si="8"/>
        <v/>
      </c>
      <c r="R40" t="s">
        <v>213</v>
      </c>
    </row>
    <row r="41" spans="1:18" ht="15" thickBot="1" x14ac:dyDescent="0.35">
      <c r="A41" s="4" t="s">
        <v>156</v>
      </c>
      <c r="B41" t="s">
        <v>79</v>
      </c>
      <c r="C41" t="s">
        <v>79</v>
      </c>
      <c r="D41" t="s">
        <v>79</v>
      </c>
      <c r="E41" t="s">
        <v>79</v>
      </c>
      <c r="F41" s="23"/>
      <c r="G41" t="str">
        <f t="shared" si="4"/>
        <v>Q7.4</v>
      </c>
      <c r="H41" t="str">
        <f t="shared" si="5"/>
        <v/>
      </c>
      <c r="I41" t="str">
        <f t="shared" si="6"/>
        <v/>
      </c>
      <c r="J41" t="str">
        <f t="shared" si="7"/>
        <v/>
      </c>
      <c r="K41" t="str">
        <f t="shared" si="8"/>
        <v/>
      </c>
      <c r="R41" t="s">
        <v>214</v>
      </c>
    </row>
    <row r="42" spans="1:18" ht="15" thickBot="1" x14ac:dyDescent="0.35">
      <c r="A42" s="4" t="s">
        <v>157</v>
      </c>
      <c r="B42">
        <v>-0.11</v>
      </c>
      <c r="C42" t="s">
        <v>79</v>
      </c>
      <c r="D42">
        <v>0.13</v>
      </c>
      <c r="E42" t="s">
        <v>79</v>
      </c>
      <c r="F42" s="23"/>
      <c r="G42" t="str">
        <f t="shared" si="4"/>
        <v>Q8</v>
      </c>
      <c r="H42">
        <f t="shared" si="5"/>
        <v>-0.11</v>
      </c>
      <c r="I42" t="str">
        <f t="shared" si="6"/>
        <v/>
      </c>
      <c r="J42">
        <f t="shared" si="7"/>
        <v>0.13</v>
      </c>
      <c r="K42" t="str">
        <f t="shared" si="8"/>
        <v/>
      </c>
      <c r="R42" t="s">
        <v>215</v>
      </c>
    </row>
    <row r="43" spans="1:18" ht="15" thickBot="1" x14ac:dyDescent="0.35">
      <c r="A43" s="4" t="s">
        <v>158</v>
      </c>
      <c r="B43">
        <v>-0.11</v>
      </c>
      <c r="C43" t="s">
        <v>79</v>
      </c>
      <c r="D43" t="s">
        <v>79</v>
      </c>
      <c r="E43">
        <v>0.11</v>
      </c>
      <c r="F43" s="23"/>
      <c r="G43" t="str">
        <f t="shared" si="4"/>
        <v>Q9.1</v>
      </c>
      <c r="H43">
        <f t="shared" si="5"/>
        <v>-0.11</v>
      </c>
      <c r="I43" t="str">
        <f t="shared" si="6"/>
        <v/>
      </c>
      <c r="J43" t="str">
        <f t="shared" si="7"/>
        <v/>
      </c>
      <c r="K43">
        <f t="shared" si="8"/>
        <v>0.11</v>
      </c>
      <c r="R43" t="s">
        <v>216</v>
      </c>
    </row>
    <row r="44" spans="1:18" ht="15" thickBot="1" x14ac:dyDescent="0.35">
      <c r="A44" s="4" t="s">
        <v>159</v>
      </c>
      <c r="B44" t="s">
        <v>79</v>
      </c>
      <c r="C44" t="s">
        <v>79</v>
      </c>
      <c r="D44" t="s">
        <v>79</v>
      </c>
      <c r="E44">
        <v>0.12</v>
      </c>
      <c r="F44" s="23"/>
      <c r="G44" t="str">
        <f t="shared" si="4"/>
        <v>Q9.2</v>
      </c>
      <c r="H44" t="str">
        <f t="shared" si="5"/>
        <v/>
      </c>
      <c r="I44" t="str">
        <f t="shared" si="6"/>
        <v/>
      </c>
      <c r="J44" t="str">
        <f t="shared" si="7"/>
        <v/>
      </c>
      <c r="K44">
        <f t="shared" si="8"/>
        <v>0.12</v>
      </c>
      <c r="R44" t="s">
        <v>217</v>
      </c>
    </row>
    <row r="45" spans="1:18" ht="15" thickBot="1" x14ac:dyDescent="0.35">
      <c r="A45" s="4" t="s">
        <v>160</v>
      </c>
      <c r="B45" t="s">
        <v>79</v>
      </c>
      <c r="C45" t="s">
        <v>79</v>
      </c>
      <c r="D45" t="s">
        <v>79</v>
      </c>
      <c r="E45" t="s">
        <v>79</v>
      </c>
      <c r="F45" s="23"/>
      <c r="G45" t="str">
        <f t="shared" si="4"/>
        <v>Q9.3</v>
      </c>
      <c r="H45" t="str">
        <f t="shared" si="5"/>
        <v/>
      </c>
      <c r="I45" t="str">
        <f t="shared" si="6"/>
        <v/>
      </c>
      <c r="J45" t="str">
        <f t="shared" si="7"/>
        <v/>
      </c>
      <c r="K45" t="str">
        <f t="shared" si="8"/>
        <v/>
      </c>
      <c r="R45" t="s">
        <v>218</v>
      </c>
    </row>
    <row r="46" spans="1:18" ht="15" thickBot="1" x14ac:dyDescent="0.35">
      <c r="A46" s="4" t="s">
        <v>161</v>
      </c>
      <c r="B46" t="s">
        <v>79</v>
      </c>
      <c r="C46" t="s">
        <v>79</v>
      </c>
      <c r="D46" t="s">
        <v>79</v>
      </c>
      <c r="E46">
        <v>0.17</v>
      </c>
      <c r="F46" s="23"/>
      <c r="G46" t="str">
        <f t="shared" si="4"/>
        <v>Q9.4</v>
      </c>
      <c r="H46" t="str">
        <f t="shared" si="5"/>
        <v/>
      </c>
      <c r="I46" t="str">
        <f t="shared" si="6"/>
        <v/>
      </c>
      <c r="J46" t="str">
        <f t="shared" si="7"/>
        <v/>
      </c>
      <c r="K46">
        <f t="shared" si="8"/>
        <v>0.17</v>
      </c>
      <c r="R46" t="s">
        <v>219</v>
      </c>
    </row>
    <row r="47" spans="1:18" ht="15" thickBot="1" x14ac:dyDescent="0.35">
      <c r="A47" s="4" t="s">
        <v>162</v>
      </c>
      <c r="B47" t="s">
        <v>79</v>
      </c>
      <c r="C47" t="s">
        <v>79</v>
      </c>
      <c r="D47" t="s">
        <v>79</v>
      </c>
      <c r="E47">
        <v>0.12</v>
      </c>
      <c r="F47" s="23"/>
      <c r="G47" t="str">
        <f t="shared" si="4"/>
        <v>Q9.5</v>
      </c>
      <c r="H47" t="str">
        <f t="shared" si="5"/>
        <v/>
      </c>
      <c r="I47" t="str">
        <f t="shared" si="6"/>
        <v/>
      </c>
      <c r="J47" t="str">
        <f t="shared" si="7"/>
        <v/>
      </c>
      <c r="K47">
        <f t="shared" si="8"/>
        <v>0.12</v>
      </c>
      <c r="R47" t="s">
        <v>220</v>
      </c>
    </row>
    <row r="48" spans="1:18" ht="15" thickBot="1" x14ac:dyDescent="0.35">
      <c r="A48" s="4" t="s">
        <v>163</v>
      </c>
      <c r="B48">
        <v>-0.1</v>
      </c>
      <c r="C48" t="s">
        <v>79</v>
      </c>
      <c r="D48">
        <v>0.16</v>
      </c>
      <c r="E48" t="s">
        <v>79</v>
      </c>
      <c r="F48" s="23"/>
      <c r="G48" t="str">
        <f t="shared" si="4"/>
        <v>Q10</v>
      </c>
      <c r="H48">
        <f t="shared" si="5"/>
        <v>-0.1</v>
      </c>
      <c r="I48" t="str">
        <f t="shared" si="6"/>
        <v/>
      </c>
      <c r="J48">
        <f t="shared" si="7"/>
        <v>0.16</v>
      </c>
      <c r="K48" t="str">
        <f t="shared" si="8"/>
        <v/>
      </c>
      <c r="R48" t="s">
        <v>221</v>
      </c>
    </row>
    <row r="49" spans="1:18" ht="15" thickBot="1" x14ac:dyDescent="0.35">
      <c r="A49" s="4" t="s">
        <v>164</v>
      </c>
      <c r="B49">
        <v>0.15</v>
      </c>
      <c r="C49" t="s">
        <v>79</v>
      </c>
      <c r="D49" t="s">
        <v>79</v>
      </c>
      <c r="E49" t="s">
        <v>79</v>
      </c>
      <c r="F49" s="23"/>
      <c r="G49" t="str">
        <f t="shared" si="4"/>
        <v>Q11</v>
      </c>
      <c r="H49">
        <f t="shared" si="5"/>
        <v>0.15</v>
      </c>
      <c r="I49" t="str">
        <f t="shared" si="6"/>
        <v/>
      </c>
      <c r="J49" t="str">
        <f t="shared" si="7"/>
        <v/>
      </c>
      <c r="K49" t="str">
        <f t="shared" si="8"/>
        <v/>
      </c>
      <c r="R49" t="s">
        <v>259</v>
      </c>
    </row>
    <row r="50" spans="1:18" ht="15" thickBot="1" x14ac:dyDescent="0.35">
      <c r="A50" s="4" t="s">
        <v>165</v>
      </c>
      <c r="B50" t="s">
        <v>79</v>
      </c>
      <c r="C50" t="s">
        <v>79</v>
      </c>
      <c r="D50" t="s">
        <v>79</v>
      </c>
      <c r="E50" t="s">
        <v>79</v>
      </c>
      <c r="F50" s="23"/>
      <c r="G50" t="str">
        <f t="shared" si="4"/>
        <v>Q12</v>
      </c>
      <c r="H50" t="str">
        <f t="shared" si="5"/>
        <v/>
      </c>
      <c r="I50" t="str">
        <f t="shared" si="6"/>
        <v/>
      </c>
      <c r="J50" t="str">
        <f t="shared" si="7"/>
        <v/>
      </c>
      <c r="K50" t="str">
        <f t="shared" si="8"/>
        <v/>
      </c>
      <c r="R50" t="s">
        <v>233</v>
      </c>
    </row>
    <row r="51" spans="1:18" ht="15" thickBot="1" x14ac:dyDescent="0.35">
      <c r="A51" s="4" t="s">
        <v>166</v>
      </c>
      <c r="B51" t="s">
        <v>79</v>
      </c>
      <c r="C51" t="s">
        <v>79</v>
      </c>
      <c r="D51" t="s">
        <v>79</v>
      </c>
      <c r="E51">
        <v>0.15</v>
      </c>
      <c r="F51" s="23"/>
      <c r="G51" t="str">
        <f t="shared" si="4"/>
        <v>Q13</v>
      </c>
      <c r="H51" t="str">
        <f t="shared" si="5"/>
        <v/>
      </c>
      <c r="I51" t="str">
        <f t="shared" si="6"/>
        <v/>
      </c>
      <c r="J51" t="str">
        <f t="shared" si="7"/>
        <v/>
      </c>
      <c r="K51">
        <f t="shared" si="8"/>
        <v>0.15</v>
      </c>
      <c r="R51" t="s">
        <v>222</v>
      </c>
    </row>
    <row r="52" spans="1:18" ht="15" thickBot="1" x14ac:dyDescent="0.35">
      <c r="A52" s="4" t="s">
        <v>167</v>
      </c>
      <c r="B52" t="s">
        <v>79</v>
      </c>
      <c r="C52" t="s">
        <v>79</v>
      </c>
      <c r="D52" t="s">
        <v>79</v>
      </c>
      <c r="E52">
        <v>-0.21</v>
      </c>
      <c r="F52" s="23"/>
      <c r="G52" t="str">
        <f t="shared" si="4"/>
        <v>Q14</v>
      </c>
      <c r="H52" t="str">
        <f t="shared" si="5"/>
        <v/>
      </c>
      <c r="I52" t="str">
        <f t="shared" si="6"/>
        <v/>
      </c>
      <c r="J52" t="str">
        <f t="shared" si="7"/>
        <v/>
      </c>
      <c r="K52">
        <f t="shared" si="8"/>
        <v>-0.21</v>
      </c>
      <c r="R52" t="s">
        <v>223</v>
      </c>
    </row>
    <row r="53" spans="1:18" ht="15" thickBot="1" x14ac:dyDescent="0.35">
      <c r="A53" s="4" t="s">
        <v>168</v>
      </c>
      <c r="B53" t="s">
        <v>79</v>
      </c>
      <c r="C53" t="s">
        <v>79</v>
      </c>
      <c r="D53" t="s">
        <v>79</v>
      </c>
      <c r="E53">
        <v>-0.32</v>
      </c>
      <c r="F53" s="23"/>
      <c r="G53" t="str">
        <f t="shared" si="4"/>
        <v>Q15</v>
      </c>
      <c r="H53" t="str">
        <f t="shared" si="5"/>
        <v/>
      </c>
      <c r="I53" t="str">
        <f t="shared" si="6"/>
        <v/>
      </c>
      <c r="J53" t="str">
        <f t="shared" si="7"/>
        <v/>
      </c>
      <c r="K53">
        <f t="shared" si="8"/>
        <v>-0.32</v>
      </c>
      <c r="R53" t="s">
        <v>224</v>
      </c>
    </row>
    <row r="54" spans="1:18" ht="15" thickBot="1" x14ac:dyDescent="0.35">
      <c r="A54" s="4" t="s">
        <v>169</v>
      </c>
      <c r="B54">
        <v>0.11</v>
      </c>
      <c r="C54" t="s">
        <v>79</v>
      </c>
      <c r="D54" t="s">
        <v>79</v>
      </c>
      <c r="E54">
        <v>-0.13</v>
      </c>
      <c r="F54" s="23"/>
      <c r="G54" t="str">
        <f t="shared" si="4"/>
        <v>Q16</v>
      </c>
      <c r="H54">
        <f t="shared" si="5"/>
        <v>0.11</v>
      </c>
      <c r="I54" t="str">
        <f t="shared" si="6"/>
        <v/>
      </c>
      <c r="J54" t="str">
        <f t="shared" si="7"/>
        <v/>
      </c>
      <c r="K54">
        <f t="shared" si="8"/>
        <v>-0.13</v>
      </c>
    </row>
    <row r="55" spans="1:18" ht="15" thickBot="1" x14ac:dyDescent="0.35">
      <c r="A55" s="4" t="s">
        <v>170</v>
      </c>
      <c r="B55" t="s">
        <v>79</v>
      </c>
      <c r="C55" t="s">
        <v>79</v>
      </c>
      <c r="D55" t="s">
        <v>79</v>
      </c>
      <c r="E55">
        <v>0.13</v>
      </c>
      <c r="F55" s="23"/>
      <c r="G55" t="str">
        <f t="shared" si="4"/>
        <v>Q16.1</v>
      </c>
      <c r="H55" t="str">
        <f t="shared" si="5"/>
        <v/>
      </c>
      <c r="I55" t="str">
        <f t="shared" si="6"/>
        <v/>
      </c>
      <c r="J55" t="str">
        <f t="shared" si="7"/>
        <v/>
      </c>
      <c r="K55">
        <f t="shared" si="8"/>
        <v>0.13</v>
      </c>
      <c r="R55" t="s">
        <v>260</v>
      </c>
    </row>
    <row r="56" spans="1:18" ht="15" thickBot="1" x14ac:dyDescent="0.35">
      <c r="A56" s="4" t="s">
        <v>171</v>
      </c>
      <c r="B56" t="s">
        <v>79</v>
      </c>
      <c r="C56" t="s">
        <v>79</v>
      </c>
      <c r="D56" t="s">
        <v>79</v>
      </c>
      <c r="E56">
        <v>0.17</v>
      </c>
      <c r="F56" s="23"/>
      <c r="G56" t="str">
        <f t="shared" si="4"/>
        <v>Q16.2</v>
      </c>
      <c r="H56" t="str">
        <f t="shared" si="5"/>
        <v/>
      </c>
      <c r="I56" t="str">
        <f t="shared" si="6"/>
        <v/>
      </c>
      <c r="J56" t="str">
        <f t="shared" si="7"/>
        <v/>
      </c>
      <c r="K56">
        <f t="shared" si="8"/>
        <v>0.17</v>
      </c>
      <c r="R56" t="s">
        <v>225</v>
      </c>
    </row>
    <row r="57" spans="1:18" ht="15" thickBot="1" x14ac:dyDescent="0.35">
      <c r="A57" s="4" t="s">
        <v>172</v>
      </c>
      <c r="B57" t="s">
        <v>79</v>
      </c>
      <c r="C57" t="s">
        <v>79</v>
      </c>
      <c r="D57" t="s">
        <v>79</v>
      </c>
      <c r="E57">
        <v>0.14000000000000001</v>
      </c>
      <c r="F57" s="23"/>
      <c r="G57" t="str">
        <f t="shared" si="4"/>
        <v>Q16.3</v>
      </c>
      <c r="H57" t="str">
        <f t="shared" si="5"/>
        <v/>
      </c>
      <c r="I57" t="str">
        <f t="shared" si="6"/>
        <v/>
      </c>
      <c r="J57" t="str">
        <f t="shared" si="7"/>
        <v/>
      </c>
      <c r="K57">
        <f t="shared" si="8"/>
        <v>0.14000000000000001</v>
      </c>
    </row>
    <row r="58" spans="1:18" ht="15" thickBot="1" x14ac:dyDescent="0.35">
      <c r="A58" s="4" t="s">
        <v>173</v>
      </c>
      <c r="B58" t="s">
        <v>79</v>
      </c>
      <c r="C58" t="s">
        <v>79</v>
      </c>
      <c r="D58" t="s">
        <v>79</v>
      </c>
      <c r="E58">
        <v>0.12</v>
      </c>
      <c r="F58" s="23"/>
      <c r="G58" t="str">
        <f t="shared" si="4"/>
        <v>Q16.4</v>
      </c>
      <c r="H58" t="str">
        <f t="shared" si="5"/>
        <v/>
      </c>
      <c r="I58" t="str">
        <f t="shared" si="6"/>
        <v/>
      </c>
      <c r="J58" t="str">
        <f t="shared" si="7"/>
        <v/>
      </c>
      <c r="K58">
        <f t="shared" si="8"/>
        <v>0.12</v>
      </c>
    </row>
    <row r="59" spans="1:18" ht="15" thickBot="1" x14ac:dyDescent="0.35">
      <c r="A59" s="4" t="s">
        <v>174</v>
      </c>
      <c r="B59" t="s">
        <v>79</v>
      </c>
      <c r="C59" t="s">
        <v>79</v>
      </c>
      <c r="D59" t="s">
        <v>79</v>
      </c>
      <c r="E59">
        <v>0.11</v>
      </c>
      <c r="F59" s="23"/>
      <c r="G59" t="str">
        <f t="shared" si="4"/>
        <v>Q16.5</v>
      </c>
      <c r="H59" t="str">
        <f t="shared" si="5"/>
        <v/>
      </c>
      <c r="I59" t="str">
        <f t="shared" si="6"/>
        <v/>
      </c>
      <c r="J59" t="str">
        <f t="shared" si="7"/>
        <v/>
      </c>
      <c r="K59">
        <f t="shared" si="8"/>
        <v>0.11</v>
      </c>
    </row>
    <row r="60" spans="1:18" ht="15" thickBot="1" x14ac:dyDescent="0.35">
      <c r="A60" s="4" t="s">
        <v>175</v>
      </c>
      <c r="B60" t="s">
        <v>79</v>
      </c>
      <c r="C60" t="s">
        <v>79</v>
      </c>
      <c r="D60" t="s">
        <v>79</v>
      </c>
      <c r="E60">
        <v>0.12</v>
      </c>
      <c r="F60" s="23"/>
      <c r="G60" t="str">
        <f t="shared" si="4"/>
        <v>Q16.6</v>
      </c>
      <c r="H60" t="str">
        <f t="shared" si="5"/>
        <v/>
      </c>
      <c r="I60" t="str">
        <f t="shared" si="6"/>
        <v/>
      </c>
      <c r="J60" t="str">
        <f t="shared" si="7"/>
        <v/>
      </c>
      <c r="K60">
        <f t="shared" si="8"/>
        <v>0.12</v>
      </c>
    </row>
    <row r="61" spans="1:18" ht="15" thickBot="1" x14ac:dyDescent="0.35">
      <c r="A61" s="4" t="s">
        <v>176</v>
      </c>
      <c r="B61" t="s">
        <v>79</v>
      </c>
      <c r="C61" t="s">
        <v>79</v>
      </c>
      <c r="D61" t="s">
        <v>79</v>
      </c>
      <c r="E61">
        <v>0.12</v>
      </c>
      <c r="F61" s="23"/>
      <c r="G61" t="str">
        <f t="shared" si="4"/>
        <v>Q16.7</v>
      </c>
      <c r="H61" t="str">
        <f t="shared" si="5"/>
        <v/>
      </c>
      <c r="I61" t="str">
        <f t="shared" si="6"/>
        <v/>
      </c>
      <c r="J61" t="str">
        <f t="shared" si="7"/>
        <v/>
      </c>
      <c r="K61">
        <f t="shared" si="8"/>
        <v>0.12</v>
      </c>
    </row>
    <row r="62" spans="1:18" ht="15" thickBot="1" x14ac:dyDescent="0.35">
      <c r="A62" s="4" t="s">
        <v>177</v>
      </c>
      <c r="B62" t="s">
        <v>79</v>
      </c>
      <c r="C62" t="s">
        <v>79</v>
      </c>
      <c r="D62" t="s">
        <v>79</v>
      </c>
      <c r="E62">
        <v>0.11</v>
      </c>
      <c r="F62" s="23"/>
      <c r="G62" t="str">
        <f t="shared" si="4"/>
        <v>Q16.8</v>
      </c>
      <c r="H62" t="str">
        <f t="shared" si="5"/>
        <v/>
      </c>
      <c r="I62" t="str">
        <f t="shared" si="6"/>
        <v/>
      </c>
      <c r="J62" t="str">
        <f t="shared" si="7"/>
        <v/>
      </c>
      <c r="K62">
        <f t="shared" si="8"/>
        <v>0.11</v>
      </c>
    </row>
    <row r="63" spans="1:18" ht="15" thickBot="1" x14ac:dyDescent="0.35">
      <c r="A63" s="4" t="s">
        <v>178</v>
      </c>
      <c r="B63" t="s">
        <v>79</v>
      </c>
      <c r="C63" t="s">
        <v>79</v>
      </c>
      <c r="D63" t="s">
        <v>79</v>
      </c>
      <c r="E63" t="s">
        <v>79</v>
      </c>
      <c r="F63" s="23"/>
      <c r="G63" t="str">
        <f t="shared" si="4"/>
        <v>Q16.9</v>
      </c>
      <c r="H63" t="str">
        <f t="shared" si="5"/>
        <v/>
      </c>
      <c r="I63" t="str">
        <f t="shared" si="6"/>
        <v/>
      </c>
      <c r="J63" t="str">
        <f t="shared" si="7"/>
        <v/>
      </c>
      <c r="K63" t="str">
        <f t="shared" si="8"/>
        <v/>
      </c>
    </row>
    <row r="64" spans="1:18" ht="15" thickBot="1" x14ac:dyDescent="0.35">
      <c r="A64" s="4" t="s">
        <v>179</v>
      </c>
      <c r="B64" t="s">
        <v>79</v>
      </c>
      <c r="C64" t="s">
        <v>79</v>
      </c>
      <c r="D64" t="s">
        <v>79</v>
      </c>
      <c r="E64" t="s">
        <v>79</v>
      </c>
      <c r="F64" s="23"/>
      <c r="G64" t="str">
        <f t="shared" si="4"/>
        <v>Q16.10</v>
      </c>
      <c r="H64" t="str">
        <f t="shared" si="5"/>
        <v/>
      </c>
      <c r="I64" t="str">
        <f t="shared" si="6"/>
        <v/>
      </c>
      <c r="J64" t="str">
        <f t="shared" si="7"/>
        <v/>
      </c>
      <c r="K64" t="str">
        <f t="shared" si="8"/>
        <v/>
      </c>
    </row>
    <row r="65" spans="1:18" ht="15" thickBot="1" x14ac:dyDescent="0.35">
      <c r="A65" s="4" t="s">
        <v>180</v>
      </c>
      <c r="B65" t="s">
        <v>79</v>
      </c>
      <c r="C65" t="s">
        <v>79</v>
      </c>
      <c r="D65" t="s">
        <v>79</v>
      </c>
      <c r="E65">
        <v>0.14000000000000001</v>
      </c>
      <c r="F65" s="23"/>
      <c r="G65" t="str">
        <f t="shared" si="4"/>
        <v>Q16.11</v>
      </c>
      <c r="H65" t="str">
        <f t="shared" si="5"/>
        <v/>
      </c>
      <c r="I65" t="str">
        <f t="shared" si="6"/>
        <v/>
      </c>
      <c r="J65" t="str">
        <f t="shared" si="7"/>
        <v/>
      </c>
      <c r="K65">
        <f t="shared" si="8"/>
        <v>0.14000000000000001</v>
      </c>
      <c r="R65" t="s">
        <v>253</v>
      </c>
    </row>
    <row r="66" spans="1:18" ht="15" thickBot="1" x14ac:dyDescent="0.35">
      <c r="A66" s="4" t="s">
        <v>181</v>
      </c>
      <c r="B66" t="s">
        <v>79</v>
      </c>
      <c r="C66" t="s">
        <v>79</v>
      </c>
      <c r="D66" t="s">
        <v>79</v>
      </c>
      <c r="E66" t="s">
        <v>79</v>
      </c>
      <c r="F66" s="23"/>
      <c r="G66" t="str">
        <f t="shared" si="4"/>
        <v>Q16.12</v>
      </c>
      <c r="H66" t="str">
        <f t="shared" si="5"/>
        <v/>
      </c>
      <c r="I66" t="str">
        <f t="shared" si="6"/>
        <v/>
      </c>
      <c r="J66" t="str">
        <f t="shared" si="7"/>
        <v/>
      </c>
      <c r="K66" t="str">
        <f t="shared" si="8"/>
        <v/>
      </c>
      <c r="R66" t="s">
        <v>252</v>
      </c>
    </row>
    <row r="67" spans="1:18" ht="15" thickBot="1" x14ac:dyDescent="0.35">
      <c r="A67" s="4" t="s">
        <v>182</v>
      </c>
      <c r="B67" t="s">
        <v>79</v>
      </c>
      <c r="C67" t="s">
        <v>79</v>
      </c>
      <c r="D67" t="s">
        <v>79</v>
      </c>
      <c r="E67">
        <v>0.14000000000000001</v>
      </c>
      <c r="F67" s="23"/>
      <c r="G67" t="str">
        <f t="shared" si="4"/>
        <v>Q16.13</v>
      </c>
      <c r="H67" t="str">
        <f t="shared" ref="H67:H83" si="9">IF(ISNUMBER(B67),B67,"")</f>
        <v/>
      </c>
      <c r="I67" t="str">
        <f t="shared" ref="I67:I83" si="10">IF(ISNUMBER(C67),C67,"")</f>
        <v/>
      </c>
      <c r="J67" t="str">
        <f t="shared" ref="J67:J83" si="11">IF(ISNUMBER(D67),D67,"")</f>
        <v/>
      </c>
      <c r="K67">
        <f t="shared" ref="K67:K83" si="12">IF(ISNUMBER(E67),E67,"")</f>
        <v>0.14000000000000001</v>
      </c>
      <c r="R67" t="s">
        <v>226</v>
      </c>
    </row>
    <row r="68" spans="1:18" ht="15" thickBot="1" x14ac:dyDescent="0.35">
      <c r="A68" s="4" t="s">
        <v>183</v>
      </c>
      <c r="B68" t="s">
        <v>79</v>
      </c>
      <c r="C68" t="s">
        <v>79</v>
      </c>
      <c r="D68" t="s">
        <v>79</v>
      </c>
      <c r="E68">
        <v>0.13</v>
      </c>
      <c r="F68" s="23"/>
      <c r="G68" t="str">
        <f t="shared" ref="G68:G83" si="13">A68</f>
        <v>Q16.14</v>
      </c>
      <c r="H68" t="str">
        <f t="shared" si="9"/>
        <v/>
      </c>
      <c r="I68" t="str">
        <f t="shared" si="10"/>
        <v/>
      </c>
      <c r="J68" t="str">
        <f t="shared" si="11"/>
        <v/>
      </c>
      <c r="K68">
        <f t="shared" si="12"/>
        <v>0.13</v>
      </c>
      <c r="R68" t="s">
        <v>227</v>
      </c>
    </row>
    <row r="69" spans="1:18" ht="15" thickBot="1" x14ac:dyDescent="0.35">
      <c r="A69" s="4" t="s">
        <v>184</v>
      </c>
      <c r="B69" t="s">
        <v>79</v>
      </c>
      <c r="C69" t="s">
        <v>79</v>
      </c>
      <c r="D69" t="s">
        <v>79</v>
      </c>
      <c r="E69" t="s">
        <v>79</v>
      </c>
      <c r="F69" s="23"/>
      <c r="G69" t="str">
        <f t="shared" si="13"/>
        <v>Q16.15</v>
      </c>
      <c r="H69" t="str">
        <f t="shared" si="9"/>
        <v/>
      </c>
      <c r="I69" t="str">
        <f t="shared" si="10"/>
        <v/>
      </c>
      <c r="J69" t="str">
        <f t="shared" si="11"/>
        <v/>
      </c>
      <c r="K69" t="str">
        <f t="shared" si="12"/>
        <v/>
      </c>
    </row>
    <row r="70" spans="1:18" ht="15" thickBot="1" x14ac:dyDescent="0.35">
      <c r="A70" s="4" t="s">
        <v>185</v>
      </c>
      <c r="B70" t="s">
        <v>79</v>
      </c>
      <c r="C70" t="s">
        <v>79</v>
      </c>
      <c r="D70" t="s">
        <v>79</v>
      </c>
      <c r="E70">
        <v>0.14000000000000001</v>
      </c>
      <c r="F70" s="23"/>
      <c r="G70" t="str">
        <f t="shared" si="13"/>
        <v>Q16.16</v>
      </c>
      <c r="H70" t="str">
        <f t="shared" si="9"/>
        <v/>
      </c>
      <c r="I70" t="str">
        <f t="shared" si="10"/>
        <v/>
      </c>
      <c r="J70" t="str">
        <f t="shared" si="11"/>
        <v/>
      </c>
      <c r="K70">
        <f t="shared" si="12"/>
        <v>0.14000000000000001</v>
      </c>
      <c r="R70" t="s">
        <v>228</v>
      </c>
    </row>
    <row r="71" spans="1:18" ht="15" thickBot="1" x14ac:dyDescent="0.35">
      <c r="A71" s="4" t="s">
        <v>186</v>
      </c>
      <c r="B71" t="s">
        <v>79</v>
      </c>
      <c r="C71" t="s">
        <v>79</v>
      </c>
      <c r="D71" t="s">
        <v>79</v>
      </c>
      <c r="E71">
        <v>0.1</v>
      </c>
      <c r="F71" s="23"/>
      <c r="G71" t="str">
        <f t="shared" si="13"/>
        <v>Q16.17</v>
      </c>
      <c r="H71" t="str">
        <f t="shared" si="9"/>
        <v/>
      </c>
      <c r="I71" t="str">
        <f t="shared" si="10"/>
        <v/>
      </c>
      <c r="J71" t="str">
        <f t="shared" si="11"/>
        <v/>
      </c>
      <c r="K71">
        <f t="shared" si="12"/>
        <v>0.1</v>
      </c>
    </row>
    <row r="72" spans="1:18" ht="15" thickBot="1" x14ac:dyDescent="0.35">
      <c r="A72" s="4" t="s">
        <v>187</v>
      </c>
      <c r="B72" t="s">
        <v>79</v>
      </c>
      <c r="C72" t="s">
        <v>79</v>
      </c>
      <c r="D72" t="s">
        <v>79</v>
      </c>
      <c r="E72">
        <v>0.11</v>
      </c>
      <c r="F72" s="23"/>
      <c r="G72" t="str">
        <f t="shared" si="13"/>
        <v>Q16.18</v>
      </c>
      <c r="H72" t="str">
        <f t="shared" si="9"/>
        <v/>
      </c>
      <c r="I72" t="str">
        <f t="shared" si="10"/>
        <v/>
      </c>
      <c r="J72" t="str">
        <f t="shared" si="11"/>
        <v/>
      </c>
      <c r="K72">
        <f t="shared" si="12"/>
        <v>0.11</v>
      </c>
    </row>
    <row r="73" spans="1:18" ht="15" thickBot="1" x14ac:dyDescent="0.35">
      <c r="A73" s="4" t="s">
        <v>188</v>
      </c>
      <c r="B73" t="s">
        <v>79</v>
      </c>
      <c r="C73" t="s">
        <v>79</v>
      </c>
      <c r="D73" t="s">
        <v>79</v>
      </c>
      <c r="E73" t="s">
        <v>79</v>
      </c>
      <c r="F73" s="23"/>
      <c r="G73" t="str">
        <f t="shared" si="13"/>
        <v>Q16.19</v>
      </c>
      <c r="H73" t="str">
        <f t="shared" si="9"/>
        <v/>
      </c>
      <c r="I73" t="str">
        <f t="shared" si="10"/>
        <v/>
      </c>
      <c r="J73" t="str">
        <f t="shared" si="11"/>
        <v/>
      </c>
      <c r="K73" t="str">
        <f t="shared" si="12"/>
        <v/>
      </c>
    </row>
    <row r="74" spans="1:18" ht="15" thickBot="1" x14ac:dyDescent="0.35">
      <c r="A74" s="4" t="s">
        <v>189</v>
      </c>
      <c r="B74" t="s">
        <v>79</v>
      </c>
      <c r="C74" t="s">
        <v>79</v>
      </c>
      <c r="D74" t="s">
        <v>79</v>
      </c>
      <c r="E74" t="s">
        <v>79</v>
      </c>
      <c r="F74" s="23"/>
      <c r="G74" t="str">
        <f t="shared" si="13"/>
        <v>Q16.20</v>
      </c>
      <c r="H74" t="str">
        <f t="shared" si="9"/>
        <v/>
      </c>
      <c r="I74" t="str">
        <f t="shared" si="10"/>
        <v/>
      </c>
      <c r="J74" t="str">
        <f t="shared" si="11"/>
        <v/>
      </c>
      <c r="K74" t="str">
        <f t="shared" si="12"/>
        <v/>
      </c>
    </row>
    <row r="75" spans="1:18" ht="15" thickBot="1" x14ac:dyDescent="0.35">
      <c r="A75" s="4" t="s">
        <v>190</v>
      </c>
      <c r="B75" t="s">
        <v>79</v>
      </c>
      <c r="C75" t="s">
        <v>79</v>
      </c>
      <c r="D75" t="s">
        <v>79</v>
      </c>
      <c r="E75">
        <v>0.1</v>
      </c>
      <c r="F75" s="23"/>
      <c r="G75" t="str">
        <f t="shared" si="13"/>
        <v>Q16.21</v>
      </c>
      <c r="H75" t="str">
        <f t="shared" si="9"/>
        <v/>
      </c>
      <c r="I75" t="str">
        <f t="shared" si="10"/>
        <v/>
      </c>
      <c r="J75" t="str">
        <f t="shared" si="11"/>
        <v/>
      </c>
      <c r="K75">
        <f t="shared" si="12"/>
        <v>0.1</v>
      </c>
    </row>
    <row r="76" spans="1:18" ht="15" thickBot="1" x14ac:dyDescent="0.35">
      <c r="A76" s="4" t="s">
        <v>191</v>
      </c>
      <c r="B76" t="s">
        <v>79</v>
      </c>
      <c r="C76" t="s">
        <v>79</v>
      </c>
      <c r="D76" t="s">
        <v>79</v>
      </c>
      <c r="E76">
        <v>0.1</v>
      </c>
      <c r="F76" s="23"/>
      <c r="G76" t="str">
        <f t="shared" si="13"/>
        <v>Q16.22</v>
      </c>
      <c r="H76" t="str">
        <f t="shared" si="9"/>
        <v/>
      </c>
      <c r="I76" t="str">
        <f t="shared" si="10"/>
        <v/>
      </c>
      <c r="J76" t="str">
        <f t="shared" si="11"/>
        <v/>
      </c>
      <c r="K76">
        <f t="shared" si="12"/>
        <v>0.1</v>
      </c>
    </row>
    <row r="77" spans="1:18" ht="15" thickBot="1" x14ac:dyDescent="0.35">
      <c r="A77" s="4" t="s">
        <v>192</v>
      </c>
      <c r="B77" t="s">
        <v>79</v>
      </c>
      <c r="C77" t="s">
        <v>79</v>
      </c>
      <c r="D77" t="s">
        <v>79</v>
      </c>
      <c r="E77" t="s">
        <v>79</v>
      </c>
      <c r="F77" s="23"/>
      <c r="G77" t="str">
        <f t="shared" si="13"/>
        <v>Q16.23</v>
      </c>
      <c r="H77" t="str">
        <f t="shared" si="9"/>
        <v/>
      </c>
      <c r="I77" t="str">
        <f t="shared" si="10"/>
        <v/>
      </c>
      <c r="J77" t="str">
        <f t="shared" si="11"/>
        <v/>
      </c>
      <c r="K77" t="str">
        <f t="shared" si="12"/>
        <v/>
      </c>
    </row>
    <row r="78" spans="1:18" ht="15" thickBot="1" x14ac:dyDescent="0.35">
      <c r="A78" s="4" t="s">
        <v>193</v>
      </c>
      <c r="B78" t="s">
        <v>79</v>
      </c>
      <c r="C78" t="s">
        <v>79</v>
      </c>
      <c r="D78" t="s">
        <v>79</v>
      </c>
      <c r="E78">
        <v>0.19</v>
      </c>
      <c r="F78" s="23"/>
      <c r="G78" t="str">
        <f t="shared" si="13"/>
        <v>Q16.24</v>
      </c>
      <c r="H78" t="str">
        <f t="shared" si="9"/>
        <v/>
      </c>
      <c r="I78" t="str">
        <f t="shared" si="10"/>
        <v/>
      </c>
      <c r="J78" t="str">
        <f t="shared" si="11"/>
        <v/>
      </c>
      <c r="K78">
        <f t="shared" si="12"/>
        <v>0.19</v>
      </c>
      <c r="R78" t="s">
        <v>251</v>
      </c>
    </row>
    <row r="79" spans="1:18" ht="15" thickBot="1" x14ac:dyDescent="0.35">
      <c r="A79" s="4" t="s">
        <v>194</v>
      </c>
      <c r="B79" t="s">
        <v>79</v>
      </c>
      <c r="C79" t="s">
        <v>79</v>
      </c>
      <c r="D79" t="s">
        <v>79</v>
      </c>
      <c r="E79">
        <v>0.15</v>
      </c>
      <c r="F79" s="23"/>
      <c r="G79" t="str">
        <f t="shared" si="13"/>
        <v>Q16.25</v>
      </c>
      <c r="H79" t="str">
        <f t="shared" si="9"/>
        <v/>
      </c>
      <c r="I79" t="str">
        <f t="shared" si="10"/>
        <v/>
      </c>
      <c r="J79" t="str">
        <f t="shared" si="11"/>
        <v/>
      </c>
      <c r="K79">
        <f t="shared" si="12"/>
        <v>0.15</v>
      </c>
      <c r="R79" t="s">
        <v>229</v>
      </c>
    </row>
    <row r="80" spans="1:18" ht="15" thickBot="1" x14ac:dyDescent="0.35">
      <c r="A80" s="4" t="s">
        <v>195</v>
      </c>
      <c r="B80" t="s">
        <v>79</v>
      </c>
      <c r="C80" t="s">
        <v>79</v>
      </c>
      <c r="D80" t="s">
        <v>79</v>
      </c>
      <c r="E80">
        <v>0.1</v>
      </c>
      <c r="F80" s="23"/>
      <c r="G80" t="str">
        <f t="shared" si="13"/>
        <v>Q16.26</v>
      </c>
      <c r="H80" t="str">
        <f t="shared" si="9"/>
        <v/>
      </c>
      <c r="I80" t="str">
        <f t="shared" si="10"/>
        <v/>
      </c>
      <c r="J80" t="str">
        <f t="shared" si="11"/>
        <v/>
      </c>
      <c r="K80">
        <f t="shared" si="12"/>
        <v>0.1</v>
      </c>
      <c r="R80" t="s">
        <v>250</v>
      </c>
    </row>
    <row r="81" spans="1:18" ht="15" thickBot="1" x14ac:dyDescent="0.35">
      <c r="A81" s="4" t="s">
        <v>196</v>
      </c>
      <c r="B81" t="s">
        <v>79</v>
      </c>
      <c r="C81" t="s">
        <v>79</v>
      </c>
      <c r="D81" t="s">
        <v>79</v>
      </c>
      <c r="E81">
        <v>0.17</v>
      </c>
      <c r="F81" s="23"/>
      <c r="G81" t="str">
        <f t="shared" si="13"/>
        <v>Q16.27</v>
      </c>
      <c r="H81" t="str">
        <f t="shared" si="9"/>
        <v/>
      </c>
      <c r="I81" t="str">
        <f t="shared" si="10"/>
        <v/>
      </c>
      <c r="J81" t="str">
        <f t="shared" si="11"/>
        <v/>
      </c>
      <c r="K81">
        <f t="shared" si="12"/>
        <v>0.17</v>
      </c>
      <c r="R81" t="s">
        <v>230</v>
      </c>
    </row>
    <row r="82" spans="1:18" ht="15" thickBot="1" x14ac:dyDescent="0.35">
      <c r="A82" s="4" t="s">
        <v>197</v>
      </c>
      <c r="B82">
        <v>-0.18</v>
      </c>
      <c r="C82">
        <v>-0.15</v>
      </c>
      <c r="D82">
        <v>0.38</v>
      </c>
      <c r="E82">
        <v>0.38</v>
      </c>
      <c r="F82" s="23"/>
      <c r="G82" t="str">
        <f t="shared" si="13"/>
        <v>Q17</v>
      </c>
      <c r="H82">
        <f t="shared" si="9"/>
        <v>-0.18</v>
      </c>
      <c r="I82">
        <f t="shared" si="10"/>
        <v>-0.15</v>
      </c>
      <c r="J82">
        <f t="shared" si="11"/>
        <v>0.38</v>
      </c>
      <c r="K82">
        <f t="shared" si="12"/>
        <v>0.38</v>
      </c>
      <c r="R82" t="s">
        <v>231</v>
      </c>
    </row>
    <row r="83" spans="1:18" ht="15" thickBot="1" x14ac:dyDescent="0.35">
      <c r="A83" s="4" t="s">
        <v>198</v>
      </c>
      <c r="B83">
        <v>0.12</v>
      </c>
      <c r="C83" t="s">
        <v>79</v>
      </c>
      <c r="D83" t="s">
        <v>79</v>
      </c>
      <c r="E83">
        <v>-0.38</v>
      </c>
      <c r="F83" s="23"/>
      <c r="G83" t="str">
        <f t="shared" si="13"/>
        <v>Q18</v>
      </c>
      <c r="H83">
        <f t="shared" si="9"/>
        <v>0.12</v>
      </c>
      <c r="I83" t="str">
        <f t="shared" si="10"/>
        <v/>
      </c>
      <c r="J83" t="str">
        <f t="shared" si="11"/>
        <v/>
      </c>
      <c r="K83">
        <f t="shared" si="12"/>
        <v>-0.38</v>
      </c>
      <c r="R83" t="s">
        <v>232</v>
      </c>
    </row>
  </sheetData>
  <conditionalFormatting sqref="H4:H83">
    <cfRule type="colorScale" priority="2">
      <colorScale>
        <cfvo type="min"/>
        <cfvo type="percentile" val="50"/>
        <cfvo type="max"/>
        <color rgb="FFF8696B"/>
        <color rgb="FFFFEB84"/>
        <color rgb="FF63BE7B"/>
      </colorScale>
    </cfRule>
  </conditionalFormatting>
  <conditionalFormatting sqref="L3:Q83">
    <cfRule type="colorScale" priority="1">
      <colorScale>
        <cfvo type="min"/>
        <cfvo type="percentile" val="50"/>
        <cfvo type="max"/>
        <color rgb="FFF8696B"/>
        <color rgb="FFFFEB84"/>
        <color rgb="FF63BE7B"/>
      </colorScale>
    </cfRule>
  </conditionalFormatting>
  <conditionalFormatting sqref="I4:K83">
    <cfRule type="colorScale" priority="3">
      <colorScale>
        <cfvo type="min"/>
        <cfvo type="percentile" val="50"/>
        <cfvo type="max"/>
        <color rgb="FFF8696B"/>
        <color rgb="FFFFEB84"/>
        <color rgb="FF63BE7B"/>
      </colorScale>
    </cfRule>
  </conditionalFormatting>
  <conditionalFormatting sqref="H3:K3">
    <cfRule type="colorScale" priority="4">
      <colorScale>
        <cfvo type="min"/>
        <cfvo type="percentile" val="50"/>
        <cfvo type="max"/>
        <color rgb="FFF8696B"/>
        <color rgb="FFFFEB84"/>
        <color rgb="FF63BE7B"/>
      </colorScale>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B4B89-86AE-4F01-8E19-6E8389586CCD}">
  <sheetPr>
    <tabColor theme="5"/>
  </sheetPr>
  <dimension ref="A1:AG91"/>
  <sheetViews>
    <sheetView tabSelected="1" workbookViewId="0">
      <selection activeCell="J2" sqref="J2"/>
    </sheetView>
  </sheetViews>
  <sheetFormatPr defaultRowHeight="14.4" x14ac:dyDescent="0.3"/>
  <cols>
    <col min="1" max="1" width="16.77734375" bestFit="1" customWidth="1"/>
    <col min="11" max="15" width="8.88671875" customWidth="1"/>
    <col min="16" max="21" width="8.88671875" hidden="1" customWidth="1"/>
  </cols>
  <sheetData>
    <row r="1" spans="1:33" ht="21" x14ac:dyDescent="0.4">
      <c r="A1" s="25" t="s">
        <v>246</v>
      </c>
      <c r="B1" s="15" t="s">
        <v>205</v>
      </c>
      <c r="H1" s="25"/>
      <c r="J1" s="15" t="s">
        <v>205</v>
      </c>
    </row>
    <row r="2" spans="1:33" x14ac:dyDescent="0.3">
      <c r="B2" s="12" t="s">
        <v>199</v>
      </c>
      <c r="C2" s="12" t="s">
        <v>200</v>
      </c>
      <c r="D2" s="12" t="s">
        <v>201</v>
      </c>
      <c r="E2" s="12" t="s">
        <v>202</v>
      </c>
      <c r="F2" s="12" t="s">
        <v>203</v>
      </c>
      <c r="G2" s="12" t="s">
        <v>204</v>
      </c>
      <c r="H2" s="12"/>
      <c r="J2" s="12" t="s">
        <v>282</v>
      </c>
      <c r="K2" s="12" t="s">
        <v>264</v>
      </c>
      <c r="L2" s="12" t="s">
        <v>283</v>
      </c>
      <c r="M2" s="12" t="s">
        <v>284</v>
      </c>
      <c r="N2" s="12" t="s">
        <v>313</v>
      </c>
      <c r="O2" s="12" t="s">
        <v>314</v>
      </c>
      <c r="P2" s="12" t="str">
        <f>J2</f>
        <v>Status &amp; Enthusiast</v>
      </c>
      <c r="Q2" s="12" t="str">
        <f t="shared" ref="Q2:U2" si="0">K2</f>
        <v>Beginner</v>
      </c>
      <c r="R2" s="12" t="str">
        <f t="shared" si="0"/>
        <v>Ocassionals</v>
      </c>
      <c r="S2" s="12" t="str">
        <f t="shared" si="0"/>
        <v>Status &amp; non enthusiasts</v>
      </c>
      <c r="T2" s="12" t="str">
        <f t="shared" si="0"/>
        <v>Older anti-status laics</v>
      </c>
      <c r="U2" s="12" t="str">
        <f t="shared" si="0"/>
        <v>Older anti-status experts</v>
      </c>
      <c r="AD2" s="12" t="s">
        <v>241</v>
      </c>
    </row>
    <row r="3" spans="1:33" ht="15" thickBot="1" x14ac:dyDescent="0.35">
      <c r="A3" s="4" t="s">
        <v>115</v>
      </c>
      <c r="B3" t="s">
        <v>79</v>
      </c>
      <c r="C3" t="s">
        <v>79</v>
      </c>
      <c r="D3">
        <v>-0.33</v>
      </c>
      <c r="E3" t="s">
        <v>79</v>
      </c>
      <c r="F3" t="s">
        <v>79</v>
      </c>
      <c r="G3" t="s">
        <v>79</v>
      </c>
      <c r="H3" s="23"/>
      <c r="I3" t="str">
        <f>A3</f>
        <v>Q1.1</v>
      </c>
      <c r="J3" t="str">
        <f>IF(ISNUMBER(B3),B3,"")</f>
        <v/>
      </c>
      <c r="K3" t="str">
        <f t="shared" ref="K3:O18" si="1">IF(ISNUMBER(C3),C3,"")</f>
        <v/>
      </c>
      <c r="L3">
        <f t="shared" si="1"/>
        <v>-0.33</v>
      </c>
      <c r="M3" t="str">
        <f t="shared" si="1"/>
        <v/>
      </c>
      <c r="N3" t="str">
        <f t="shared" si="1"/>
        <v/>
      </c>
      <c r="O3" t="str">
        <f t="shared" si="1"/>
        <v/>
      </c>
      <c r="V3" t="s">
        <v>0</v>
      </c>
      <c r="AD3" t="s">
        <v>234</v>
      </c>
    </row>
    <row r="4" spans="1:33" ht="15" thickBot="1" x14ac:dyDescent="0.35">
      <c r="A4" s="4" t="s">
        <v>119</v>
      </c>
      <c r="B4" t="s">
        <v>79</v>
      </c>
      <c r="C4" t="s">
        <v>79</v>
      </c>
      <c r="D4" t="s">
        <v>79</v>
      </c>
      <c r="E4" t="s">
        <v>79</v>
      </c>
      <c r="F4" t="s">
        <v>79</v>
      </c>
      <c r="G4" t="s">
        <v>79</v>
      </c>
      <c r="H4" s="23"/>
      <c r="I4" t="str">
        <f t="shared" ref="I4:I67" si="2">A4</f>
        <v>Q1.2</v>
      </c>
      <c r="J4" t="str">
        <f t="shared" ref="J4:O58" si="3">IF(ISNUMBER(B4),B4,"")</f>
        <v/>
      </c>
      <c r="K4" t="str">
        <f t="shared" si="1"/>
        <v/>
      </c>
      <c r="L4" t="str">
        <f t="shared" si="1"/>
        <v/>
      </c>
      <c r="M4" t="str">
        <f t="shared" si="1"/>
        <v/>
      </c>
      <c r="N4" t="str">
        <f t="shared" si="1"/>
        <v/>
      </c>
      <c r="O4" t="str">
        <f t="shared" si="1"/>
        <v/>
      </c>
      <c r="V4" t="s">
        <v>1</v>
      </c>
      <c r="AD4" t="s">
        <v>235</v>
      </c>
    </row>
    <row r="5" spans="1:33" ht="15" thickBot="1" x14ac:dyDescent="0.35">
      <c r="A5" s="4" t="s">
        <v>96</v>
      </c>
      <c r="B5">
        <v>0.25</v>
      </c>
      <c r="C5" t="s">
        <v>79</v>
      </c>
      <c r="D5" t="s">
        <v>79</v>
      </c>
      <c r="E5" t="s">
        <v>79</v>
      </c>
      <c r="F5">
        <v>-0.22</v>
      </c>
      <c r="G5">
        <v>-0.16</v>
      </c>
      <c r="H5" s="23"/>
      <c r="I5" t="str">
        <f t="shared" si="2"/>
        <v>Q1.3</v>
      </c>
      <c r="J5">
        <f t="shared" si="3"/>
        <v>0.25</v>
      </c>
      <c r="K5" t="str">
        <f t="shared" si="1"/>
        <v/>
      </c>
      <c r="L5" t="str">
        <f t="shared" si="1"/>
        <v/>
      </c>
      <c r="M5" t="str">
        <f t="shared" si="1"/>
        <v/>
      </c>
      <c r="N5">
        <f t="shared" si="1"/>
        <v>-0.22</v>
      </c>
      <c r="O5">
        <f t="shared" si="1"/>
        <v>-0.16</v>
      </c>
      <c r="V5" t="s">
        <v>2</v>
      </c>
      <c r="AD5" t="s">
        <v>236</v>
      </c>
    </row>
    <row r="6" spans="1:33" ht="15" thickBot="1" x14ac:dyDescent="0.35">
      <c r="A6" s="4" t="s">
        <v>114</v>
      </c>
      <c r="B6" t="s">
        <v>79</v>
      </c>
      <c r="C6" t="s">
        <v>79</v>
      </c>
      <c r="D6" t="s">
        <v>79</v>
      </c>
      <c r="E6" t="s">
        <v>79</v>
      </c>
      <c r="F6" t="s">
        <v>79</v>
      </c>
      <c r="G6" t="s">
        <v>79</v>
      </c>
      <c r="H6" s="23"/>
      <c r="I6" t="str">
        <f t="shared" si="2"/>
        <v>Q1.4</v>
      </c>
      <c r="J6" t="str">
        <f t="shared" si="3"/>
        <v/>
      </c>
      <c r="K6" t="str">
        <f t="shared" si="1"/>
        <v/>
      </c>
      <c r="L6" t="str">
        <f t="shared" si="1"/>
        <v/>
      </c>
      <c r="M6" t="str">
        <f t="shared" si="1"/>
        <v/>
      </c>
      <c r="N6" t="str">
        <f t="shared" si="1"/>
        <v/>
      </c>
      <c r="O6" t="str">
        <f t="shared" si="1"/>
        <v/>
      </c>
      <c r="V6" t="s">
        <v>3</v>
      </c>
      <c r="AD6" t="s">
        <v>237</v>
      </c>
    </row>
    <row r="7" spans="1:33" ht="15" thickBot="1" x14ac:dyDescent="0.35">
      <c r="A7" s="4" t="s">
        <v>108</v>
      </c>
      <c r="B7">
        <v>0.14000000000000001</v>
      </c>
      <c r="C7" t="s">
        <v>79</v>
      </c>
      <c r="D7">
        <v>-0.1</v>
      </c>
      <c r="E7" t="s">
        <v>79</v>
      </c>
      <c r="F7" t="s">
        <v>79</v>
      </c>
      <c r="G7" t="s">
        <v>79</v>
      </c>
      <c r="H7" s="23"/>
      <c r="I7" t="str">
        <f t="shared" si="2"/>
        <v>Q1.5</v>
      </c>
      <c r="J7">
        <f t="shared" si="3"/>
        <v>0.14000000000000001</v>
      </c>
      <c r="K7" t="str">
        <f t="shared" si="1"/>
        <v/>
      </c>
      <c r="L7">
        <f t="shared" si="1"/>
        <v>-0.1</v>
      </c>
      <c r="M7" t="str">
        <f t="shared" si="1"/>
        <v/>
      </c>
      <c r="N7" t="str">
        <f t="shared" si="1"/>
        <v/>
      </c>
      <c r="O7" t="str">
        <f t="shared" si="1"/>
        <v/>
      </c>
      <c r="V7" t="s">
        <v>4</v>
      </c>
      <c r="AD7" t="s">
        <v>238</v>
      </c>
    </row>
    <row r="8" spans="1:33" ht="15" thickBot="1" x14ac:dyDescent="0.35">
      <c r="A8" s="4" t="s">
        <v>102</v>
      </c>
      <c r="B8">
        <v>0.13</v>
      </c>
      <c r="C8" t="s">
        <v>79</v>
      </c>
      <c r="D8">
        <v>-0.13</v>
      </c>
      <c r="E8" t="s">
        <v>79</v>
      </c>
      <c r="F8" t="s">
        <v>79</v>
      </c>
      <c r="G8" t="s">
        <v>79</v>
      </c>
      <c r="H8" s="23"/>
      <c r="I8" t="str">
        <f t="shared" si="2"/>
        <v>Q1.6</v>
      </c>
      <c r="J8">
        <f t="shared" si="3"/>
        <v>0.13</v>
      </c>
      <c r="K8" t="str">
        <f t="shared" si="1"/>
        <v/>
      </c>
      <c r="L8">
        <f t="shared" si="1"/>
        <v>-0.13</v>
      </c>
      <c r="M8" t="str">
        <f t="shared" si="1"/>
        <v/>
      </c>
      <c r="N8" t="str">
        <f t="shared" si="1"/>
        <v/>
      </c>
      <c r="O8" t="str">
        <f t="shared" si="1"/>
        <v/>
      </c>
      <c r="V8" t="s">
        <v>5</v>
      </c>
      <c r="AD8" t="s">
        <v>239</v>
      </c>
    </row>
    <row r="9" spans="1:33" ht="15" thickBot="1" x14ac:dyDescent="0.35">
      <c r="A9" s="4" t="s">
        <v>97</v>
      </c>
      <c r="B9">
        <v>0.18</v>
      </c>
      <c r="C9" t="s">
        <v>79</v>
      </c>
      <c r="D9">
        <v>-0.11</v>
      </c>
      <c r="E9" t="s">
        <v>79</v>
      </c>
      <c r="F9">
        <v>-0.14000000000000001</v>
      </c>
      <c r="G9" t="s">
        <v>79</v>
      </c>
      <c r="H9" s="23"/>
      <c r="I9" t="str">
        <f t="shared" si="2"/>
        <v>Q1.7</v>
      </c>
      <c r="J9">
        <f t="shared" si="3"/>
        <v>0.18</v>
      </c>
      <c r="K9" t="str">
        <f t="shared" si="1"/>
        <v/>
      </c>
      <c r="L9">
        <f t="shared" si="1"/>
        <v>-0.11</v>
      </c>
      <c r="M9" t="str">
        <f t="shared" si="1"/>
        <v/>
      </c>
      <c r="N9">
        <f t="shared" si="1"/>
        <v>-0.14000000000000001</v>
      </c>
      <c r="O9" t="str">
        <f t="shared" si="1"/>
        <v/>
      </c>
      <c r="V9" t="s">
        <v>6</v>
      </c>
      <c r="AD9" t="s">
        <v>240</v>
      </c>
    </row>
    <row r="10" spans="1:33" ht="15" thickBot="1" x14ac:dyDescent="0.35">
      <c r="A10" s="4" t="s">
        <v>118</v>
      </c>
      <c r="B10" t="s">
        <v>79</v>
      </c>
      <c r="C10" t="s">
        <v>79</v>
      </c>
      <c r="D10" t="s">
        <v>79</v>
      </c>
      <c r="E10">
        <v>-0.13</v>
      </c>
      <c r="F10" t="s">
        <v>79</v>
      </c>
      <c r="G10" t="s">
        <v>79</v>
      </c>
      <c r="H10" s="23"/>
      <c r="I10" t="str">
        <f t="shared" si="2"/>
        <v>Q1.8</v>
      </c>
      <c r="J10" t="str">
        <f t="shared" si="3"/>
        <v/>
      </c>
      <c r="K10" t="str">
        <f t="shared" si="1"/>
        <v/>
      </c>
      <c r="L10" t="str">
        <f t="shared" si="1"/>
        <v/>
      </c>
      <c r="M10">
        <f t="shared" si="1"/>
        <v>-0.13</v>
      </c>
      <c r="N10" t="str">
        <f t="shared" si="1"/>
        <v/>
      </c>
      <c r="O10" t="str">
        <f t="shared" si="1"/>
        <v/>
      </c>
      <c r="V10" t="s">
        <v>7</v>
      </c>
    </row>
    <row r="11" spans="1:33" ht="15" thickBot="1" x14ac:dyDescent="0.35">
      <c r="A11" s="4" t="s">
        <v>104</v>
      </c>
      <c r="B11">
        <v>0.37</v>
      </c>
      <c r="C11" t="s">
        <v>79</v>
      </c>
      <c r="D11" t="s">
        <v>79</v>
      </c>
      <c r="E11">
        <v>0.13</v>
      </c>
      <c r="F11">
        <v>-0.39</v>
      </c>
      <c r="G11">
        <v>-0.31</v>
      </c>
      <c r="H11" s="23"/>
      <c r="I11" t="str">
        <f t="shared" si="2"/>
        <v>Q1.9</v>
      </c>
      <c r="J11">
        <f t="shared" si="3"/>
        <v>0.37</v>
      </c>
      <c r="K11" t="str">
        <f t="shared" si="1"/>
        <v/>
      </c>
      <c r="L11" t="str">
        <f t="shared" si="1"/>
        <v/>
      </c>
      <c r="M11">
        <f t="shared" si="1"/>
        <v>0.13</v>
      </c>
      <c r="N11">
        <f t="shared" si="1"/>
        <v>-0.39</v>
      </c>
      <c r="O11">
        <f t="shared" si="1"/>
        <v>-0.31</v>
      </c>
      <c r="V11" t="s">
        <v>8</v>
      </c>
      <c r="AG11" s="12" t="s">
        <v>244</v>
      </c>
    </row>
    <row r="12" spans="1:33" ht="15" thickBot="1" x14ac:dyDescent="0.35">
      <c r="A12" s="4" t="s">
        <v>117</v>
      </c>
      <c r="B12" t="s">
        <v>79</v>
      </c>
      <c r="C12">
        <v>0.19</v>
      </c>
      <c r="D12">
        <v>-0.13</v>
      </c>
      <c r="E12">
        <v>-0.12</v>
      </c>
      <c r="F12">
        <v>0.14000000000000001</v>
      </c>
      <c r="G12">
        <v>-0.31</v>
      </c>
      <c r="H12" s="23"/>
      <c r="I12" t="str">
        <f t="shared" si="2"/>
        <v>Q1.10</v>
      </c>
      <c r="J12" t="str">
        <f t="shared" si="3"/>
        <v/>
      </c>
      <c r="K12">
        <f t="shared" si="1"/>
        <v>0.19</v>
      </c>
      <c r="L12">
        <f t="shared" si="1"/>
        <v>-0.13</v>
      </c>
      <c r="M12">
        <f t="shared" si="1"/>
        <v>-0.12</v>
      </c>
      <c r="N12">
        <f t="shared" si="1"/>
        <v>0.14000000000000001</v>
      </c>
      <c r="O12">
        <f t="shared" si="1"/>
        <v>-0.31</v>
      </c>
      <c r="V12" t="s">
        <v>9</v>
      </c>
      <c r="AD12">
        <v>21</v>
      </c>
      <c r="AE12" s="24" t="s">
        <v>20</v>
      </c>
      <c r="AG12" t="s">
        <v>128</v>
      </c>
    </row>
    <row r="13" spans="1:33" ht="15" thickBot="1" x14ac:dyDescent="0.35">
      <c r="A13" s="4" t="s">
        <v>116</v>
      </c>
      <c r="B13" t="s">
        <v>79</v>
      </c>
      <c r="C13" t="s">
        <v>79</v>
      </c>
      <c r="D13" t="s">
        <v>79</v>
      </c>
      <c r="E13" t="s">
        <v>79</v>
      </c>
      <c r="F13" t="s">
        <v>79</v>
      </c>
      <c r="G13" t="s">
        <v>79</v>
      </c>
      <c r="H13" s="23"/>
      <c r="I13" t="str">
        <f t="shared" si="2"/>
        <v>Q1.11</v>
      </c>
      <c r="J13" t="str">
        <f t="shared" si="3"/>
        <v/>
      </c>
      <c r="K13" t="str">
        <f t="shared" si="1"/>
        <v/>
      </c>
      <c r="L13" t="str">
        <f t="shared" si="1"/>
        <v/>
      </c>
      <c r="M13" t="str">
        <f t="shared" si="1"/>
        <v/>
      </c>
      <c r="N13" t="str">
        <f t="shared" si="1"/>
        <v/>
      </c>
      <c r="O13" t="str">
        <f t="shared" si="1"/>
        <v/>
      </c>
      <c r="V13" t="s">
        <v>10</v>
      </c>
      <c r="AD13">
        <v>9</v>
      </c>
      <c r="AE13" s="24" t="s">
        <v>8</v>
      </c>
      <c r="AG13" t="s">
        <v>242</v>
      </c>
    </row>
    <row r="14" spans="1:33" ht="15" thickBot="1" x14ac:dyDescent="0.35">
      <c r="A14" s="4" t="s">
        <v>120</v>
      </c>
      <c r="B14" t="s">
        <v>79</v>
      </c>
      <c r="C14" t="s">
        <v>79</v>
      </c>
      <c r="D14" t="s">
        <v>79</v>
      </c>
      <c r="E14">
        <v>-0.11</v>
      </c>
      <c r="F14" t="s">
        <v>79</v>
      </c>
      <c r="G14" t="s">
        <v>79</v>
      </c>
      <c r="H14" s="23"/>
      <c r="I14" t="str">
        <f t="shared" si="2"/>
        <v>Q1.12</v>
      </c>
      <c r="J14" t="str">
        <f t="shared" si="3"/>
        <v/>
      </c>
      <c r="K14" t="str">
        <f t="shared" si="1"/>
        <v/>
      </c>
      <c r="L14" t="str">
        <f t="shared" si="1"/>
        <v/>
      </c>
      <c r="M14">
        <f t="shared" si="1"/>
        <v>-0.11</v>
      </c>
      <c r="N14" t="str">
        <f t="shared" si="1"/>
        <v/>
      </c>
      <c r="O14" t="str">
        <f t="shared" si="1"/>
        <v/>
      </c>
      <c r="V14" t="s">
        <v>11</v>
      </c>
      <c r="AD14">
        <v>27</v>
      </c>
      <c r="AE14" s="24" t="s">
        <v>26</v>
      </c>
      <c r="AG14" t="s">
        <v>129</v>
      </c>
    </row>
    <row r="15" spans="1:33" ht="15" thickBot="1" x14ac:dyDescent="0.35">
      <c r="A15" s="4" t="s">
        <v>100</v>
      </c>
      <c r="B15">
        <v>0.24</v>
      </c>
      <c r="C15" t="s">
        <v>79</v>
      </c>
      <c r="D15">
        <v>-0.1</v>
      </c>
      <c r="E15" t="s">
        <v>79</v>
      </c>
      <c r="F15">
        <v>-0.18</v>
      </c>
      <c r="G15">
        <v>-0.15</v>
      </c>
      <c r="H15" s="23"/>
      <c r="I15" t="str">
        <f t="shared" si="2"/>
        <v>Q1.13</v>
      </c>
      <c r="J15">
        <f t="shared" si="3"/>
        <v>0.24</v>
      </c>
      <c r="K15" t="str">
        <f t="shared" si="1"/>
        <v/>
      </c>
      <c r="L15">
        <f t="shared" si="1"/>
        <v>-0.1</v>
      </c>
      <c r="M15" t="str">
        <f t="shared" si="1"/>
        <v/>
      </c>
      <c r="N15">
        <f t="shared" si="1"/>
        <v>-0.18</v>
      </c>
      <c r="O15">
        <f t="shared" si="1"/>
        <v>-0.15</v>
      </c>
      <c r="V15" t="s">
        <v>13</v>
      </c>
      <c r="AD15">
        <v>4</v>
      </c>
      <c r="AE15" s="24" t="s">
        <v>3</v>
      </c>
      <c r="AG15" t="s">
        <v>243</v>
      </c>
    </row>
    <row r="16" spans="1:33" ht="15" thickBot="1" x14ac:dyDescent="0.35">
      <c r="A16" s="4" t="s">
        <v>93</v>
      </c>
      <c r="B16">
        <v>0.21</v>
      </c>
      <c r="C16" t="s">
        <v>79</v>
      </c>
      <c r="D16">
        <v>-0.12</v>
      </c>
      <c r="E16" t="s">
        <v>79</v>
      </c>
      <c r="F16">
        <v>-0.15</v>
      </c>
      <c r="G16">
        <v>-0.11</v>
      </c>
      <c r="H16" s="23"/>
      <c r="I16" t="str">
        <f t="shared" si="2"/>
        <v>Q1.14</v>
      </c>
      <c r="J16">
        <f t="shared" si="3"/>
        <v>0.21</v>
      </c>
      <c r="K16" t="str">
        <f t="shared" si="1"/>
        <v/>
      </c>
      <c r="L16">
        <f t="shared" si="1"/>
        <v>-0.12</v>
      </c>
      <c r="M16" t="str">
        <f t="shared" si="1"/>
        <v/>
      </c>
      <c r="N16">
        <f t="shared" si="1"/>
        <v>-0.15</v>
      </c>
      <c r="O16">
        <f t="shared" si="1"/>
        <v>-0.11</v>
      </c>
      <c r="V16" t="s">
        <v>12</v>
      </c>
      <c r="AD16">
        <v>8</v>
      </c>
      <c r="AE16" s="24" t="s">
        <v>7</v>
      </c>
      <c r="AF16" t="s">
        <v>11</v>
      </c>
      <c r="AG16" t="s">
        <v>89</v>
      </c>
    </row>
    <row r="17" spans="1:33" ht="15" thickBot="1" x14ac:dyDescent="0.35">
      <c r="A17" s="4" t="s">
        <v>98</v>
      </c>
      <c r="B17">
        <v>0.15</v>
      </c>
      <c r="C17" t="s">
        <v>79</v>
      </c>
      <c r="D17">
        <v>-0.12</v>
      </c>
      <c r="E17" t="s">
        <v>79</v>
      </c>
      <c r="F17" t="s">
        <v>79</v>
      </c>
      <c r="G17" t="s">
        <v>79</v>
      </c>
      <c r="H17" s="23"/>
      <c r="I17" t="str">
        <f t="shared" si="2"/>
        <v>Q1.15</v>
      </c>
      <c r="J17">
        <f t="shared" si="3"/>
        <v>0.15</v>
      </c>
      <c r="K17" t="str">
        <f t="shared" si="1"/>
        <v/>
      </c>
      <c r="L17">
        <f t="shared" si="1"/>
        <v>-0.12</v>
      </c>
      <c r="M17" t="str">
        <f t="shared" si="1"/>
        <v/>
      </c>
      <c r="N17" t="str">
        <f t="shared" si="1"/>
        <v/>
      </c>
      <c r="O17" t="str">
        <f t="shared" si="1"/>
        <v/>
      </c>
      <c r="V17" t="s">
        <v>14</v>
      </c>
      <c r="AD17">
        <v>10</v>
      </c>
      <c r="AE17" s="24" t="s">
        <v>9</v>
      </c>
      <c r="AG17" t="s">
        <v>141</v>
      </c>
    </row>
    <row r="18" spans="1:33" ht="15" thickBot="1" x14ac:dyDescent="0.35">
      <c r="A18" s="4" t="s">
        <v>99</v>
      </c>
      <c r="B18">
        <v>0.24</v>
      </c>
      <c r="C18" t="s">
        <v>79</v>
      </c>
      <c r="D18">
        <v>-0.13</v>
      </c>
      <c r="E18" t="s">
        <v>79</v>
      </c>
      <c r="F18">
        <v>-0.22</v>
      </c>
      <c r="G18" t="s">
        <v>79</v>
      </c>
      <c r="H18" s="23"/>
      <c r="I18" t="str">
        <f t="shared" si="2"/>
        <v>Q1.16</v>
      </c>
      <c r="J18">
        <f t="shared" si="3"/>
        <v>0.24</v>
      </c>
      <c r="K18" t="str">
        <f t="shared" si="1"/>
        <v/>
      </c>
      <c r="L18">
        <f t="shared" si="1"/>
        <v>-0.13</v>
      </c>
      <c r="M18" t="str">
        <f t="shared" si="1"/>
        <v/>
      </c>
      <c r="N18">
        <f t="shared" si="1"/>
        <v>-0.22</v>
      </c>
      <c r="O18" t="str">
        <f t="shared" si="1"/>
        <v/>
      </c>
      <c r="V18" t="s">
        <v>15</v>
      </c>
      <c r="AD18">
        <v>1</v>
      </c>
      <c r="AE18" s="24" t="s">
        <v>0</v>
      </c>
      <c r="AG18" t="s">
        <v>132</v>
      </c>
    </row>
    <row r="19" spans="1:33" ht="15" thickBot="1" x14ac:dyDescent="0.35">
      <c r="A19" s="4" t="s">
        <v>105</v>
      </c>
      <c r="B19">
        <v>0.2</v>
      </c>
      <c r="C19" t="s">
        <v>79</v>
      </c>
      <c r="D19">
        <v>-0.11</v>
      </c>
      <c r="E19" t="s">
        <v>79</v>
      </c>
      <c r="F19">
        <v>-0.18</v>
      </c>
      <c r="G19" t="s">
        <v>79</v>
      </c>
      <c r="H19" s="23"/>
      <c r="I19" t="str">
        <f t="shared" si="2"/>
        <v>Q1.17</v>
      </c>
      <c r="J19">
        <f t="shared" si="3"/>
        <v>0.2</v>
      </c>
      <c r="K19" t="str">
        <f t="shared" si="3"/>
        <v/>
      </c>
      <c r="L19">
        <f t="shared" si="3"/>
        <v>-0.11</v>
      </c>
      <c r="M19" t="str">
        <f t="shared" si="3"/>
        <v/>
      </c>
      <c r="N19">
        <f t="shared" si="3"/>
        <v>-0.18</v>
      </c>
      <c r="O19" t="str">
        <f t="shared" si="3"/>
        <v/>
      </c>
      <c r="V19" t="s">
        <v>16</v>
      </c>
    </row>
    <row r="20" spans="1:33" ht="15" thickBot="1" x14ac:dyDescent="0.35">
      <c r="A20" s="4" t="s">
        <v>109</v>
      </c>
      <c r="B20" t="s">
        <v>79</v>
      </c>
      <c r="C20" t="s">
        <v>79</v>
      </c>
      <c r="D20">
        <v>-0.11</v>
      </c>
      <c r="E20" t="s">
        <v>79</v>
      </c>
      <c r="F20" t="s">
        <v>79</v>
      </c>
      <c r="G20" t="s">
        <v>79</v>
      </c>
      <c r="H20" s="23"/>
      <c r="I20" t="str">
        <f t="shared" si="2"/>
        <v>Q1.18</v>
      </c>
      <c r="J20" t="str">
        <f t="shared" si="3"/>
        <v/>
      </c>
      <c r="K20" t="str">
        <f t="shared" si="3"/>
        <v/>
      </c>
      <c r="L20">
        <f t="shared" si="3"/>
        <v>-0.11</v>
      </c>
      <c r="M20" t="str">
        <f t="shared" si="3"/>
        <v/>
      </c>
      <c r="N20" t="str">
        <f t="shared" si="3"/>
        <v/>
      </c>
      <c r="O20" t="str">
        <f t="shared" si="3"/>
        <v/>
      </c>
      <c r="V20" t="s">
        <v>17</v>
      </c>
    </row>
    <row r="21" spans="1:33" ht="15" thickBot="1" x14ac:dyDescent="0.35">
      <c r="A21" s="4" t="s">
        <v>112</v>
      </c>
      <c r="B21" t="s">
        <v>79</v>
      </c>
      <c r="C21" t="s">
        <v>79</v>
      </c>
      <c r="D21">
        <v>-0.1</v>
      </c>
      <c r="E21" t="s">
        <v>79</v>
      </c>
      <c r="F21" t="s">
        <v>79</v>
      </c>
      <c r="G21" t="s">
        <v>79</v>
      </c>
      <c r="H21" s="23"/>
      <c r="I21" t="str">
        <f t="shared" si="2"/>
        <v>Q1.19</v>
      </c>
      <c r="J21" t="str">
        <f t="shared" si="3"/>
        <v/>
      </c>
      <c r="K21" t="str">
        <f t="shared" si="3"/>
        <v/>
      </c>
      <c r="L21">
        <f t="shared" si="3"/>
        <v>-0.1</v>
      </c>
      <c r="M21" t="str">
        <f t="shared" si="3"/>
        <v/>
      </c>
      <c r="N21" t="str">
        <f t="shared" si="3"/>
        <v/>
      </c>
      <c r="O21" t="str">
        <f t="shared" si="3"/>
        <v/>
      </c>
      <c r="V21" t="s">
        <v>18</v>
      </c>
    </row>
    <row r="22" spans="1:33" ht="15" thickBot="1" x14ac:dyDescent="0.35">
      <c r="A22" s="4" t="s">
        <v>94</v>
      </c>
      <c r="B22">
        <v>0.21</v>
      </c>
      <c r="C22" t="s">
        <v>79</v>
      </c>
      <c r="D22">
        <v>-0.14000000000000001</v>
      </c>
      <c r="E22" t="s">
        <v>79</v>
      </c>
      <c r="F22">
        <v>-0.14000000000000001</v>
      </c>
      <c r="G22" t="s">
        <v>79</v>
      </c>
      <c r="H22" s="23"/>
      <c r="I22" t="str">
        <f t="shared" si="2"/>
        <v>Q1.20</v>
      </c>
      <c r="J22">
        <f t="shared" si="3"/>
        <v>0.21</v>
      </c>
      <c r="K22" t="str">
        <f t="shared" si="3"/>
        <v/>
      </c>
      <c r="L22">
        <f t="shared" si="3"/>
        <v>-0.14000000000000001</v>
      </c>
      <c r="M22" t="str">
        <f t="shared" si="3"/>
        <v/>
      </c>
      <c r="N22">
        <f t="shared" si="3"/>
        <v>-0.14000000000000001</v>
      </c>
      <c r="O22" t="str">
        <f t="shared" si="3"/>
        <v/>
      </c>
      <c r="V22" t="s">
        <v>19</v>
      </c>
    </row>
    <row r="23" spans="1:33" ht="15" thickBot="1" x14ac:dyDescent="0.35">
      <c r="A23" s="4" t="s">
        <v>111</v>
      </c>
      <c r="B23" t="s">
        <v>79</v>
      </c>
      <c r="C23" t="s">
        <v>79</v>
      </c>
      <c r="D23">
        <v>-0.14000000000000001</v>
      </c>
      <c r="E23" t="s">
        <v>79</v>
      </c>
      <c r="F23" t="s">
        <v>79</v>
      </c>
      <c r="G23" t="s">
        <v>79</v>
      </c>
      <c r="H23" s="23"/>
      <c r="I23" t="str">
        <f t="shared" si="2"/>
        <v>Q1.21</v>
      </c>
      <c r="J23" t="str">
        <f t="shared" si="3"/>
        <v/>
      </c>
      <c r="K23" t="str">
        <f t="shared" si="3"/>
        <v/>
      </c>
      <c r="L23">
        <f t="shared" si="3"/>
        <v>-0.14000000000000001</v>
      </c>
      <c r="M23" t="str">
        <f t="shared" si="3"/>
        <v/>
      </c>
      <c r="N23" t="str">
        <f t="shared" si="3"/>
        <v/>
      </c>
      <c r="O23" t="str">
        <f t="shared" si="3"/>
        <v/>
      </c>
      <c r="V23" t="s">
        <v>20</v>
      </c>
    </row>
    <row r="24" spans="1:33" ht="15" thickBot="1" x14ac:dyDescent="0.35">
      <c r="A24" s="4" t="s">
        <v>106</v>
      </c>
      <c r="B24">
        <v>0.1</v>
      </c>
      <c r="C24" t="s">
        <v>79</v>
      </c>
      <c r="D24">
        <v>-0.1</v>
      </c>
      <c r="E24" t="s">
        <v>79</v>
      </c>
      <c r="F24" t="s">
        <v>79</v>
      </c>
      <c r="G24" t="s">
        <v>79</v>
      </c>
      <c r="H24" s="23"/>
      <c r="I24" t="str">
        <f t="shared" si="2"/>
        <v>Q1.22</v>
      </c>
      <c r="J24">
        <f t="shared" si="3"/>
        <v>0.1</v>
      </c>
      <c r="K24" t="str">
        <f t="shared" si="3"/>
        <v/>
      </c>
      <c r="L24">
        <f t="shared" si="3"/>
        <v>-0.1</v>
      </c>
      <c r="M24" t="str">
        <f t="shared" si="3"/>
        <v/>
      </c>
      <c r="N24" t="str">
        <f t="shared" si="3"/>
        <v/>
      </c>
      <c r="O24" t="str">
        <f t="shared" si="3"/>
        <v/>
      </c>
      <c r="V24" t="s">
        <v>21</v>
      </c>
    </row>
    <row r="25" spans="1:33" ht="15" thickBot="1" x14ac:dyDescent="0.35">
      <c r="A25" s="4" t="s">
        <v>107</v>
      </c>
      <c r="B25">
        <v>0.15</v>
      </c>
      <c r="C25" t="s">
        <v>79</v>
      </c>
      <c r="D25">
        <v>-0.11</v>
      </c>
      <c r="E25" t="s">
        <v>79</v>
      </c>
      <c r="F25">
        <v>-0.11</v>
      </c>
      <c r="G25" t="s">
        <v>79</v>
      </c>
      <c r="H25" s="23"/>
      <c r="I25" t="str">
        <f t="shared" si="2"/>
        <v>Q1.23</v>
      </c>
      <c r="J25">
        <f t="shared" si="3"/>
        <v>0.15</v>
      </c>
      <c r="K25" t="str">
        <f t="shared" si="3"/>
        <v/>
      </c>
      <c r="L25">
        <f t="shared" si="3"/>
        <v>-0.11</v>
      </c>
      <c r="M25" t="str">
        <f t="shared" si="3"/>
        <v/>
      </c>
      <c r="N25">
        <f t="shared" si="3"/>
        <v>-0.11</v>
      </c>
      <c r="O25" t="str">
        <f t="shared" si="3"/>
        <v/>
      </c>
      <c r="V25" t="s">
        <v>22</v>
      </c>
    </row>
    <row r="26" spans="1:33" ht="15" thickBot="1" x14ac:dyDescent="0.35">
      <c r="A26" s="4" t="s">
        <v>110</v>
      </c>
      <c r="B26" t="s">
        <v>79</v>
      </c>
      <c r="C26" t="s">
        <v>79</v>
      </c>
      <c r="D26" t="s">
        <v>79</v>
      </c>
      <c r="E26" t="s">
        <v>79</v>
      </c>
      <c r="F26" t="s">
        <v>79</v>
      </c>
      <c r="G26" t="s">
        <v>79</v>
      </c>
      <c r="H26" s="23"/>
      <c r="I26" t="str">
        <f t="shared" si="2"/>
        <v>Q1.24</v>
      </c>
      <c r="J26" t="str">
        <f t="shared" si="3"/>
        <v/>
      </c>
      <c r="K26" t="str">
        <f t="shared" si="3"/>
        <v/>
      </c>
      <c r="L26" t="str">
        <f t="shared" si="3"/>
        <v/>
      </c>
      <c r="M26" t="str">
        <f t="shared" si="3"/>
        <v/>
      </c>
      <c r="N26" t="str">
        <f t="shared" si="3"/>
        <v/>
      </c>
      <c r="O26" t="str">
        <f t="shared" si="3"/>
        <v/>
      </c>
      <c r="V26" t="s">
        <v>23</v>
      </c>
    </row>
    <row r="27" spans="1:33" ht="15" thickBot="1" x14ac:dyDescent="0.35">
      <c r="A27" s="4" t="s">
        <v>101</v>
      </c>
      <c r="B27">
        <v>0.14000000000000001</v>
      </c>
      <c r="C27" t="s">
        <v>79</v>
      </c>
      <c r="D27">
        <v>-0.11</v>
      </c>
      <c r="E27" t="s">
        <v>79</v>
      </c>
      <c r="F27">
        <v>-0.1</v>
      </c>
      <c r="G27" t="s">
        <v>79</v>
      </c>
      <c r="H27" s="23"/>
      <c r="I27" t="str">
        <f t="shared" si="2"/>
        <v>Q1.25</v>
      </c>
      <c r="J27">
        <f t="shared" si="3"/>
        <v>0.14000000000000001</v>
      </c>
      <c r="K27" t="str">
        <f t="shared" si="3"/>
        <v/>
      </c>
      <c r="L27">
        <f t="shared" si="3"/>
        <v>-0.11</v>
      </c>
      <c r="M27" t="str">
        <f t="shared" si="3"/>
        <v/>
      </c>
      <c r="N27">
        <f t="shared" si="3"/>
        <v>-0.1</v>
      </c>
      <c r="O27" t="str">
        <f t="shared" si="3"/>
        <v/>
      </c>
      <c r="V27" t="s">
        <v>24</v>
      </c>
    </row>
    <row r="28" spans="1:33" ht="15" thickBot="1" x14ac:dyDescent="0.35">
      <c r="A28" s="4" t="s">
        <v>103</v>
      </c>
      <c r="B28">
        <v>0.27</v>
      </c>
      <c r="C28" t="s">
        <v>79</v>
      </c>
      <c r="D28" t="s">
        <v>79</v>
      </c>
      <c r="E28" t="s">
        <v>79</v>
      </c>
      <c r="F28">
        <v>-0.23</v>
      </c>
      <c r="G28">
        <v>-0.15</v>
      </c>
      <c r="H28" s="23"/>
      <c r="I28" t="str">
        <f t="shared" si="2"/>
        <v>Q1.26</v>
      </c>
      <c r="J28">
        <f t="shared" si="3"/>
        <v>0.27</v>
      </c>
      <c r="K28" t="str">
        <f t="shared" si="3"/>
        <v/>
      </c>
      <c r="L28" t="str">
        <f t="shared" si="3"/>
        <v/>
      </c>
      <c r="M28" t="str">
        <f t="shared" si="3"/>
        <v/>
      </c>
      <c r="N28">
        <f t="shared" si="3"/>
        <v>-0.23</v>
      </c>
      <c r="O28">
        <f t="shared" si="3"/>
        <v>-0.15</v>
      </c>
      <c r="V28" t="s">
        <v>25</v>
      </c>
    </row>
    <row r="29" spans="1:33" ht="15" thickBot="1" x14ac:dyDescent="0.35">
      <c r="A29" s="4" t="s">
        <v>95</v>
      </c>
      <c r="B29">
        <v>0.37</v>
      </c>
      <c r="C29" t="s">
        <v>79</v>
      </c>
      <c r="D29">
        <v>-0.11</v>
      </c>
      <c r="E29">
        <v>-0.14000000000000001</v>
      </c>
      <c r="F29">
        <v>-0.25</v>
      </c>
      <c r="G29">
        <v>-0.11</v>
      </c>
      <c r="H29" s="23"/>
      <c r="I29" t="str">
        <f t="shared" si="2"/>
        <v>Q1.27</v>
      </c>
      <c r="J29">
        <f t="shared" si="3"/>
        <v>0.37</v>
      </c>
      <c r="K29" t="str">
        <f t="shared" si="3"/>
        <v/>
      </c>
      <c r="L29">
        <f t="shared" si="3"/>
        <v>-0.11</v>
      </c>
      <c r="M29">
        <f t="shared" si="3"/>
        <v>-0.14000000000000001</v>
      </c>
      <c r="N29">
        <f t="shared" si="3"/>
        <v>-0.25</v>
      </c>
      <c r="O29">
        <f t="shared" si="3"/>
        <v>-0.11</v>
      </c>
      <c r="V29" t="s">
        <v>26</v>
      </c>
    </row>
    <row r="30" spans="1:33" ht="15" thickBot="1" x14ac:dyDescent="0.35">
      <c r="A30" s="4" t="s">
        <v>92</v>
      </c>
      <c r="B30">
        <v>0.24</v>
      </c>
      <c r="C30" t="s">
        <v>79</v>
      </c>
      <c r="D30">
        <v>-0.11</v>
      </c>
      <c r="E30" t="s">
        <v>79</v>
      </c>
      <c r="F30">
        <v>-0.19</v>
      </c>
      <c r="G30" t="s">
        <v>79</v>
      </c>
      <c r="H30" s="23"/>
      <c r="I30" t="str">
        <f t="shared" si="2"/>
        <v>Q1.28</v>
      </c>
      <c r="J30">
        <f t="shared" si="3"/>
        <v>0.24</v>
      </c>
      <c r="K30" t="str">
        <f t="shared" si="3"/>
        <v/>
      </c>
      <c r="L30">
        <f t="shared" si="3"/>
        <v>-0.11</v>
      </c>
      <c r="M30" t="str">
        <f t="shared" si="3"/>
        <v/>
      </c>
      <c r="N30">
        <f t="shared" si="3"/>
        <v>-0.19</v>
      </c>
      <c r="O30" t="str">
        <f t="shared" si="3"/>
        <v/>
      </c>
      <c r="V30" t="s">
        <v>27</v>
      </c>
    </row>
    <row r="31" spans="1:33" ht="15" thickBot="1" x14ac:dyDescent="0.35">
      <c r="A31" s="4" t="s">
        <v>113</v>
      </c>
      <c r="B31" t="s">
        <v>79</v>
      </c>
      <c r="C31" t="s">
        <v>79</v>
      </c>
      <c r="D31" t="s">
        <v>79</v>
      </c>
      <c r="E31" t="s">
        <v>79</v>
      </c>
      <c r="F31" t="s">
        <v>79</v>
      </c>
      <c r="G31" t="s">
        <v>79</v>
      </c>
      <c r="H31" s="23"/>
      <c r="I31" t="str">
        <f t="shared" si="2"/>
        <v>Q1.29</v>
      </c>
      <c r="J31" t="str">
        <f t="shared" si="3"/>
        <v/>
      </c>
      <c r="K31" t="str">
        <f t="shared" si="3"/>
        <v/>
      </c>
      <c r="L31" t="str">
        <f t="shared" si="3"/>
        <v/>
      </c>
      <c r="M31" t="str">
        <f t="shared" si="3"/>
        <v/>
      </c>
      <c r="N31" t="str">
        <f t="shared" si="3"/>
        <v/>
      </c>
      <c r="O31" t="str">
        <f t="shared" si="3"/>
        <v/>
      </c>
      <c r="V31" t="s">
        <v>28</v>
      </c>
    </row>
    <row r="32" spans="1:33" ht="15" thickBot="1" x14ac:dyDescent="0.35">
      <c r="A32" s="4" t="s">
        <v>147</v>
      </c>
      <c r="B32">
        <v>0.17</v>
      </c>
      <c r="C32">
        <v>-0.1</v>
      </c>
      <c r="D32" t="s">
        <v>79</v>
      </c>
      <c r="E32" t="s">
        <v>79</v>
      </c>
      <c r="F32">
        <v>-0.13</v>
      </c>
      <c r="G32" t="s">
        <v>79</v>
      </c>
      <c r="H32" s="23"/>
      <c r="I32" t="str">
        <f t="shared" si="2"/>
        <v>Q2</v>
      </c>
      <c r="J32">
        <f t="shared" si="3"/>
        <v>0.17</v>
      </c>
      <c r="K32">
        <f t="shared" si="3"/>
        <v>-0.1</v>
      </c>
      <c r="L32" t="str">
        <f t="shared" si="3"/>
        <v/>
      </c>
      <c r="M32" t="str">
        <f t="shared" si="3"/>
        <v/>
      </c>
      <c r="N32">
        <f t="shared" si="3"/>
        <v>-0.13</v>
      </c>
      <c r="O32" t="str">
        <f t="shared" si="3"/>
        <v/>
      </c>
      <c r="V32" t="s">
        <v>206</v>
      </c>
    </row>
    <row r="33" spans="1:22" ht="15" thickBot="1" x14ac:dyDescent="0.35">
      <c r="A33" s="4" t="s">
        <v>148</v>
      </c>
      <c r="B33" t="s">
        <v>79</v>
      </c>
      <c r="C33" t="s">
        <v>79</v>
      </c>
      <c r="D33" t="s">
        <v>79</v>
      </c>
      <c r="E33" t="s">
        <v>79</v>
      </c>
      <c r="F33" t="s">
        <v>79</v>
      </c>
      <c r="G33">
        <v>0.11</v>
      </c>
      <c r="H33" s="23"/>
      <c r="I33" t="str">
        <f t="shared" si="2"/>
        <v>Q2.Cluster</v>
      </c>
      <c r="J33" t="str">
        <f t="shared" si="3"/>
        <v/>
      </c>
      <c r="K33" t="str">
        <f t="shared" si="3"/>
        <v/>
      </c>
      <c r="L33" t="str">
        <f t="shared" si="3"/>
        <v/>
      </c>
      <c r="M33" t="str">
        <f t="shared" si="3"/>
        <v/>
      </c>
      <c r="N33" t="str">
        <f t="shared" si="3"/>
        <v/>
      </c>
      <c r="O33">
        <f t="shared" si="3"/>
        <v>0.11</v>
      </c>
      <c r="V33" t="s">
        <v>206</v>
      </c>
    </row>
    <row r="34" spans="1:22" ht="15" thickBot="1" x14ac:dyDescent="0.35">
      <c r="A34" s="4" t="s">
        <v>149</v>
      </c>
      <c r="B34" t="s">
        <v>79</v>
      </c>
      <c r="C34" t="s">
        <v>79</v>
      </c>
      <c r="D34" t="s">
        <v>79</v>
      </c>
      <c r="E34" t="s">
        <v>79</v>
      </c>
      <c r="F34" t="s">
        <v>79</v>
      </c>
      <c r="G34" t="s">
        <v>79</v>
      </c>
      <c r="H34" s="23"/>
      <c r="I34" t="str">
        <f t="shared" si="2"/>
        <v>Q3</v>
      </c>
      <c r="J34" t="str">
        <f t="shared" si="3"/>
        <v/>
      </c>
      <c r="K34" t="str">
        <f t="shared" si="3"/>
        <v/>
      </c>
      <c r="L34" t="str">
        <f t="shared" si="3"/>
        <v/>
      </c>
      <c r="M34" t="str">
        <f t="shared" si="3"/>
        <v/>
      </c>
      <c r="N34" t="str">
        <f t="shared" si="3"/>
        <v/>
      </c>
      <c r="O34" t="str">
        <f t="shared" si="3"/>
        <v/>
      </c>
      <c r="V34" t="s">
        <v>207</v>
      </c>
    </row>
    <row r="35" spans="1:22" ht="15" thickBot="1" x14ac:dyDescent="0.35">
      <c r="A35" s="4" t="s">
        <v>150</v>
      </c>
      <c r="B35">
        <v>0.14000000000000001</v>
      </c>
      <c r="C35" t="s">
        <v>79</v>
      </c>
      <c r="D35" t="s">
        <v>79</v>
      </c>
      <c r="E35" t="s">
        <v>79</v>
      </c>
      <c r="F35" t="s">
        <v>79</v>
      </c>
      <c r="G35">
        <v>-0.12</v>
      </c>
      <c r="H35" s="23"/>
      <c r="I35" t="str">
        <f t="shared" si="2"/>
        <v>Q4</v>
      </c>
      <c r="J35">
        <f t="shared" si="3"/>
        <v>0.14000000000000001</v>
      </c>
      <c r="K35" t="str">
        <f t="shared" si="3"/>
        <v/>
      </c>
      <c r="L35" t="str">
        <f t="shared" si="3"/>
        <v/>
      </c>
      <c r="M35" t="str">
        <f t="shared" si="3"/>
        <v/>
      </c>
      <c r="N35" t="str">
        <f t="shared" si="3"/>
        <v/>
      </c>
      <c r="O35">
        <f t="shared" si="3"/>
        <v>-0.12</v>
      </c>
      <c r="V35" t="s">
        <v>208</v>
      </c>
    </row>
    <row r="36" spans="1:22" ht="15" thickBot="1" x14ac:dyDescent="0.35">
      <c r="A36" s="4" t="s">
        <v>151</v>
      </c>
      <c r="B36">
        <v>0.26</v>
      </c>
      <c r="C36" t="s">
        <v>79</v>
      </c>
      <c r="D36" t="s">
        <v>79</v>
      </c>
      <c r="E36" t="s">
        <v>79</v>
      </c>
      <c r="F36">
        <v>-0.19</v>
      </c>
      <c r="G36">
        <v>-0.1</v>
      </c>
      <c r="H36" s="23"/>
      <c r="I36" t="str">
        <f t="shared" si="2"/>
        <v>Q5</v>
      </c>
      <c r="J36">
        <f t="shared" si="3"/>
        <v>0.26</v>
      </c>
      <c r="K36" t="str">
        <f t="shared" si="3"/>
        <v/>
      </c>
      <c r="L36" t="str">
        <f t="shared" si="3"/>
        <v/>
      </c>
      <c r="M36" t="str">
        <f t="shared" si="3"/>
        <v/>
      </c>
      <c r="N36">
        <f t="shared" si="3"/>
        <v>-0.19</v>
      </c>
      <c r="O36">
        <f t="shared" si="3"/>
        <v>-0.1</v>
      </c>
      <c r="V36" t="s">
        <v>209</v>
      </c>
    </row>
    <row r="37" spans="1:22" ht="15" thickBot="1" x14ac:dyDescent="0.35">
      <c r="A37" s="4" t="s">
        <v>152</v>
      </c>
      <c r="B37" t="s">
        <v>79</v>
      </c>
      <c r="C37" t="s">
        <v>79</v>
      </c>
      <c r="D37" t="s">
        <v>79</v>
      </c>
      <c r="E37" t="s">
        <v>79</v>
      </c>
      <c r="F37" t="s">
        <v>79</v>
      </c>
      <c r="G37" t="s">
        <v>79</v>
      </c>
      <c r="H37" s="23"/>
      <c r="I37" t="str">
        <f t="shared" si="2"/>
        <v>Q6</v>
      </c>
      <c r="J37" t="str">
        <f t="shared" si="3"/>
        <v/>
      </c>
      <c r="K37" t="str">
        <f t="shared" si="3"/>
        <v/>
      </c>
      <c r="L37" t="str">
        <f t="shared" si="3"/>
        <v/>
      </c>
      <c r="M37" t="str">
        <f t="shared" si="3"/>
        <v/>
      </c>
      <c r="N37" t="str">
        <f t="shared" si="3"/>
        <v/>
      </c>
      <c r="O37" t="str">
        <f t="shared" si="3"/>
        <v/>
      </c>
      <c r="V37" t="s">
        <v>210</v>
      </c>
    </row>
    <row r="38" spans="1:22" ht="15" thickBot="1" x14ac:dyDescent="0.35">
      <c r="A38" s="4" t="s">
        <v>153</v>
      </c>
      <c r="B38">
        <v>0.1</v>
      </c>
      <c r="C38" t="s">
        <v>79</v>
      </c>
      <c r="D38" t="s">
        <v>79</v>
      </c>
      <c r="E38" t="s">
        <v>79</v>
      </c>
      <c r="F38" t="s">
        <v>79</v>
      </c>
      <c r="G38" t="s">
        <v>79</v>
      </c>
      <c r="H38" s="23"/>
      <c r="I38" t="str">
        <f t="shared" si="2"/>
        <v>Q7.1</v>
      </c>
      <c r="J38">
        <f t="shared" si="3"/>
        <v>0.1</v>
      </c>
      <c r="K38" t="str">
        <f t="shared" si="3"/>
        <v/>
      </c>
      <c r="L38" t="str">
        <f t="shared" si="3"/>
        <v/>
      </c>
      <c r="M38" t="str">
        <f t="shared" si="3"/>
        <v/>
      </c>
      <c r="N38" t="str">
        <f t="shared" si="3"/>
        <v/>
      </c>
      <c r="O38" t="str">
        <f t="shared" si="3"/>
        <v/>
      </c>
      <c r="V38" t="s">
        <v>211</v>
      </c>
    </row>
    <row r="39" spans="1:22" ht="15" thickBot="1" x14ac:dyDescent="0.35">
      <c r="A39" s="4" t="s">
        <v>154</v>
      </c>
      <c r="B39" t="s">
        <v>79</v>
      </c>
      <c r="C39" t="s">
        <v>79</v>
      </c>
      <c r="D39" t="s">
        <v>79</v>
      </c>
      <c r="E39" t="s">
        <v>79</v>
      </c>
      <c r="F39" t="s">
        <v>79</v>
      </c>
      <c r="G39" t="s">
        <v>79</v>
      </c>
      <c r="H39" s="23"/>
      <c r="I39" t="str">
        <f t="shared" si="2"/>
        <v>Q7.2</v>
      </c>
      <c r="J39" t="str">
        <f t="shared" si="3"/>
        <v/>
      </c>
      <c r="K39" t="str">
        <f t="shared" si="3"/>
        <v/>
      </c>
      <c r="L39" t="str">
        <f t="shared" si="3"/>
        <v/>
      </c>
      <c r="M39" t="str">
        <f t="shared" si="3"/>
        <v/>
      </c>
      <c r="N39" t="str">
        <f t="shared" si="3"/>
        <v/>
      </c>
      <c r="O39" t="str">
        <f t="shared" si="3"/>
        <v/>
      </c>
      <c r="V39" t="s">
        <v>212</v>
      </c>
    </row>
    <row r="40" spans="1:22" ht="15" thickBot="1" x14ac:dyDescent="0.35">
      <c r="A40" s="4" t="s">
        <v>155</v>
      </c>
      <c r="B40" t="s">
        <v>79</v>
      </c>
      <c r="C40" t="s">
        <v>79</v>
      </c>
      <c r="D40" t="s">
        <v>79</v>
      </c>
      <c r="E40" t="s">
        <v>79</v>
      </c>
      <c r="F40" t="s">
        <v>79</v>
      </c>
      <c r="G40" t="s">
        <v>79</v>
      </c>
      <c r="H40" s="23"/>
      <c r="I40" t="str">
        <f t="shared" si="2"/>
        <v>Q7.3</v>
      </c>
      <c r="J40" t="str">
        <f t="shared" si="3"/>
        <v/>
      </c>
      <c r="K40" t="str">
        <f t="shared" si="3"/>
        <v/>
      </c>
      <c r="L40" t="str">
        <f t="shared" si="3"/>
        <v/>
      </c>
      <c r="M40" t="str">
        <f t="shared" si="3"/>
        <v/>
      </c>
      <c r="N40" t="str">
        <f t="shared" si="3"/>
        <v/>
      </c>
      <c r="O40" t="str">
        <f t="shared" si="3"/>
        <v/>
      </c>
      <c r="V40" t="s">
        <v>213</v>
      </c>
    </row>
    <row r="41" spans="1:22" ht="15" thickBot="1" x14ac:dyDescent="0.35">
      <c r="A41" s="4" t="s">
        <v>156</v>
      </c>
      <c r="B41" t="s">
        <v>79</v>
      </c>
      <c r="C41" t="s">
        <v>79</v>
      </c>
      <c r="D41" t="s">
        <v>79</v>
      </c>
      <c r="E41" t="s">
        <v>79</v>
      </c>
      <c r="F41" t="s">
        <v>79</v>
      </c>
      <c r="G41" t="s">
        <v>79</v>
      </c>
      <c r="H41" s="23"/>
      <c r="I41" t="str">
        <f t="shared" si="2"/>
        <v>Q7.4</v>
      </c>
      <c r="J41" t="str">
        <f t="shared" si="3"/>
        <v/>
      </c>
      <c r="K41" t="str">
        <f t="shared" si="3"/>
        <v/>
      </c>
      <c r="L41" t="str">
        <f t="shared" si="3"/>
        <v/>
      </c>
      <c r="M41" t="str">
        <f t="shared" si="3"/>
        <v/>
      </c>
      <c r="N41" t="str">
        <f t="shared" si="3"/>
        <v/>
      </c>
      <c r="O41" t="str">
        <f t="shared" si="3"/>
        <v/>
      </c>
      <c r="V41" t="s">
        <v>214</v>
      </c>
    </row>
    <row r="42" spans="1:22" ht="15" thickBot="1" x14ac:dyDescent="0.35">
      <c r="A42" s="4" t="s">
        <v>157</v>
      </c>
      <c r="B42" t="s">
        <v>79</v>
      </c>
      <c r="C42" t="s">
        <v>79</v>
      </c>
      <c r="D42" t="s">
        <v>79</v>
      </c>
      <c r="E42" t="s">
        <v>79</v>
      </c>
      <c r="F42" t="s">
        <v>79</v>
      </c>
      <c r="G42" t="s">
        <v>79</v>
      </c>
      <c r="H42" s="23"/>
      <c r="I42" t="str">
        <f t="shared" si="2"/>
        <v>Q8</v>
      </c>
      <c r="J42" t="str">
        <f t="shared" si="3"/>
        <v/>
      </c>
      <c r="K42" t="str">
        <f t="shared" si="3"/>
        <v/>
      </c>
      <c r="L42" t="str">
        <f t="shared" si="3"/>
        <v/>
      </c>
      <c r="M42" t="str">
        <f t="shared" si="3"/>
        <v/>
      </c>
      <c r="N42" t="str">
        <f t="shared" si="3"/>
        <v/>
      </c>
      <c r="O42" t="str">
        <f t="shared" si="3"/>
        <v/>
      </c>
      <c r="V42" t="s">
        <v>215</v>
      </c>
    </row>
    <row r="43" spans="1:22" ht="15" thickBot="1" x14ac:dyDescent="0.35">
      <c r="A43" s="4" t="s">
        <v>158</v>
      </c>
      <c r="B43" t="s">
        <v>79</v>
      </c>
      <c r="C43" t="s">
        <v>79</v>
      </c>
      <c r="D43" t="s">
        <v>79</v>
      </c>
      <c r="E43" t="s">
        <v>79</v>
      </c>
      <c r="F43" t="s">
        <v>79</v>
      </c>
      <c r="G43" t="s">
        <v>79</v>
      </c>
      <c r="H43" s="23"/>
      <c r="I43" t="str">
        <f t="shared" si="2"/>
        <v>Q9.1</v>
      </c>
      <c r="J43" t="str">
        <f t="shared" si="3"/>
        <v/>
      </c>
      <c r="K43" t="str">
        <f t="shared" si="3"/>
        <v/>
      </c>
      <c r="L43" t="str">
        <f t="shared" si="3"/>
        <v/>
      </c>
      <c r="M43" t="str">
        <f t="shared" si="3"/>
        <v/>
      </c>
      <c r="N43" t="str">
        <f t="shared" si="3"/>
        <v/>
      </c>
      <c r="O43" t="str">
        <f t="shared" si="3"/>
        <v/>
      </c>
      <c r="V43" t="s">
        <v>216</v>
      </c>
    </row>
    <row r="44" spans="1:22" ht="15" thickBot="1" x14ac:dyDescent="0.35">
      <c r="A44" s="4" t="s">
        <v>159</v>
      </c>
      <c r="B44" t="s">
        <v>79</v>
      </c>
      <c r="C44" t="s">
        <v>79</v>
      </c>
      <c r="D44" t="s">
        <v>79</v>
      </c>
      <c r="E44" t="s">
        <v>79</v>
      </c>
      <c r="F44" t="s">
        <v>79</v>
      </c>
      <c r="G44" t="s">
        <v>79</v>
      </c>
      <c r="H44" s="23"/>
      <c r="I44" t="str">
        <f t="shared" si="2"/>
        <v>Q9.2</v>
      </c>
      <c r="J44" t="str">
        <f t="shared" si="3"/>
        <v/>
      </c>
      <c r="K44" t="str">
        <f t="shared" si="3"/>
        <v/>
      </c>
      <c r="L44" t="str">
        <f t="shared" si="3"/>
        <v/>
      </c>
      <c r="M44" t="str">
        <f t="shared" si="3"/>
        <v/>
      </c>
      <c r="N44" t="str">
        <f t="shared" si="3"/>
        <v/>
      </c>
      <c r="O44" t="str">
        <f t="shared" si="3"/>
        <v/>
      </c>
      <c r="V44" t="s">
        <v>217</v>
      </c>
    </row>
    <row r="45" spans="1:22" ht="15" thickBot="1" x14ac:dyDescent="0.35">
      <c r="A45" s="4" t="s">
        <v>160</v>
      </c>
      <c r="B45" t="s">
        <v>79</v>
      </c>
      <c r="C45" t="s">
        <v>79</v>
      </c>
      <c r="D45" t="s">
        <v>79</v>
      </c>
      <c r="E45" t="s">
        <v>79</v>
      </c>
      <c r="F45" t="s">
        <v>79</v>
      </c>
      <c r="G45" t="s">
        <v>79</v>
      </c>
      <c r="H45" s="23"/>
      <c r="I45" t="str">
        <f t="shared" si="2"/>
        <v>Q9.3</v>
      </c>
      <c r="J45" t="str">
        <f t="shared" si="3"/>
        <v/>
      </c>
      <c r="K45" t="str">
        <f t="shared" si="3"/>
        <v/>
      </c>
      <c r="L45" t="str">
        <f t="shared" si="3"/>
        <v/>
      </c>
      <c r="M45" t="str">
        <f t="shared" si="3"/>
        <v/>
      </c>
      <c r="N45" t="str">
        <f t="shared" si="3"/>
        <v/>
      </c>
      <c r="O45" t="str">
        <f t="shared" si="3"/>
        <v/>
      </c>
      <c r="V45" t="s">
        <v>218</v>
      </c>
    </row>
    <row r="46" spans="1:22" ht="15" thickBot="1" x14ac:dyDescent="0.35">
      <c r="A46" s="4" t="s">
        <v>161</v>
      </c>
      <c r="B46" t="s">
        <v>79</v>
      </c>
      <c r="C46" t="s">
        <v>79</v>
      </c>
      <c r="D46" t="s">
        <v>79</v>
      </c>
      <c r="E46" t="s">
        <v>79</v>
      </c>
      <c r="F46" t="s">
        <v>79</v>
      </c>
      <c r="G46" t="s">
        <v>79</v>
      </c>
      <c r="H46" s="23"/>
      <c r="I46" t="str">
        <f t="shared" si="2"/>
        <v>Q9.4</v>
      </c>
      <c r="J46" t="str">
        <f t="shared" si="3"/>
        <v/>
      </c>
      <c r="K46" t="str">
        <f t="shared" si="3"/>
        <v/>
      </c>
      <c r="L46" t="str">
        <f t="shared" si="3"/>
        <v/>
      </c>
      <c r="M46" t="str">
        <f t="shared" si="3"/>
        <v/>
      </c>
      <c r="N46" t="str">
        <f t="shared" si="3"/>
        <v/>
      </c>
      <c r="O46" t="str">
        <f t="shared" si="3"/>
        <v/>
      </c>
      <c r="V46" t="s">
        <v>219</v>
      </c>
    </row>
    <row r="47" spans="1:22" ht="15" thickBot="1" x14ac:dyDescent="0.35">
      <c r="A47" s="4" t="s">
        <v>162</v>
      </c>
      <c r="B47">
        <v>0.1</v>
      </c>
      <c r="C47" t="s">
        <v>79</v>
      </c>
      <c r="D47" t="s">
        <v>79</v>
      </c>
      <c r="E47" t="s">
        <v>79</v>
      </c>
      <c r="F47" t="s">
        <v>79</v>
      </c>
      <c r="G47">
        <v>-0.1</v>
      </c>
      <c r="H47" s="23"/>
      <c r="I47" t="str">
        <f t="shared" si="2"/>
        <v>Q9.5</v>
      </c>
      <c r="J47">
        <f t="shared" si="3"/>
        <v>0.1</v>
      </c>
      <c r="K47" t="str">
        <f t="shared" si="3"/>
        <v/>
      </c>
      <c r="L47" t="str">
        <f t="shared" si="3"/>
        <v/>
      </c>
      <c r="M47" t="str">
        <f t="shared" si="3"/>
        <v/>
      </c>
      <c r="N47" t="str">
        <f t="shared" si="3"/>
        <v/>
      </c>
      <c r="O47">
        <f t="shared" si="3"/>
        <v>-0.1</v>
      </c>
      <c r="V47" t="s">
        <v>220</v>
      </c>
    </row>
    <row r="48" spans="1:22" ht="15" thickBot="1" x14ac:dyDescent="0.35">
      <c r="A48" s="4" t="s">
        <v>163</v>
      </c>
      <c r="B48">
        <v>0.15</v>
      </c>
      <c r="C48" t="s">
        <v>79</v>
      </c>
      <c r="D48">
        <v>-0.19</v>
      </c>
      <c r="E48" t="s">
        <v>79</v>
      </c>
      <c r="F48" t="s">
        <v>79</v>
      </c>
      <c r="G48" t="s">
        <v>79</v>
      </c>
      <c r="H48" s="23"/>
      <c r="I48" t="str">
        <f t="shared" si="2"/>
        <v>Q10</v>
      </c>
      <c r="J48">
        <f t="shared" si="3"/>
        <v>0.15</v>
      </c>
      <c r="K48" t="str">
        <f t="shared" si="3"/>
        <v/>
      </c>
      <c r="L48">
        <f t="shared" si="3"/>
        <v>-0.19</v>
      </c>
      <c r="M48" t="str">
        <f t="shared" si="3"/>
        <v/>
      </c>
      <c r="N48" t="str">
        <f t="shared" si="3"/>
        <v/>
      </c>
      <c r="O48" t="str">
        <f t="shared" si="3"/>
        <v/>
      </c>
      <c r="V48" t="s">
        <v>221</v>
      </c>
    </row>
    <row r="49" spans="1:22" ht="15" thickBot="1" x14ac:dyDescent="0.35">
      <c r="A49" s="4" t="s">
        <v>164</v>
      </c>
      <c r="B49" t="s">
        <v>79</v>
      </c>
      <c r="C49" t="s">
        <v>79</v>
      </c>
      <c r="D49" t="s">
        <v>79</v>
      </c>
      <c r="E49" t="s">
        <v>79</v>
      </c>
      <c r="F49" t="s">
        <v>79</v>
      </c>
      <c r="G49" t="s">
        <v>79</v>
      </c>
      <c r="H49" s="23"/>
      <c r="I49" t="str">
        <f t="shared" si="2"/>
        <v>Q11</v>
      </c>
      <c r="J49" t="str">
        <f t="shared" si="3"/>
        <v/>
      </c>
      <c r="K49" t="str">
        <f t="shared" si="3"/>
        <v/>
      </c>
      <c r="L49" t="str">
        <f t="shared" si="3"/>
        <v/>
      </c>
      <c r="M49" t="str">
        <f t="shared" si="3"/>
        <v/>
      </c>
      <c r="N49" t="str">
        <f t="shared" si="3"/>
        <v/>
      </c>
      <c r="O49" t="str">
        <f t="shared" si="3"/>
        <v/>
      </c>
    </row>
    <row r="50" spans="1:22" ht="15" thickBot="1" x14ac:dyDescent="0.35">
      <c r="A50" s="4" t="s">
        <v>165</v>
      </c>
      <c r="B50" t="s">
        <v>79</v>
      </c>
      <c r="C50" t="s">
        <v>79</v>
      </c>
      <c r="D50" t="s">
        <v>79</v>
      </c>
      <c r="E50" t="s">
        <v>79</v>
      </c>
      <c r="F50" t="s">
        <v>79</v>
      </c>
      <c r="G50" t="s">
        <v>79</v>
      </c>
      <c r="H50" s="23"/>
      <c r="I50" t="str">
        <f t="shared" si="2"/>
        <v>Q12</v>
      </c>
      <c r="J50" t="str">
        <f t="shared" si="3"/>
        <v/>
      </c>
      <c r="K50" t="str">
        <f t="shared" si="3"/>
        <v/>
      </c>
      <c r="L50" t="str">
        <f t="shared" si="3"/>
        <v/>
      </c>
      <c r="M50" t="str">
        <f t="shared" si="3"/>
        <v/>
      </c>
      <c r="N50" t="str">
        <f t="shared" si="3"/>
        <v/>
      </c>
      <c r="O50" t="str">
        <f t="shared" si="3"/>
        <v/>
      </c>
      <c r="V50" t="s">
        <v>233</v>
      </c>
    </row>
    <row r="51" spans="1:22" ht="15" thickBot="1" x14ac:dyDescent="0.35">
      <c r="A51" s="4" t="s">
        <v>166</v>
      </c>
      <c r="B51">
        <v>0.11</v>
      </c>
      <c r="C51" t="s">
        <v>79</v>
      </c>
      <c r="D51" t="s">
        <v>79</v>
      </c>
      <c r="E51" t="s">
        <v>79</v>
      </c>
      <c r="F51">
        <v>-0.13</v>
      </c>
      <c r="G51" t="s">
        <v>79</v>
      </c>
      <c r="H51" s="23"/>
      <c r="I51" t="str">
        <f t="shared" si="2"/>
        <v>Q13</v>
      </c>
      <c r="J51">
        <f t="shared" si="3"/>
        <v>0.11</v>
      </c>
      <c r="K51" t="str">
        <f t="shared" si="3"/>
        <v/>
      </c>
      <c r="L51" t="str">
        <f t="shared" si="3"/>
        <v/>
      </c>
      <c r="M51" t="str">
        <f t="shared" si="3"/>
        <v/>
      </c>
      <c r="N51">
        <f t="shared" si="3"/>
        <v>-0.13</v>
      </c>
      <c r="O51" t="str">
        <f t="shared" si="3"/>
        <v/>
      </c>
      <c r="V51" t="s">
        <v>222</v>
      </c>
    </row>
    <row r="52" spans="1:22" ht="15" thickBot="1" x14ac:dyDescent="0.35">
      <c r="A52" s="4" t="s">
        <v>167</v>
      </c>
      <c r="B52">
        <v>-0.14000000000000001</v>
      </c>
      <c r="C52" t="s">
        <v>79</v>
      </c>
      <c r="D52" t="s">
        <v>79</v>
      </c>
      <c r="E52" t="s">
        <v>79</v>
      </c>
      <c r="F52" t="s">
        <v>79</v>
      </c>
      <c r="G52">
        <v>0.11</v>
      </c>
      <c r="H52" s="23"/>
      <c r="I52" t="str">
        <f t="shared" si="2"/>
        <v>Q14</v>
      </c>
      <c r="J52">
        <f t="shared" si="3"/>
        <v>-0.14000000000000001</v>
      </c>
      <c r="K52" t="str">
        <f t="shared" si="3"/>
        <v/>
      </c>
      <c r="L52" t="str">
        <f t="shared" si="3"/>
        <v/>
      </c>
      <c r="M52" t="str">
        <f t="shared" si="3"/>
        <v/>
      </c>
      <c r="N52" t="str">
        <f t="shared" si="3"/>
        <v/>
      </c>
      <c r="O52">
        <f t="shared" si="3"/>
        <v>0.11</v>
      </c>
      <c r="V52" t="s">
        <v>223</v>
      </c>
    </row>
    <row r="53" spans="1:22" ht="15" thickBot="1" x14ac:dyDescent="0.35">
      <c r="A53" s="4" t="s">
        <v>168</v>
      </c>
      <c r="B53">
        <v>-0.15</v>
      </c>
      <c r="C53" t="s">
        <v>79</v>
      </c>
      <c r="D53" t="s">
        <v>79</v>
      </c>
      <c r="E53" t="s">
        <v>79</v>
      </c>
      <c r="F53">
        <v>0.13</v>
      </c>
      <c r="G53">
        <v>0.15</v>
      </c>
      <c r="H53" s="23"/>
      <c r="I53" t="str">
        <f t="shared" si="2"/>
        <v>Q15</v>
      </c>
      <c r="J53">
        <f t="shared" si="3"/>
        <v>-0.15</v>
      </c>
      <c r="K53" t="str">
        <f t="shared" si="3"/>
        <v/>
      </c>
      <c r="L53" t="str">
        <f t="shared" si="3"/>
        <v/>
      </c>
      <c r="M53" t="str">
        <f t="shared" si="3"/>
        <v/>
      </c>
      <c r="N53">
        <f t="shared" si="3"/>
        <v>0.13</v>
      </c>
      <c r="O53">
        <f t="shared" si="3"/>
        <v>0.15</v>
      </c>
      <c r="V53" t="s">
        <v>224</v>
      </c>
    </row>
    <row r="54" spans="1:22" ht="15" thickBot="1" x14ac:dyDescent="0.35">
      <c r="A54" s="4" t="s">
        <v>169</v>
      </c>
      <c r="B54" t="s">
        <v>79</v>
      </c>
      <c r="C54" t="s">
        <v>79</v>
      </c>
      <c r="D54" t="s">
        <v>79</v>
      </c>
      <c r="E54" t="s">
        <v>79</v>
      </c>
      <c r="F54" t="s">
        <v>79</v>
      </c>
      <c r="G54" t="s">
        <v>79</v>
      </c>
      <c r="H54" s="23"/>
      <c r="I54" t="str">
        <f t="shared" si="2"/>
        <v>Q16</v>
      </c>
      <c r="J54" t="str">
        <f t="shared" si="3"/>
        <v/>
      </c>
      <c r="K54" t="str">
        <f t="shared" si="3"/>
        <v/>
      </c>
      <c r="L54" t="str">
        <f t="shared" si="3"/>
        <v/>
      </c>
      <c r="M54" t="str">
        <f t="shared" si="3"/>
        <v/>
      </c>
      <c r="N54" t="str">
        <f t="shared" si="3"/>
        <v/>
      </c>
      <c r="O54" t="str">
        <f t="shared" si="3"/>
        <v/>
      </c>
    </row>
    <row r="55" spans="1:22" ht="15" thickBot="1" x14ac:dyDescent="0.35">
      <c r="A55" s="4" t="s">
        <v>170</v>
      </c>
      <c r="B55" t="s">
        <v>79</v>
      </c>
      <c r="C55" t="s">
        <v>79</v>
      </c>
      <c r="D55" t="s">
        <v>79</v>
      </c>
      <c r="E55" t="s">
        <v>79</v>
      </c>
      <c r="F55" t="s">
        <v>79</v>
      </c>
      <c r="G55" t="s">
        <v>79</v>
      </c>
      <c r="H55" s="23"/>
      <c r="I55" t="str">
        <f t="shared" si="2"/>
        <v>Q16.1</v>
      </c>
      <c r="J55" t="str">
        <f t="shared" si="3"/>
        <v/>
      </c>
      <c r="K55" t="str">
        <f t="shared" si="3"/>
        <v/>
      </c>
      <c r="L55" t="str">
        <f t="shared" si="3"/>
        <v/>
      </c>
      <c r="M55" t="str">
        <f t="shared" si="3"/>
        <v/>
      </c>
      <c r="N55" t="str">
        <f t="shared" si="3"/>
        <v/>
      </c>
      <c r="O55" t="str">
        <f t="shared" si="3"/>
        <v/>
      </c>
    </row>
    <row r="56" spans="1:22" ht="15" thickBot="1" x14ac:dyDescent="0.35">
      <c r="A56" s="4" t="s">
        <v>171</v>
      </c>
      <c r="B56">
        <v>0.11</v>
      </c>
      <c r="C56" t="s">
        <v>79</v>
      </c>
      <c r="D56" t="s">
        <v>79</v>
      </c>
      <c r="E56" t="s">
        <v>79</v>
      </c>
      <c r="F56" t="s">
        <v>79</v>
      </c>
      <c r="G56" t="s">
        <v>79</v>
      </c>
      <c r="H56" s="23"/>
      <c r="I56" t="str">
        <f t="shared" si="2"/>
        <v>Q16.2</v>
      </c>
      <c r="J56">
        <f t="shared" si="3"/>
        <v>0.11</v>
      </c>
      <c r="K56" t="str">
        <f t="shared" si="3"/>
        <v/>
      </c>
      <c r="L56" t="str">
        <f t="shared" si="3"/>
        <v/>
      </c>
      <c r="M56" t="str">
        <f t="shared" si="3"/>
        <v/>
      </c>
      <c r="N56" t="str">
        <f t="shared" si="3"/>
        <v/>
      </c>
      <c r="O56" t="str">
        <f t="shared" si="3"/>
        <v/>
      </c>
      <c r="V56" t="s">
        <v>225</v>
      </c>
    </row>
    <row r="57" spans="1:22" ht="15" thickBot="1" x14ac:dyDescent="0.35">
      <c r="A57" s="4" t="s">
        <v>172</v>
      </c>
      <c r="B57" t="s">
        <v>79</v>
      </c>
      <c r="C57" t="s">
        <v>79</v>
      </c>
      <c r="D57" t="s">
        <v>79</v>
      </c>
      <c r="E57" t="s">
        <v>79</v>
      </c>
      <c r="F57" t="s">
        <v>79</v>
      </c>
      <c r="G57" t="s">
        <v>79</v>
      </c>
      <c r="H57" s="23"/>
      <c r="I57" t="str">
        <f t="shared" si="2"/>
        <v>Q16.3</v>
      </c>
      <c r="J57" t="str">
        <f t="shared" si="3"/>
        <v/>
      </c>
      <c r="K57" t="str">
        <f t="shared" si="3"/>
        <v/>
      </c>
      <c r="L57" t="str">
        <f t="shared" si="3"/>
        <v/>
      </c>
      <c r="M57" t="str">
        <f t="shared" si="3"/>
        <v/>
      </c>
      <c r="N57" t="str">
        <f t="shared" si="3"/>
        <v/>
      </c>
      <c r="O57" t="str">
        <f t="shared" si="3"/>
        <v/>
      </c>
    </row>
    <row r="58" spans="1:22" ht="15" thickBot="1" x14ac:dyDescent="0.35">
      <c r="A58" s="4" t="s">
        <v>173</v>
      </c>
      <c r="B58" t="s">
        <v>79</v>
      </c>
      <c r="C58" t="s">
        <v>79</v>
      </c>
      <c r="D58" t="s">
        <v>79</v>
      </c>
      <c r="E58" t="s">
        <v>79</v>
      </c>
      <c r="F58" t="s">
        <v>79</v>
      </c>
      <c r="G58" t="s">
        <v>79</v>
      </c>
      <c r="H58" s="23"/>
      <c r="I58" t="str">
        <f t="shared" si="2"/>
        <v>Q16.4</v>
      </c>
      <c r="J58" t="str">
        <f t="shared" si="3"/>
        <v/>
      </c>
      <c r="K58" t="str">
        <f t="shared" si="3"/>
        <v/>
      </c>
      <c r="L58" t="str">
        <f t="shared" si="3"/>
        <v/>
      </c>
      <c r="M58" t="str">
        <f t="shared" si="3"/>
        <v/>
      </c>
      <c r="N58" t="str">
        <f t="shared" si="3"/>
        <v/>
      </c>
      <c r="O58" t="str">
        <f t="shared" si="3"/>
        <v/>
      </c>
    </row>
    <row r="59" spans="1:22" ht="15" thickBot="1" x14ac:dyDescent="0.35">
      <c r="A59" s="4" t="s">
        <v>174</v>
      </c>
      <c r="B59" t="s">
        <v>79</v>
      </c>
      <c r="C59" t="s">
        <v>79</v>
      </c>
      <c r="D59" t="s">
        <v>79</v>
      </c>
      <c r="E59" t="s">
        <v>79</v>
      </c>
      <c r="F59" t="s">
        <v>79</v>
      </c>
      <c r="G59" t="s">
        <v>79</v>
      </c>
      <c r="H59" s="23"/>
      <c r="I59" t="str">
        <f t="shared" si="2"/>
        <v>Q16.5</v>
      </c>
      <c r="J59" t="str">
        <f t="shared" ref="J59:O83" si="4">IF(ISNUMBER(B59),B59,"")</f>
        <v/>
      </c>
      <c r="K59" t="str">
        <f t="shared" si="4"/>
        <v/>
      </c>
      <c r="L59" t="str">
        <f t="shared" si="4"/>
        <v/>
      </c>
      <c r="M59" t="str">
        <f t="shared" si="4"/>
        <v/>
      </c>
      <c r="N59" t="str">
        <f t="shared" si="4"/>
        <v/>
      </c>
      <c r="O59" t="str">
        <f t="shared" si="4"/>
        <v/>
      </c>
    </row>
    <row r="60" spans="1:22" ht="15" thickBot="1" x14ac:dyDescent="0.35">
      <c r="A60" s="4" t="s">
        <v>175</v>
      </c>
      <c r="B60" t="s">
        <v>79</v>
      </c>
      <c r="C60" t="s">
        <v>79</v>
      </c>
      <c r="D60" t="s">
        <v>79</v>
      </c>
      <c r="E60" t="s">
        <v>79</v>
      </c>
      <c r="F60" t="s">
        <v>79</v>
      </c>
      <c r="G60" t="s">
        <v>79</v>
      </c>
      <c r="H60" s="23"/>
      <c r="I60" t="str">
        <f t="shared" si="2"/>
        <v>Q16.6</v>
      </c>
      <c r="J60" t="str">
        <f t="shared" si="4"/>
        <v/>
      </c>
      <c r="K60" t="str">
        <f t="shared" si="4"/>
        <v/>
      </c>
      <c r="L60" t="str">
        <f t="shared" si="4"/>
        <v/>
      </c>
      <c r="M60" t="str">
        <f t="shared" si="4"/>
        <v/>
      </c>
      <c r="N60" t="str">
        <f t="shared" si="4"/>
        <v/>
      </c>
      <c r="O60" t="str">
        <f t="shared" si="4"/>
        <v/>
      </c>
    </row>
    <row r="61" spans="1:22" ht="15" thickBot="1" x14ac:dyDescent="0.35">
      <c r="A61" s="4" t="s">
        <v>176</v>
      </c>
      <c r="B61" t="s">
        <v>79</v>
      </c>
      <c r="C61" t="s">
        <v>79</v>
      </c>
      <c r="D61" t="s">
        <v>79</v>
      </c>
      <c r="E61" t="s">
        <v>79</v>
      </c>
      <c r="F61" t="s">
        <v>79</v>
      </c>
      <c r="G61" t="s">
        <v>79</v>
      </c>
      <c r="H61" s="23"/>
      <c r="I61" t="str">
        <f t="shared" si="2"/>
        <v>Q16.7</v>
      </c>
      <c r="J61" t="str">
        <f t="shared" si="4"/>
        <v/>
      </c>
      <c r="K61" t="str">
        <f t="shared" si="4"/>
        <v/>
      </c>
      <c r="L61" t="str">
        <f t="shared" si="4"/>
        <v/>
      </c>
      <c r="M61" t="str">
        <f t="shared" si="4"/>
        <v/>
      </c>
      <c r="N61" t="str">
        <f t="shared" si="4"/>
        <v/>
      </c>
      <c r="O61" t="str">
        <f t="shared" si="4"/>
        <v/>
      </c>
    </row>
    <row r="62" spans="1:22" ht="15" thickBot="1" x14ac:dyDescent="0.35">
      <c r="A62" s="4" t="s">
        <v>177</v>
      </c>
      <c r="B62" t="s">
        <v>79</v>
      </c>
      <c r="C62" t="s">
        <v>79</v>
      </c>
      <c r="D62" t="s">
        <v>79</v>
      </c>
      <c r="E62" t="s">
        <v>79</v>
      </c>
      <c r="F62" t="s">
        <v>79</v>
      </c>
      <c r="G62" t="s">
        <v>79</v>
      </c>
      <c r="H62" s="23"/>
      <c r="I62" t="str">
        <f t="shared" si="2"/>
        <v>Q16.8</v>
      </c>
      <c r="J62" t="str">
        <f t="shared" si="4"/>
        <v/>
      </c>
      <c r="K62" t="str">
        <f t="shared" si="4"/>
        <v/>
      </c>
      <c r="L62" t="str">
        <f t="shared" si="4"/>
        <v/>
      </c>
      <c r="M62" t="str">
        <f t="shared" si="4"/>
        <v/>
      </c>
      <c r="N62" t="str">
        <f t="shared" si="4"/>
        <v/>
      </c>
      <c r="O62" t="str">
        <f t="shared" si="4"/>
        <v/>
      </c>
    </row>
    <row r="63" spans="1:22" ht="15" thickBot="1" x14ac:dyDescent="0.35">
      <c r="A63" s="4" t="s">
        <v>178</v>
      </c>
      <c r="B63" t="s">
        <v>79</v>
      </c>
      <c r="C63" t="s">
        <v>79</v>
      </c>
      <c r="D63" t="s">
        <v>79</v>
      </c>
      <c r="E63" t="s">
        <v>79</v>
      </c>
      <c r="F63" t="s">
        <v>79</v>
      </c>
      <c r="G63" t="s">
        <v>79</v>
      </c>
      <c r="H63" s="23"/>
      <c r="I63" t="str">
        <f t="shared" si="2"/>
        <v>Q16.9</v>
      </c>
      <c r="J63" t="str">
        <f t="shared" si="4"/>
        <v/>
      </c>
      <c r="K63" t="str">
        <f t="shared" si="4"/>
        <v/>
      </c>
      <c r="L63" t="str">
        <f t="shared" si="4"/>
        <v/>
      </c>
      <c r="M63" t="str">
        <f t="shared" si="4"/>
        <v/>
      </c>
      <c r="N63" t="str">
        <f t="shared" si="4"/>
        <v/>
      </c>
      <c r="O63" t="str">
        <f t="shared" si="4"/>
        <v/>
      </c>
    </row>
    <row r="64" spans="1:22" ht="15" thickBot="1" x14ac:dyDescent="0.35">
      <c r="A64" s="4" t="s">
        <v>179</v>
      </c>
      <c r="B64" t="s">
        <v>79</v>
      </c>
      <c r="C64" t="s">
        <v>79</v>
      </c>
      <c r="D64" t="s">
        <v>79</v>
      </c>
      <c r="E64" t="s">
        <v>79</v>
      </c>
      <c r="F64" t="s">
        <v>79</v>
      </c>
      <c r="G64" t="s">
        <v>79</v>
      </c>
      <c r="H64" s="23"/>
      <c r="I64" t="str">
        <f t="shared" si="2"/>
        <v>Q16.10</v>
      </c>
      <c r="J64" t="str">
        <f t="shared" si="4"/>
        <v/>
      </c>
      <c r="K64" t="str">
        <f t="shared" si="4"/>
        <v/>
      </c>
      <c r="L64" t="str">
        <f t="shared" si="4"/>
        <v/>
      </c>
      <c r="M64" t="str">
        <f t="shared" si="4"/>
        <v/>
      </c>
      <c r="N64" t="str">
        <f t="shared" si="4"/>
        <v/>
      </c>
      <c r="O64" t="str">
        <f t="shared" si="4"/>
        <v/>
      </c>
    </row>
    <row r="65" spans="1:22" ht="15" thickBot="1" x14ac:dyDescent="0.35">
      <c r="A65" s="4" t="s">
        <v>180</v>
      </c>
      <c r="B65" t="s">
        <v>79</v>
      </c>
      <c r="C65" t="s">
        <v>79</v>
      </c>
      <c r="D65" t="s">
        <v>79</v>
      </c>
      <c r="E65" t="s">
        <v>79</v>
      </c>
      <c r="F65" t="s">
        <v>79</v>
      </c>
      <c r="G65" t="s">
        <v>79</v>
      </c>
      <c r="H65" s="23"/>
      <c r="I65" t="str">
        <f t="shared" si="2"/>
        <v>Q16.11</v>
      </c>
      <c r="J65" t="str">
        <f t="shared" si="4"/>
        <v/>
      </c>
      <c r="K65" t="str">
        <f t="shared" si="4"/>
        <v/>
      </c>
      <c r="L65" t="str">
        <f t="shared" si="4"/>
        <v/>
      </c>
      <c r="M65" t="str">
        <f t="shared" si="4"/>
        <v/>
      </c>
      <c r="N65" t="str">
        <f t="shared" si="4"/>
        <v/>
      </c>
      <c r="O65" t="str">
        <f t="shared" si="4"/>
        <v/>
      </c>
    </row>
    <row r="66" spans="1:22" ht="15" thickBot="1" x14ac:dyDescent="0.35">
      <c r="A66" s="4" t="s">
        <v>181</v>
      </c>
      <c r="B66" t="s">
        <v>79</v>
      </c>
      <c r="C66" t="s">
        <v>79</v>
      </c>
      <c r="D66" t="s">
        <v>79</v>
      </c>
      <c r="E66" t="s">
        <v>79</v>
      </c>
      <c r="F66" t="s">
        <v>79</v>
      </c>
      <c r="G66" t="s">
        <v>79</v>
      </c>
      <c r="H66" s="23"/>
      <c r="I66" t="str">
        <f t="shared" si="2"/>
        <v>Q16.12</v>
      </c>
      <c r="J66" t="str">
        <f t="shared" si="4"/>
        <v/>
      </c>
      <c r="K66" t="str">
        <f t="shared" si="4"/>
        <v/>
      </c>
      <c r="L66" t="str">
        <f t="shared" si="4"/>
        <v/>
      </c>
      <c r="M66" t="str">
        <f t="shared" si="4"/>
        <v/>
      </c>
      <c r="N66" t="str">
        <f t="shared" si="4"/>
        <v/>
      </c>
      <c r="O66" t="str">
        <f t="shared" si="4"/>
        <v/>
      </c>
    </row>
    <row r="67" spans="1:22" ht="15" thickBot="1" x14ac:dyDescent="0.35">
      <c r="A67" s="4" t="s">
        <v>182</v>
      </c>
      <c r="B67">
        <v>0.1</v>
      </c>
      <c r="C67" t="s">
        <v>79</v>
      </c>
      <c r="D67" t="s">
        <v>79</v>
      </c>
      <c r="E67" t="s">
        <v>79</v>
      </c>
      <c r="F67" t="s">
        <v>79</v>
      </c>
      <c r="G67" t="s">
        <v>79</v>
      </c>
      <c r="H67" s="23"/>
      <c r="I67" t="str">
        <f t="shared" si="2"/>
        <v>Q16.13</v>
      </c>
      <c r="J67">
        <f t="shared" si="4"/>
        <v>0.1</v>
      </c>
      <c r="K67" t="str">
        <f t="shared" si="4"/>
        <v/>
      </c>
      <c r="L67" t="str">
        <f t="shared" si="4"/>
        <v/>
      </c>
      <c r="M67" t="str">
        <f t="shared" si="4"/>
        <v/>
      </c>
      <c r="N67" t="str">
        <f t="shared" si="4"/>
        <v/>
      </c>
      <c r="O67" t="str">
        <f t="shared" si="4"/>
        <v/>
      </c>
      <c r="V67" t="s">
        <v>226</v>
      </c>
    </row>
    <row r="68" spans="1:22" ht="15" thickBot="1" x14ac:dyDescent="0.35">
      <c r="A68" s="4" t="s">
        <v>183</v>
      </c>
      <c r="B68">
        <v>0.1</v>
      </c>
      <c r="C68" t="s">
        <v>79</v>
      </c>
      <c r="D68" t="s">
        <v>79</v>
      </c>
      <c r="E68" t="s">
        <v>79</v>
      </c>
      <c r="F68" t="s">
        <v>79</v>
      </c>
      <c r="G68" t="s">
        <v>79</v>
      </c>
      <c r="H68" s="23"/>
      <c r="I68" t="str">
        <f t="shared" ref="I68:I83" si="5">A68</f>
        <v>Q16.14</v>
      </c>
      <c r="J68">
        <f t="shared" si="4"/>
        <v>0.1</v>
      </c>
      <c r="K68" t="str">
        <f t="shared" si="4"/>
        <v/>
      </c>
      <c r="L68" t="str">
        <f t="shared" si="4"/>
        <v/>
      </c>
      <c r="M68" t="str">
        <f t="shared" si="4"/>
        <v/>
      </c>
      <c r="N68" t="str">
        <f t="shared" si="4"/>
        <v/>
      </c>
      <c r="O68" t="str">
        <f t="shared" si="4"/>
        <v/>
      </c>
      <c r="V68" t="s">
        <v>227</v>
      </c>
    </row>
    <row r="69" spans="1:22" ht="15" thickBot="1" x14ac:dyDescent="0.35">
      <c r="A69" s="4" t="s">
        <v>184</v>
      </c>
      <c r="B69" t="s">
        <v>79</v>
      </c>
      <c r="C69" t="s">
        <v>79</v>
      </c>
      <c r="D69" t="s">
        <v>79</v>
      </c>
      <c r="E69" t="s">
        <v>79</v>
      </c>
      <c r="F69" t="s">
        <v>79</v>
      </c>
      <c r="G69" t="s">
        <v>79</v>
      </c>
      <c r="H69" s="23"/>
      <c r="I69" t="str">
        <f t="shared" si="5"/>
        <v>Q16.15</v>
      </c>
      <c r="J69" t="str">
        <f t="shared" si="4"/>
        <v/>
      </c>
      <c r="K69" t="str">
        <f t="shared" si="4"/>
        <v/>
      </c>
      <c r="L69" t="str">
        <f t="shared" si="4"/>
        <v/>
      </c>
      <c r="M69" t="str">
        <f t="shared" si="4"/>
        <v/>
      </c>
      <c r="N69" t="str">
        <f t="shared" si="4"/>
        <v/>
      </c>
      <c r="O69" t="str">
        <f t="shared" si="4"/>
        <v/>
      </c>
    </row>
    <row r="70" spans="1:22" ht="15" thickBot="1" x14ac:dyDescent="0.35">
      <c r="A70" s="4" t="s">
        <v>185</v>
      </c>
      <c r="B70">
        <v>0.11</v>
      </c>
      <c r="C70" t="s">
        <v>79</v>
      </c>
      <c r="D70" t="s">
        <v>79</v>
      </c>
      <c r="E70" t="s">
        <v>79</v>
      </c>
      <c r="F70" t="s">
        <v>79</v>
      </c>
      <c r="G70" t="s">
        <v>79</v>
      </c>
      <c r="H70" s="23"/>
      <c r="I70" t="str">
        <f t="shared" si="5"/>
        <v>Q16.16</v>
      </c>
      <c r="J70">
        <f t="shared" si="4"/>
        <v>0.11</v>
      </c>
      <c r="K70" t="str">
        <f t="shared" si="4"/>
        <v/>
      </c>
      <c r="L70" t="str">
        <f t="shared" si="4"/>
        <v/>
      </c>
      <c r="M70" t="str">
        <f t="shared" si="4"/>
        <v/>
      </c>
      <c r="N70" t="str">
        <f t="shared" si="4"/>
        <v/>
      </c>
      <c r="O70" t="str">
        <f t="shared" si="4"/>
        <v/>
      </c>
      <c r="V70" t="s">
        <v>228</v>
      </c>
    </row>
    <row r="71" spans="1:22" ht="15" thickBot="1" x14ac:dyDescent="0.35">
      <c r="A71" s="4" t="s">
        <v>186</v>
      </c>
      <c r="B71" t="s">
        <v>79</v>
      </c>
      <c r="C71" t="s">
        <v>79</v>
      </c>
      <c r="D71" t="s">
        <v>79</v>
      </c>
      <c r="E71" t="s">
        <v>79</v>
      </c>
      <c r="F71" t="s">
        <v>79</v>
      </c>
      <c r="G71" t="s">
        <v>79</v>
      </c>
      <c r="H71" s="23"/>
      <c r="I71" t="str">
        <f t="shared" si="5"/>
        <v>Q16.17</v>
      </c>
      <c r="J71" t="str">
        <f t="shared" si="4"/>
        <v/>
      </c>
      <c r="K71" t="str">
        <f t="shared" si="4"/>
        <v/>
      </c>
      <c r="L71" t="str">
        <f t="shared" si="4"/>
        <v/>
      </c>
      <c r="M71" t="str">
        <f t="shared" si="4"/>
        <v/>
      </c>
      <c r="N71" t="str">
        <f t="shared" si="4"/>
        <v/>
      </c>
      <c r="O71" t="str">
        <f t="shared" si="4"/>
        <v/>
      </c>
    </row>
    <row r="72" spans="1:22" ht="15" thickBot="1" x14ac:dyDescent="0.35">
      <c r="A72" s="4" t="s">
        <v>187</v>
      </c>
      <c r="B72" t="s">
        <v>79</v>
      </c>
      <c r="C72" t="s">
        <v>79</v>
      </c>
      <c r="D72" t="s">
        <v>79</v>
      </c>
      <c r="E72" t="s">
        <v>79</v>
      </c>
      <c r="F72" t="s">
        <v>79</v>
      </c>
      <c r="G72" t="s">
        <v>79</v>
      </c>
      <c r="H72" s="23"/>
      <c r="I72" t="str">
        <f t="shared" si="5"/>
        <v>Q16.18</v>
      </c>
      <c r="J72" t="str">
        <f t="shared" si="4"/>
        <v/>
      </c>
      <c r="K72" t="str">
        <f t="shared" si="4"/>
        <v/>
      </c>
      <c r="L72" t="str">
        <f t="shared" si="4"/>
        <v/>
      </c>
      <c r="M72" t="str">
        <f t="shared" si="4"/>
        <v/>
      </c>
      <c r="N72" t="str">
        <f t="shared" si="4"/>
        <v/>
      </c>
      <c r="O72" t="str">
        <f t="shared" si="4"/>
        <v/>
      </c>
    </row>
    <row r="73" spans="1:22" ht="15" thickBot="1" x14ac:dyDescent="0.35">
      <c r="A73" s="4" t="s">
        <v>188</v>
      </c>
      <c r="B73" t="s">
        <v>79</v>
      </c>
      <c r="C73" t="s">
        <v>79</v>
      </c>
      <c r="D73" t="s">
        <v>79</v>
      </c>
      <c r="E73" t="s">
        <v>79</v>
      </c>
      <c r="F73" t="s">
        <v>79</v>
      </c>
      <c r="G73" t="s">
        <v>79</v>
      </c>
      <c r="H73" s="23"/>
      <c r="I73" t="str">
        <f t="shared" si="5"/>
        <v>Q16.19</v>
      </c>
      <c r="J73" t="str">
        <f t="shared" si="4"/>
        <v/>
      </c>
      <c r="K73" t="str">
        <f t="shared" si="4"/>
        <v/>
      </c>
      <c r="L73" t="str">
        <f t="shared" si="4"/>
        <v/>
      </c>
      <c r="M73" t="str">
        <f t="shared" si="4"/>
        <v/>
      </c>
      <c r="N73" t="str">
        <f t="shared" si="4"/>
        <v/>
      </c>
      <c r="O73" t="str">
        <f t="shared" si="4"/>
        <v/>
      </c>
    </row>
    <row r="74" spans="1:22" ht="15" thickBot="1" x14ac:dyDescent="0.35">
      <c r="A74" s="4" t="s">
        <v>189</v>
      </c>
      <c r="B74" t="s">
        <v>79</v>
      </c>
      <c r="C74" t="s">
        <v>79</v>
      </c>
      <c r="D74" t="s">
        <v>79</v>
      </c>
      <c r="E74" t="s">
        <v>79</v>
      </c>
      <c r="F74" t="s">
        <v>79</v>
      </c>
      <c r="G74" t="s">
        <v>79</v>
      </c>
      <c r="H74" s="23"/>
      <c r="I74" t="str">
        <f t="shared" si="5"/>
        <v>Q16.20</v>
      </c>
      <c r="J74" t="str">
        <f t="shared" si="4"/>
        <v/>
      </c>
      <c r="K74" t="str">
        <f t="shared" si="4"/>
        <v/>
      </c>
      <c r="L74" t="str">
        <f t="shared" si="4"/>
        <v/>
      </c>
      <c r="M74" t="str">
        <f t="shared" si="4"/>
        <v/>
      </c>
      <c r="N74" t="str">
        <f t="shared" si="4"/>
        <v/>
      </c>
      <c r="O74" t="str">
        <f t="shared" si="4"/>
        <v/>
      </c>
    </row>
    <row r="75" spans="1:22" ht="15" thickBot="1" x14ac:dyDescent="0.35">
      <c r="A75" s="4" t="s">
        <v>190</v>
      </c>
      <c r="B75" t="s">
        <v>79</v>
      </c>
      <c r="C75" t="s">
        <v>79</v>
      </c>
      <c r="D75" t="s">
        <v>79</v>
      </c>
      <c r="E75" t="s">
        <v>79</v>
      </c>
      <c r="F75" t="s">
        <v>79</v>
      </c>
      <c r="G75" t="s">
        <v>79</v>
      </c>
      <c r="H75" s="23"/>
      <c r="I75" t="str">
        <f t="shared" si="5"/>
        <v>Q16.21</v>
      </c>
      <c r="J75" t="str">
        <f t="shared" si="4"/>
        <v/>
      </c>
      <c r="K75" t="str">
        <f t="shared" si="4"/>
        <v/>
      </c>
      <c r="L75" t="str">
        <f t="shared" si="4"/>
        <v/>
      </c>
      <c r="M75" t="str">
        <f t="shared" si="4"/>
        <v/>
      </c>
      <c r="N75" t="str">
        <f t="shared" si="4"/>
        <v/>
      </c>
      <c r="O75" t="str">
        <f t="shared" si="4"/>
        <v/>
      </c>
    </row>
    <row r="76" spans="1:22" ht="15" thickBot="1" x14ac:dyDescent="0.35">
      <c r="A76" s="4" t="s">
        <v>191</v>
      </c>
      <c r="B76" t="s">
        <v>79</v>
      </c>
      <c r="C76" t="s">
        <v>79</v>
      </c>
      <c r="D76" t="s">
        <v>79</v>
      </c>
      <c r="E76" t="s">
        <v>79</v>
      </c>
      <c r="F76" t="s">
        <v>79</v>
      </c>
      <c r="G76" t="s">
        <v>79</v>
      </c>
      <c r="H76" s="23"/>
      <c r="I76" t="str">
        <f t="shared" si="5"/>
        <v>Q16.22</v>
      </c>
      <c r="J76" t="str">
        <f t="shared" si="4"/>
        <v/>
      </c>
      <c r="K76" t="str">
        <f t="shared" si="4"/>
        <v/>
      </c>
      <c r="L76" t="str">
        <f t="shared" si="4"/>
        <v/>
      </c>
      <c r="M76" t="str">
        <f t="shared" si="4"/>
        <v/>
      </c>
      <c r="N76" t="str">
        <f t="shared" si="4"/>
        <v/>
      </c>
      <c r="O76" t="str">
        <f t="shared" si="4"/>
        <v/>
      </c>
    </row>
    <row r="77" spans="1:22" ht="15" thickBot="1" x14ac:dyDescent="0.35">
      <c r="A77" s="4" t="s">
        <v>192</v>
      </c>
      <c r="B77" t="s">
        <v>79</v>
      </c>
      <c r="C77" t="s">
        <v>79</v>
      </c>
      <c r="D77" t="s">
        <v>79</v>
      </c>
      <c r="E77" t="s">
        <v>79</v>
      </c>
      <c r="F77" t="s">
        <v>79</v>
      </c>
      <c r="G77" t="s">
        <v>79</v>
      </c>
      <c r="H77" s="23"/>
      <c r="I77" t="str">
        <f t="shared" si="5"/>
        <v>Q16.23</v>
      </c>
      <c r="J77" t="str">
        <f t="shared" si="4"/>
        <v/>
      </c>
      <c r="K77" t="str">
        <f t="shared" si="4"/>
        <v/>
      </c>
      <c r="L77" t="str">
        <f t="shared" si="4"/>
        <v/>
      </c>
      <c r="M77" t="str">
        <f t="shared" si="4"/>
        <v/>
      </c>
      <c r="N77" t="str">
        <f t="shared" si="4"/>
        <v/>
      </c>
      <c r="O77" t="str">
        <f t="shared" si="4"/>
        <v/>
      </c>
    </row>
    <row r="78" spans="1:22" ht="15" thickBot="1" x14ac:dyDescent="0.35">
      <c r="A78" s="4" t="s">
        <v>193</v>
      </c>
      <c r="B78" t="s">
        <v>79</v>
      </c>
      <c r="C78" t="s">
        <v>79</v>
      </c>
      <c r="D78" t="s">
        <v>79</v>
      </c>
      <c r="E78" t="s">
        <v>79</v>
      </c>
      <c r="F78" t="s">
        <v>79</v>
      </c>
      <c r="G78" t="s">
        <v>79</v>
      </c>
      <c r="H78" s="23"/>
      <c r="I78" t="str">
        <f t="shared" si="5"/>
        <v>Q16.24</v>
      </c>
      <c r="J78" t="str">
        <f t="shared" si="4"/>
        <v/>
      </c>
      <c r="K78" t="str">
        <f t="shared" si="4"/>
        <v/>
      </c>
      <c r="L78" t="str">
        <f t="shared" si="4"/>
        <v/>
      </c>
      <c r="M78" t="str">
        <f t="shared" si="4"/>
        <v/>
      </c>
      <c r="N78" t="str">
        <f t="shared" si="4"/>
        <v/>
      </c>
      <c r="O78" t="str">
        <f t="shared" si="4"/>
        <v/>
      </c>
    </row>
    <row r="79" spans="1:22" ht="15" thickBot="1" x14ac:dyDescent="0.35">
      <c r="A79" s="4" t="s">
        <v>194</v>
      </c>
      <c r="B79">
        <v>0.11</v>
      </c>
      <c r="C79" t="s">
        <v>79</v>
      </c>
      <c r="D79" t="s">
        <v>79</v>
      </c>
      <c r="E79" t="s">
        <v>79</v>
      </c>
      <c r="F79" t="s">
        <v>79</v>
      </c>
      <c r="G79" t="s">
        <v>79</v>
      </c>
      <c r="H79" s="23"/>
      <c r="I79" t="str">
        <f t="shared" si="5"/>
        <v>Q16.25</v>
      </c>
      <c r="J79">
        <f t="shared" si="4"/>
        <v>0.11</v>
      </c>
      <c r="K79" t="str">
        <f t="shared" si="4"/>
        <v/>
      </c>
      <c r="L79" t="str">
        <f t="shared" si="4"/>
        <v/>
      </c>
      <c r="M79" t="str">
        <f t="shared" si="4"/>
        <v/>
      </c>
      <c r="N79" t="str">
        <f t="shared" si="4"/>
        <v/>
      </c>
      <c r="O79" t="str">
        <f t="shared" si="4"/>
        <v/>
      </c>
      <c r="V79" t="s">
        <v>229</v>
      </c>
    </row>
    <row r="80" spans="1:22" ht="15" thickBot="1" x14ac:dyDescent="0.35">
      <c r="A80" s="4" t="s">
        <v>195</v>
      </c>
      <c r="B80" t="s">
        <v>79</v>
      </c>
      <c r="C80" t="s">
        <v>79</v>
      </c>
      <c r="D80" t="s">
        <v>79</v>
      </c>
      <c r="E80" t="s">
        <v>79</v>
      </c>
      <c r="F80" t="s">
        <v>79</v>
      </c>
      <c r="G80" t="s">
        <v>79</v>
      </c>
      <c r="H80" s="23"/>
      <c r="I80" t="str">
        <f t="shared" si="5"/>
        <v>Q16.26</v>
      </c>
      <c r="J80" t="str">
        <f t="shared" si="4"/>
        <v/>
      </c>
      <c r="K80" t="str">
        <f t="shared" si="4"/>
        <v/>
      </c>
      <c r="L80" t="str">
        <f t="shared" si="4"/>
        <v/>
      </c>
      <c r="M80" t="str">
        <f t="shared" si="4"/>
        <v/>
      </c>
      <c r="N80" t="str">
        <f t="shared" si="4"/>
        <v/>
      </c>
      <c r="O80" t="str">
        <f t="shared" si="4"/>
        <v/>
      </c>
    </row>
    <row r="81" spans="1:22" ht="15" thickBot="1" x14ac:dyDescent="0.35">
      <c r="A81" s="4" t="s">
        <v>196</v>
      </c>
      <c r="B81">
        <v>0.11</v>
      </c>
      <c r="C81" t="s">
        <v>79</v>
      </c>
      <c r="D81" t="s">
        <v>79</v>
      </c>
      <c r="E81" t="s">
        <v>79</v>
      </c>
      <c r="F81" t="s">
        <v>79</v>
      </c>
      <c r="G81" t="s">
        <v>79</v>
      </c>
      <c r="H81" s="23"/>
      <c r="I81" t="str">
        <f t="shared" si="5"/>
        <v>Q16.27</v>
      </c>
      <c r="J81">
        <f t="shared" si="4"/>
        <v>0.11</v>
      </c>
      <c r="K81" t="str">
        <f t="shared" si="4"/>
        <v/>
      </c>
      <c r="L81" t="str">
        <f t="shared" si="4"/>
        <v/>
      </c>
      <c r="M81" t="str">
        <f t="shared" si="4"/>
        <v/>
      </c>
      <c r="N81" t="str">
        <f t="shared" si="4"/>
        <v/>
      </c>
      <c r="O81" t="str">
        <f t="shared" si="4"/>
        <v/>
      </c>
      <c r="V81" t="s">
        <v>230</v>
      </c>
    </row>
    <row r="82" spans="1:22" ht="15" thickBot="1" x14ac:dyDescent="0.35">
      <c r="A82" s="4" t="s">
        <v>197</v>
      </c>
      <c r="B82">
        <v>0.37</v>
      </c>
      <c r="C82" t="s">
        <v>79</v>
      </c>
      <c r="D82">
        <v>-0.31</v>
      </c>
      <c r="E82" t="s">
        <v>79</v>
      </c>
      <c r="F82">
        <v>-0.12</v>
      </c>
      <c r="G82" t="s">
        <v>79</v>
      </c>
      <c r="H82" s="23"/>
      <c r="I82" t="str">
        <f t="shared" si="5"/>
        <v>Q17</v>
      </c>
      <c r="J82">
        <f t="shared" si="4"/>
        <v>0.37</v>
      </c>
      <c r="K82" t="str">
        <f t="shared" si="4"/>
        <v/>
      </c>
      <c r="L82">
        <f t="shared" si="4"/>
        <v>-0.31</v>
      </c>
      <c r="M82" t="str">
        <f t="shared" si="4"/>
        <v/>
      </c>
      <c r="N82">
        <f t="shared" si="4"/>
        <v>-0.12</v>
      </c>
      <c r="O82" t="str">
        <f t="shared" si="4"/>
        <v/>
      </c>
      <c r="V82" t="s">
        <v>231</v>
      </c>
    </row>
    <row r="83" spans="1:22" ht="15" thickBot="1" x14ac:dyDescent="0.35">
      <c r="A83" s="4" t="s">
        <v>198</v>
      </c>
      <c r="B83">
        <v>-0.2</v>
      </c>
      <c r="C83" t="s">
        <v>79</v>
      </c>
      <c r="D83" t="s">
        <v>79</v>
      </c>
      <c r="E83" t="s">
        <v>79</v>
      </c>
      <c r="F83">
        <v>0.19</v>
      </c>
      <c r="G83" t="s">
        <v>79</v>
      </c>
      <c r="H83" s="23"/>
      <c r="I83" t="str">
        <f t="shared" si="5"/>
        <v>Q18</v>
      </c>
      <c r="J83">
        <f t="shared" si="4"/>
        <v>-0.2</v>
      </c>
      <c r="K83" t="str">
        <f t="shared" si="4"/>
        <v/>
      </c>
      <c r="L83" t="str">
        <f t="shared" si="4"/>
        <v/>
      </c>
      <c r="M83" t="str">
        <f t="shared" si="4"/>
        <v/>
      </c>
      <c r="N83">
        <f t="shared" si="4"/>
        <v>0.19</v>
      </c>
      <c r="O83" t="str">
        <f t="shared" si="4"/>
        <v/>
      </c>
      <c r="V83" t="s">
        <v>232</v>
      </c>
    </row>
    <row r="84" spans="1:22" x14ac:dyDescent="0.3">
      <c r="J84">
        <v>566</v>
      </c>
      <c r="K84">
        <v>684</v>
      </c>
      <c r="L84">
        <v>338</v>
      </c>
      <c r="M84">
        <v>408</v>
      </c>
      <c r="N84">
        <v>433</v>
      </c>
      <c r="O84">
        <v>384</v>
      </c>
    </row>
    <row r="85" spans="1:22" x14ac:dyDescent="0.3">
      <c r="J85" t="s">
        <v>301</v>
      </c>
      <c r="K85" t="s">
        <v>304</v>
      </c>
      <c r="L85" t="s">
        <v>305</v>
      </c>
      <c r="M85" t="s">
        <v>306</v>
      </c>
      <c r="N85" t="s">
        <v>308</v>
      </c>
    </row>
    <row r="86" spans="1:22" x14ac:dyDescent="0.3">
      <c r="J86" t="s">
        <v>303</v>
      </c>
      <c r="M86" t="s">
        <v>312</v>
      </c>
      <c r="N86" t="s">
        <v>309</v>
      </c>
    </row>
    <row r="87" spans="1:22" x14ac:dyDescent="0.3">
      <c r="J87" t="s">
        <v>298</v>
      </c>
      <c r="N87" t="s">
        <v>310</v>
      </c>
    </row>
    <row r="88" spans="1:22" x14ac:dyDescent="0.3">
      <c r="J88" t="s">
        <v>299</v>
      </c>
      <c r="N88" t="s">
        <v>311</v>
      </c>
    </row>
    <row r="89" spans="1:22" x14ac:dyDescent="0.3">
      <c r="J89" t="s">
        <v>302</v>
      </c>
    </row>
    <row r="90" spans="1:22" x14ac:dyDescent="0.3">
      <c r="J90" t="s">
        <v>300</v>
      </c>
    </row>
    <row r="91" spans="1:22" x14ac:dyDescent="0.3">
      <c r="J91" t="s">
        <v>307</v>
      </c>
    </row>
  </sheetData>
  <conditionalFormatting sqref="J3:J83">
    <cfRule type="colorScale" priority="3">
      <colorScale>
        <cfvo type="min"/>
        <cfvo type="percentile" val="50"/>
        <cfvo type="max"/>
        <color rgb="FFF8696B"/>
        <color rgb="FFFFEB84"/>
        <color rgb="FF63BE7B"/>
      </colorScale>
    </cfRule>
  </conditionalFormatting>
  <conditionalFormatting sqref="P3:U83">
    <cfRule type="colorScale" priority="2">
      <colorScale>
        <cfvo type="min"/>
        <cfvo type="percentile" val="50"/>
        <cfvo type="max"/>
        <color rgb="FFF8696B"/>
        <color rgb="FFFFEB84"/>
        <color rgb="FF63BE7B"/>
      </colorScale>
    </cfRule>
  </conditionalFormatting>
  <conditionalFormatting sqref="K3:O83">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0E4EC-C763-4995-BC8C-ABADB7FFDBFE}">
  <dimension ref="A1:AG83"/>
  <sheetViews>
    <sheetView workbookViewId="0">
      <selection activeCell="N2" sqref="N2"/>
    </sheetView>
  </sheetViews>
  <sheetFormatPr defaultRowHeight="14.4" x14ac:dyDescent="0.3"/>
  <cols>
    <col min="1" max="1" width="16.77734375" bestFit="1" customWidth="1"/>
    <col min="11" max="15" width="8.88671875" customWidth="1"/>
    <col min="16" max="21" width="8.88671875" hidden="1" customWidth="1"/>
  </cols>
  <sheetData>
    <row r="1" spans="1:33" ht="21" x14ac:dyDescent="0.4">
      <c r="A1" s="25" t="s">
        <v>285</v>
      </c>
      <c r="B1" s="15" t="s">
        <v>205</v>
      </c>
      <c r="H1" s="25"/>
      <c r="J1" s="15" t="s">
        <v>205</v>
      </c>
    </row>
    <row r="2" spans="1:33" x14ac:dyDescent="0.3">
      <c r="B2" s="12" t="s">
        <v>199</v>
      </c>
      <c r="C2" s="12" t="s">
        <v>200</v>
      </c>
      <c r="D2" s="12" t="s">
        <v>201</v>
      </c>
      <c r="E2" s="12" t="s">
        <v>202</v>
      </c>
      <c r="F2" s="12" t="s">
        <v>203</v>
      </c>
      <c r="G2" s="12" t="s">
        <v>204</v>
      </c>
      <c r="H2" s="12"/>
      <c r="J2" s="12" t="s">
        <v>287</v>
      </c>
      <c r="K2" s="12" t="s">
        <v>288</v>
      </c>
      <c r="L2" s="12" t="s">
        <v>286</v>
      </c>
      <c r="M2" s="12" t="s">
        <v>289</v>
      </c>
      <c r="N2" s="12" t="s">
        <v>279</v>
      </c>
      <c r="O2" s="12" t="s">
        <v>290</v>
      </c>
      <c r="P2" s="12" t="str">
        <f>J2</f>
        <v>Status &amp; non-cheapo</v>
      </c>
      <c r="Q2" s="12" t="str">
        <f t="shared" ref="Q2:U2" si="0">K2</f>
        <v>Anti status enthusiast</v>
      </c>
      <c r="R2" s="12" t="str">
        <f t="shared" si="0"/>
        <v>Status expert cheapo</v>
      </c>
      <c r="S2" s="12" t="str">
        <f t="shared" si="0"/>
        <v>Antistatus non enthusiast</v>
      </c>
      <c r="T2" s="12" t="str">
        <f t="shared" si="0"/>
        <v>Ocassional</v>
      </c>
      <c r="U2" s="12" t="str">
        <f t="shared" si="0"/>
        <v>Antistatus expert</v>
      </c>
      <c r="AD2" s="12" t="s">
        <v>241</v>
      </c>
    </row>
    <row r="3" spans="1:33" ht="15" thickBot="1" x14ac:dyDescent="0.35">
      <c r="A3" s="4" t="s">
        <v>115</v>
      </c>
      <c r="B3" t="s">
        <v>79</v>
      </c>
      <c r="C3" t="s">
        <v>79</v>
      </c>
      <c r="D3" t="s">
        <v>79</v>
      </c>
      <c r="E3" t="s">
        <v>79</v>
      </c>
      <c r="F3" t="s">
        <v>79</v>
      </c>
      <c r="G3" t="s">
        <v>79</v>
      </c>
      <c r="H3" s="23"/>
      <c r="I3" t="str">
        <f>A3</f>
        <v>Q1.1</v>
      </c>
      <c r="J3" t="str">
        <f>IF(ISNUMBER(B3),B3,"")</f>
        <v/>
      </c>
      <c r="K3" t="str">
        <f t="shared" ref="K3:O18" si="1">IF(ISNUMBER(C3),C3,"")</f>
        <v/>
      </c>
      <c r="L3" t="str">
        <f t="shared" si="1"/>
        <v/>
      </c>
      <c r="M3" t="str">
        <f t="shared" si="1"/>
        <v/>
      </c>
      <c r="N3" t="str">
        <f t="shared" si="1"/>
        <v/>
      </c>
      <c r="O3" t="str">
        <f t="shared" si="1"/>
        <v/>
      </c>
      <c r="V3" t="s">
        <v>0</v>
      </c>
      <c r="AD3" t="s">
        <v>234</v>
      </c>
    </row>
    <row r="4" spans="1:33" ht="15" thickBot="1" x14ac:dyDescent="0.35">
      <c r="A4" s="4" t="s">
        <v>119</v>
      </c>
      <c r="B4" t="s">
        <v>79</v>
      </c>
      <c r="C4" t="s">
        <v>79</v>
      </c>
      <c r="D4">
        <v>0.13</v>
      </c>
      <c r="E4" t="s">
        <v>79</v>
      </c>
      <c r="F4" t="s">
        <v>79</v>
      </c>
      <c r="G4" t="s">
        <v>79</v>
      </c>
      <c r="H4" s="23"/>
      <c r="I4" t="str">
        <f t="shared" ref="I4:I67" si="2">A4</f>
        <v>Q1.2</v>
      </c>
      <c r="J4" t="str">
        <f t="shared" ref="J4:O58" si="3">IF(ISNUMBER(B4),B4,"")</f>
        <v/>
      </c>
      <c r="K4" t="str">
        <f t="shared" si="1"/>
        <v/>
      </c>
      <c r="L4">
        <f t="shared" si="1"/>
        <v>0.13</v>
      </c>
      <c r="M4" t="str">
        <f t="shared" si="1"/>
        <v/>
      </c>
      <c r="N4" t="str">
        <f t="shared" si="1"/>
        <v/>
      </c>
      <c r="O4" t="str">
        <f t="shared" si="1"/>
        <v/>
      </c>
      <c r="V4" t="s">
        <v>1</v>
      </c>
      <c r="AD4" t="s">
        <v>235</v>
      </c>
    </row>
    <row r="5" spans="1:33" ht="15" thickBot="1" x14ac:dyDescent="0.35">
      <c r="A5" s="4" t="s">
        <v>96</v>
      </c>
      <c r="B5">
        <v>0.17</v>
      </c>
      <c r="C5" t="s">
        <v>79</v>
      </c>
      <c r="D5">
        <v>0.23</v>
      </c>
      <c r="E5">
        <v>-0.27</v>
      </c>
      <c r="F5" t="s">
        <v>79</v>
      </c>
      <c r="G5">
        <v>-0.19</v>
      </c>
      <c r="H5" s="23"/>
      <c r="I5" t="str">
        <f t="shared" si="2"/>
        <v>Q1.3</v>
      </c>
      <c r="J5">
        <f t="shared" si="3"/>
        <v>0.17</v>
      </c>
      <c r="K5" t="str">
        <f t="shared" si="1"/>
        <v/>
      </c>
      <c r="L5">
        <f t="shared" si="1"/>
        <v>0.23</v>
      </c>
      <c r="M5">
        <f t="shared" si="1"/>
        <v>-0.27</v>
      </c>
      <c r="N5" t="str">
        <f t="shared" si="1"/>
        <v/>
      </c>
      <c r="O5">
        <f t="shared" si="1"/>
        <v>-0.19</v>
      </c>
      <c r="V5" t="s">
        <v>2</v>
      </c>
      <c r="AD5" t="s">
        <v>236</v>
      </c>
    </row>
    <row r="6" spans="1:33" ht="15" thickBot="1" x14ac:dyDescent="0.35">
      <c r="A6" s="4" t="s">
        <v>114</v>
      </c>
      <c r="B6" t="s">
        <v>79</v>
      </c>
      <c r="C6" t="s">
        <v>79</v>
      </c>
      <c r="D6">
        <v>0.15</v>
      </c>
      <c r="E6">
        <v>-0.12</v>
      </c>
      <c r="F6" t="s">
        <v>79</v>
      </c>
      <c r="G6" t="s">
        <v>79</v>
      </c>
      <c r="H6" s="23"/>
      <c r="I6" t="str">
        <f t="shared" si="2"/>
        <v>Q1.4</v>
      </c>
      <c r="J6" t="str">
        <f t="shared" si="3"/>
        <v/>
      </c>
      <c r="K6" t="str">
        <f t="shared" si="1"/>
        <v/>
      </c>
      <c r="L6">
        <f t="shared" si="1"/>
        <v>0.15</v>
      </c>
      <c r="M6">
        <f t="shared" si="1"/>
        <v>-0.12</v>
      </c>
      <c r="N6" t="str">
        <f t="shared" si="1"/>
        <v/>
      </c>
      <c r="O6" t="str">
        <f t="shared" si="1"/>
        <v/>
      </c>
      <c r="V6" t="s">
        <v>3</v>
      </c>
      <c r="AD6" t="s">
        <v>237</v>
      </c>
    </row>
    <row r="7" spans="1:33" ht="15" thickBot="1" x14ac:dyDescent="0.35">
      <c r="A7" s="4" t="s">
        <v>108</v>
      </c>
      <c r="B7" t="s">
        <v>79</v>
      </c>
      <c r="C7" t="s">
        <v>79</v>
      </c>
      <c r="D7">
        <v>0.16</v>
      </c>
      <c r="E7">
        <v>-0.17</v>
      </c>
      <c r="F7" t="s">
        <v>79</v>
      </c>
      <c r="G7" t="s">
        <v>79</v>
      </c>
      <c r="H7" s="23"/>
      <c r="I7" t="str">
        <f t="shared" si="2"/>
        <v>Q1.5</v>
      </c>
      <c r="J7" t="str">
        <f t="shared" si="3"/>
        <v/>
      </c>
      <c r="K7" t="str">
        <f t="shared" si="1"/>
        <v/>
      </c>
      <c r="L7">
        <f t="shared" si="1"/>
        <v>0.16</v>
      </c>
      <c r="M7">
        <f t="shared" si="1"/>
        <v>-0.17</v>
      </c>
      <c r="N7" t="str">
        <f t="shared" si="1"/>
        <v/>
      </c>
      <c r="O7" t="str">
        <f t="shared" si="1"/>
        <v/>
      </c>
      <c r="V7" t="s">
        <v>4</v>
      </c>
      <c r="AD7" t="s">
        <v>238</v>
      </c>
    </row>
    <row r="8" spans="1:33" ht="15" thickBot="1" x14ac:dyDescent="0.35">
      <c r="A8" s="4" t="s">
        <v>102</v>
      </c>
      <c r="B8" t="s">
        <v>79</v>
      </c>
      <c r="C8" t="s">
        <v>79</v>
      </c>
      <c r="D8">
        <v>0.11</v>
      </c>
      <c r="E8">
        <v>-0.1</v>
      </c>
      <c r="F8" t="s">
        <v>79</v>
      </c>
      <c r="G8" t="s">
        <v>79</v>
      </c>
      <c r="H8" s="23"/>
      <c r="I8" t="str">
        <f t="shared" si="2"/>
        <v>Q1.6</v>
      </c>
      <c r="J8" t="str">
        <f t="shared" si="3"/>
        <v/>
      </c>
      <c r="K8" t="str">
        <f t="shared" si="1"/>
        <v/>
      </c>
      <c r="L8">
        <f t="shared" si="1"/>
        <v>0.11</v>
      </c>
      <c r="M8">
        <f t="shared" si="1"/>
        <v>-0.1</v>
      </c>
      <c r="N8" t="str">
        <f t="shared" si="1"/>
        <v/>
      </c>
      <c r="O8" t="str">
        <f t="shared" si="1"/>
        <v/>
      </c>
      <c r="V8" t="s">
        <v>5</v>
      </c>
      <c r="AD8" t="s">
        <v>239</v>
      </c>
    </row>
    <row r="9" spans="1:33" ht="15" thickBot="1" x14ac:dyDescent="0.35">
      <c r="A9" s="4" t="s">
        <v>97</v>
      </c>
      <c r="B9">
        <v>0.1</v>
      </c>
      <c r="C9" t="s">
        <v>79</v>
      </c>
      <c r="D9">
        <v>0.15</v>
      </c>
      <c r="E9">
        <v>-0.19</v>
      </c>
      <c r="F9" t="s">
        <v>79</v>
      </c>
      <c r="G9">
        <v>-0.12</v>
      </c>
      <c r="H9" s="23"/>
      <c r="I9" t="str">
        <f t="shared" si="2"/>
        <v>Q1.7</v>
      </c>
      <c r="J9">
        <f t="shared" si="3"/>
        <v>0.1</v>
      </c>
      <c r="K9" t="str">
        <f t="shared" si="1"/>
        <v/>
      </c>
      <c r="L9">
        <f t="shared" si="1"/>
        <v>0.15</v>
      </c>
      <c r="M9">
        <f t="shared" si="1"/>
        <v>-0.19</v>
      </c>
      <c r="N9" t="str">
        <f t="shared" si="1"/>
        <v/>
      </c>
      <c r="O9">
        <f t="shared" si="1"/>
        <v>-0.12</v>
      </c>
      <c r="V9" t="s">
        <v>6</v>
      </c>
      <c r="AD9" t="s">
        <v>240</v>
      </c>
    </row>
    <row r="10" spans="1:33" ht="15" thickBot="1" x14ac:dyDescent="0.35">
      <c r="A10" s="4" t="s">
        <v>118</v>
      </c>
      <c r="B10">
        <v>-0.11</v>
      </c>
      <c r="C10" t="s">
        <v>79</v>
      </c>
      <c r="D10">
        <v>0.21</v>
      </c>
      <c r="E10" t="s">
        <v>79</v>
      </c>
      <c r="F10" t="s">
        <v>79</v>
      </c>
      <c r="G10" t="s">
        <v>79</v>
      </c>
      <c r="H10" s="23"/>
      <c r="I10" t="str">
        <f t="shared" si="2"/>
        <v>Q1.8</v>
      </c>
      <c r="J10">
        <f t="shared" si="3"/>
        <v>-0.11</v>
      </c>
      <c r="K10" t="str">
        <f t="shared" si="1"/>
        <v/>
      </c>
      <c r="L10">
        <f t="shared" si="1"/>
        <v>0.21</v>
      </c>
      <c r="M10" t="str">
        <f t="shared" si="1"/>
        <v/>
      </c>
      <c r="N10" t="str">
        <f t="shared" si="1"/>
        <v/>
      </c>
      <c r="O10" t="str">
        <f t="shared" si="1"/>
        <v/>
      </c>
      <c r="V10" t="s">
        <v>7</v>
      </c>
    </row>
    <row r="11" spans="1:33" ht="15" thickBot="1" x14ac:dyDescent="0.35">
      <c r="A11" s="4" t="s">
        <v>104</v>
      </c>
      <c r="B11">
        <v>0.27</v>
      </c>
      <c r="C11">
        <v>-0.26</v>
      </c>
      <c r="D11">
        <v>0.35</v>
      </c>
      <c r="E11">
        <v>-0.45</v>
      </c>
      <c r="F11" t="s">
        <v>79</v>
      </c>
      <c r="G11">
        <v>-0.34</v>
      </c>
      <c r="H11" s="23"/>
      <c r="I11" t="str">
        <f t="shared" si="2"/>
        <v>Q1.9</v>
      </c>
      <c r="J11">
        <f t="shared" si="3"/>
        <v>0.27</v>
      </c>
      <c r="K11">
        <f t="shared" si="1"/>
        <v>-0.26</v>
      </c>
      <c r="L11">
        <f t="shared" si="1"/>
        <v>0.35</v>
      </c>
      <c r="M11">
        <f t="shared" si="1"/>
        <v>-0.45</v>
      </c>
      <c r="N11" t="str">
        <f t="shared" si="1"/>
        <v/>
      </c>
      <c r="O11">
        <f t="shared" si="1"/>
        <v>-0.34</v>
      </c>
      <c r="V11" t="s">
        <v>8</v>
      </c>
      <c r="AG11" s="12" t="s">
        <v>244</v>
      </c>
    </row>
    <row r="12" spans="1:33" ht="15" thickBot="1" x14ac:dyDescent="0.35">
      <c r="A12" s="4" t="s">
        <v>117</v>
      </c>
      <c r="B12" t="s">
        <v>79</v>
      </c>
      <c r="C12">
        <v>-0.14000000000000001</v>
      </c>
      <c r="D12">
        <v>0.23</v>
      </c>
      <c r="E12">
        <v>-0.34</v>
      </c>
      <c r="F12" t="s">
        <v>79</v>
      </c>
      <c r="G12">
        <v>0.16</v>
      </c>
      <c r="H12" s="23"/>
      <c r="I12" t="str">
        <f t="shared" si="2"/>
        <v>Q1.10</v>
      </c>
      <c r="J12" t="str">
        <f t="shared" si="3"/>
        <v/>
      </c>
      <c r="K12">
        <f t="shared" si="1"/>
        <v>-0.14000000000000001</v>
      </c>
      <c r="L12">
        <f t="shared" si="1"/>
        <v>0.23</v>
      </c>
      <c r="M12">
        <f t="shared" si="1"/>
        <v>-0.34</v>
      </c>
      <c r="N12" t="str">
        <f t="shared" si="1"/>
        <v/>
      </c>
      <c r="O12">
        <f t="shared" si="1"/>
        <v>0.16</v>
      </c>
      <c r="V12" t="s">
        <v>9</v>
      </c>
      <c r="AD12">
        <v>21</v>
      </c>
      <c r="AE12" s="24" t="s">
        <v>20</v>
      </c>
      <c r="AG12" t="s">
        <v>128</v>
      </c>
    </row>
    <row r="13" spans="1:33" ht="15" thickBot="1" x14ac:dyDescent="0.35">
      <c r="A13" s="4" t="s">
        <v>116</v>
      </c>
      <c r="B13" t="s">
        <v>79</v>
      </c>
      <c r="C13" t="s">
        <v>79</v>
      </c>
      <c r="D13" t="s">
        <v>79</v>
      </c>
      <c r="E13" t="s">
        <v>79</v>
      </c>
      <c r="F13" t="s">
        <v>79</v>
      </c>
      <c r="G13" t="s">
        <v>79</v>
      </c>
      <c r="H13" s="23"/>
      <c r="I13" t="str">
        <f t="shared" si="2"/>
        <v>Q1.11</v>
      </c>
      <c r="J13" t="str">
        <f t="shared" si="3"/>
        <v/>
      </c>
      <c r="K13" t="str">
        <f t="shared" si="1"/>
        <v/>
      </c>
      <c r="L13" t="str">
        <f t="shared" si="1"/>
        <v/>
      </c>
      <c r="M13" t="str">
        <f t="shared" si="1"/>
        <v/>
      </c>
      <c r="N13" t="str">
        <f t="shared" si="1"/>
        <v/>
      </c>
      <c r="O13" t="str">
        <f t="shared" si="1"/>
        <v/>
      </c>
      <c r="V13" t="s">
        <v>10</v>
      </c>
      <c r="AD13">
        <v>9</v>
      </c>
      <c r="AE13" s="24" t="s">
        <v>8</v>
      </c>
      <c r="AG13" t="s">
        <v>242</v>
      </c>
    </row>
    <row r="14" spans="1:33" ht="15" thickBot="1" x14ac:dyDescent="0.35">
      <c r="A14" s="4" t="s">
        <v>120</v>
      </c>
      <c r="B14" t="s">
        <v>79</v>
      </c>
      <c r="C14" t="s">
        <v>79</v>
      </c>
      <c r="D14">
        <v>0.1</v>
      </c>
      <c r="E14" t="s">
        <v>79</v>
      </c>
      <c r="F14" t="s">
        <v>79</v>
      </c>
      <c r="G14" t="s">
        <v>79</v>
      </c>
      <c r="H14" s="23"/>
      <c r="I14" t="str">
        <f t="shared" si="2"/>
        <v>Q1.12</v>
      </c>
      <c r="J14" t="str">
        <f t="shared" si="3"/>
        <v/>
      </c>
      <c r="K14" t="str">
        <f t="shared" si="1"/>
        <v/>
      </c>
      <c r="L14">
        <f t="shared" si="1"/>
        <v>0.1</v>
      </c>
      <c r="M14" t="str">
        <f t="shared" si="1"/>
        <v/>
      </c>
      <c r="N14" t="str">
        <f t="shared" si="1"/>
        <v/>
      </c>
      <c r="O14" t="str">
        <f t="shared" si="1"/>
        <v/>
      </c>
      <c r="V14" t="s">
        <v>11</v>
      </c>
      <c r="AD14">
        <v>27</v>
      </c>
      <c r="AE14" s="24" t="s">
        <v>26</v>
      </c>
      <c r="AG14" t="s">
        <v>129</v>
      </c>
    </row>
    <row r="15" spans="1:33" ht="15" thickBot="1" x14ac:dyDescent="0.35">
      <c r="A15" s="4" t="s">
        <v>100</v>
      </c>
      <c r="B15">
        <v>0.14000000000000001</v>
      </c>
      <c r="C15" t="s">
        <v>79</v>
      </c>
      <c r="D15">
        <v>0.24</v>
      </c>
      <c r="E15">
        <v>-0.25</v>
      </c>
      <c r="F15" t="s">
        <v>79</v>
      </c>
      <c r="G15">
        <v>-0.14000000000000001</v>
      </c>
      <c r="H15" s="23"/>
      <c r="I15" t="str">
        <f t="shared" si="2"/>
        <v>Q1.13</v>
      </c>
      <c r="J15">
        <f t="shared" si="3"/>
        <v>0.14000000000000001</v>
      </c>
      <c r="K15" t="str">
        <f t="shared" si="1"/>
        <v/>
      </c>
      <c r="L15">
        <f t="shared" si="1"/>
        <v>0.24</v>
      </c>
      <c r="M15">
        <f t="shared" si="1"/>
        <v>-0.25</v>
      </c>
      <c r="N15" t="str">
        <f t="shared" si="1"/>
        <v/>
      </c>
      <c r="O15">
        <f t="shared" si="1"/>
        <v>-0.14000000000000001</v>
      </c>
      <c r="V15" t="s">
        <v>13</v>
      </c>
      <c r="AD15">
        <v>4</v>
      </c>
      <c r="AE15" s="24" t="s">
        <v>3</v>
      </c>
      <c r="AG15" t="s">
        <v>243</v>
      </c>
    </row>
    <row r="16" spans="1:33" ht="15" thickBot="1" x14ac:dyDescent="0.35">
      <c r="A16" s="4" t="s">
        <v>93</v>
      </c>
      <c r="B16">
        <v>0.12</v>
      </c>
      <c r="C16" t="s">
        <v>79</v>
      </c>
      <c r="D16">
        <v>0.21</v>
      </c>
      <c r="E16">
        <v>-0.19</v>
      </c>
      <c r="F16" t="s">
        <v>79</v>
      </c>
      <c r="G16">
        <v>-0.14000000000000001</v>
      </c>
      <c r="H16" s="23"/>
      <c r="I16" t="str">
        <f t="shared" si="2"/>
        <v>Q1.14</v>
      </c>
      <c r="J16">
        <f t="shared" si="3"/>
        <v>0.12</v>
      </c>
      <c r="K16" t="str">
        <f t="shared" si="1"/>
        <v/>
      </c>
      <c r="L16">
        <f t="shared" si="1"/>
        <v>0.21</v>
      </c>
      <c r="M16">
        <f t="shared" si="1"/>
        <v>-0.19</v>
      </c>
      <c r="N16" t="str">
        <f t="shared" si="1"/>
        <v/>
      </c>
      <c r="O16">
        <f t="shared" si="1"/>
        <v>-0.14000000000000001</v>
      </c>
      <c r="V16" t="s">
        <v>12</v>
      </c>
      <c r="AD16">
        <v>8</v>
      </c>
      <c r="AE16" s="24" t="s">
        <v>7</v>
      </c>
      <c r="AF16" t="s">
        <v>11</v>
      </c>
      <c r="AG16" t="s">
        <v>89</v>
      </c>
    </row>
    <row r="17" spans="1:33" ht="15" thickBot="1" x14ac:dyDescent="0.35">
      <c r="A17" s="4" t="s">
        <v>98</v>
      </c>
      <c r="B17" t="s">
        <v>79</v>
      </c>
      <c r="C17" t="s">
        <v>79</v>
      </c>
      <c r="D17">
        <v>0.14000000000000001</v>
      </c>
      <c r="E17">
        <v>-0.15</v>
      </c>
      <c r="F17" t="s">
        <v>79</v>
      </c>
      <c r="G17" t="s">
        <v>79</v>
      </c>
      <c r="H17" s="23"/>
      <c r="I17" t="str">
        <f t="shared" si="2"/>
        <v>Q1.15</v>
      </c>
      <c r="J17" t="str">
        <f t="shared" si="3"/>
        <v/>
      </c>
      <c r="K17" t="str">
        <f t="shared" si="1"/>
        <v/>
      </c>
      <c r="L17">
        <f t="shared" si="1"/>
        <v>0.14000000000000001</v>
      </c>
      <c r="M17">
        <f t="shared" si="1"/>
        <v>-0.15</v>
      </c>
      <c r="N17" t="str">
        <f t="shared" si="1"/>
        <v/>
      </c>
      <c r="O17" t="str">
        <f t="shared" si="1"/>
        <v/>
      </c>
      <c r="V17" t="s">
        <v>14</v>
      </c>
      <c r="AD17">
        <v>10</v>
      </c>
      <c r="AE17" s="24" t="s">
        <v>9</v>
      </c>
      <c r="AG17" t="s">
        <v>141</v>
      </c>
    </row>
    <row r="18" spans="1:33" ht="15" thickBot="1" x14ac:dyDescent="0.35">
      <c r="A18" s="4" t="s">
        <v>99</v>
      </c>
      <c r="B18">
        <v>0.12</v>
      </c>
      <c r="C18" t="s">
        <v>79</v>
      </c>
      <c r="D18">
        <v>0.23</v>
      </c>
      <c r="E18">
        <v>-0.15</v>
      </c>
      <c r="F18" t="s">
        <v>79</v>
      </c>
      <c r="G18">
        <v>-0.22</v>
      </c>
      <c r="H18" s="23"/>
      <c r="I18" t="str">
        <f t="shared" si="2"/>
        <v>Q1.16</v>
      </c>
      <c r="J18">
        <f t="shared" si="3"/>
        <v>0.12</v>
      </c>
      <c r="K18" t="str">
        <f t="shared" si="1"/>
        <v/>
      </c>
      <c r="L18">
        <f t="shared" si="1"/>
        <v>0.23</v>
      </c>
      <c r="M18">
        <f t="shared" si="1"/>
        <v>-0.15</v>
      </c>
      <c r="N18" t="str">
        <f t="shared" si="1"/>
        <v/>
      </c>
      <c r="O18">
        <f t="shared" si="1"/>
        <v>-0.22</v>
      </c>
      <c r="V18" t="s">
        <v>15</v>
      </c>
      <c r="AD18">
        <v>1</v>
      </c>
      <c r="AE18" s="24" t="s">
        <v>0</v>
      </c>
      <c r="AG18" t="s">
        <v>132</v>
      </c>
    </row>
    <row r="19" spans="1:33" ht="15" thickBot="1" x14ac:dyDescent="0.35">
      <c r="A19" s="4" t="s">
        <v>105</v>
      </c>
      <c r="B19">
        <v>0.11</v>
      </c>
      <c r="C19" t="s">
        <v>79</v>
      </c>
      <c r="D19">
        <v>0.19</v>
      </c>
      <c r="E19">
        <v>-0.1</v>
      </c>
      <c r="F19" t="s">
        <v>79</v>
      </c>
      <c r="G19">
        <v>-0.19</v>
      </c>
      <c r="H19" s="23"/>
      <c r="I19" t="str">
        <f t="shared" si="2"/>
        <v>Q1.17</v>
      </c>
      <c r="J19">
        <f t="shared" si="3"/>
        <v>0.11</v>
      </c>
      <c r="K19" t="str">
        <f t="shared" si="3"/>
        <v/>
      </c>
      <c r="L19">
        <f t="shared" si="3"/>
        <v>0.19</v>
      </c>
      <c r="M19">
        <f t="shared" si="3"/>
        <v>-0.1</v>
      </c>
      <c r="N19" t="str">
        <f t="shared" si="3"/>
        <v/>
      </c>
      <c r="O19">
        <f t="shared" si="3"/>
        <v>-0.19</v>
      </c>
      <c r="V19" t="s">
        <v>16</v>
      </c>
    </row>
    <row r="20" spans="1:33" ht="15" thickBot="1" x14ac:dyDescent="0.35">
      <c r="A20" s="4" t="s">
        <v>109</v>
      </c>
      <c r="B20" t="s">
        <v>79</v>
      </c>
      <c r="C20" t="s">
        <v>79</v>
      </c>
      <c r="D20" t="s">
        <v>79</v>
      </c>
      <c r="E20" t="s">
        <v>79</v>
      </c>
      <c r="F20" t="s">
        <v>79</v>
      </c>
      <c r="G20" t="s">
        <v>79</v>
      </c>
      <c r="H20" s="23"/>
      <c r="I20" t="str">
        <f t="shared" si="2"/>
        <v>Q1.18</v>
      </c>
      <c r="J20" t="str">
        <f t="shared" si="3"/>
        <v/>
      </c>
      <c r="K20" t="str">
        <f t="shared" si="3"/>
        <v/>
      </c>
      <c r="L20" t="str">
        <f t="shared" si="3"/>
        <v/>
      </c>
      <c r="M20" t="str">
        <f t="shared" si="3"/>
        <v/>
      </c>
      <c r="N20" t="str">
        <f t="shared" si="3"/>
        <v/>
      </c>
      <c r="O20" t="str">
        <f t="shared" si="3"/>
        <v/>
      </c>
      <c r="V20" t="s">
        <v>17</v>
      </c>
    </row>
    <row r="21" spans="1:33" ht="15" thickBot="1" x14ac:dyDescent="0.35">
      <c r="A21" s="4" t="s">
        <v>112</v>
      </c>
      <c r="B21" t="s">
        <v>79</v>
      </c>
      <c r="C21" t="s">
        <v>79</v>
      </c>
      <c r="D21" t="s">
        <v>79</v>
      </c>
      <c r="E21" t="s">
        <v>79</v>
      </c>
      <c r="F21" t="s">
        <v>79</v>
      </c>
      <c r="G21" t="s">
        <v>79</v>
      </c>
      <c r="H21" s="23"/>
      <c r="I21" t="str">
        <f t="shared" si="2"/>
        <v>Q1.19</v>
      </c>
      <c r="J21" t="str">
        <f t="shared" si="3"/>
        <v/>
      </c>
      <c r="K21" t="str">
        <f t="shared" si="3"/>
        <v/>
      </c>
      <c r="L21" t="str">
        <f t="shared" si="3"/>
        <v/>
      </c>
      <c r="M21" t="str">
        <f t="shared" si="3"/>
        <v/>
      </c>
      <c r="N21" t="str">
        <f t="shared" si="3"/>
        <v/>
      </c>
      <c r="O21" t="str">
        <f t="shared" si="3"/>
        <v/>
      </c>
      <c r="V21" t="s">
        <v>18</v>
      </c>
    </row>
    <row r="22" spans="1:33" ht="15" thickBot="1" x14ac:dyDescent="0.35">
      <c r="A22" s="4" t="s">
        <v>94</v>
      </c>
      <c r="B22">
        <v>0.11</v>
      </c>
      <c r="C22" t="s">
        <v>79</v>
      </c>
      <c r="D22">
        <v>0.22</v>
      </c>
      <c r="E22">
        <v>-0.18</v>
      </c>
      <c r="F22">
        <v>-0.11</v>
      </c>
      <c r="G22">
        <v>-0.16</v>
      </c>
      <c r="H22" s="23"/>
      <c r="I22" t="str">
        <f t="shared" si="2"/>
        <v>Q1.20</v>
      </c>
      <c r="J22">
        <f t="shared" si="3"/>
        <v>0.11</v>
      </c>
      <c r="K22" t="str">
        <f t="shared" si="3"/>
        <v/>
      </c>
      <c r="L22">
        <f t="shared" si="3"/>
        <v>0.22</v>
      </c>
      <c r="M22">
        <f t="shared" si="3"/>
        <v>-0.18</v>
      </c>
      <c r="N22">
        <f t="shared" si="3"/>
        <v>-0.11</v>
      </c>
      <c r="O22">
        <f t="shared" si="3"/>
        <v>-0.16</v>
      </c>
      <c r="V22" t="s">
        <v>19</v>
      </c>
    </row>
    <row r="23" spans="1:33" ht="15" thickBot="1" x14ac:dyDescent="0.35">
      <c r="A23" s="4" t="s">
        <v>111</v>
      </c>
      <c r="B23" t="s">
        <v>79</v>
      </c>
      <c r="C23" t="s">
        <v>79</v>
      </c>
      <c r="D23" t="s">
        <v>79</v>
      </c>
      <c r="E23" t="s">
        <v>79</v>
      </c>
      <c r="F23">
        <v>-0.16</v>
      </c>
      <c r="G23" t="s">
        <v>79</v>
      </c>
      <c r="H23" s="23"/>
      <c r="I23" t="str">
        <f t="shared" si="2"/>
        <v>Q1.21</v>
      </c>
      <c r="J23" t="str">
        <f t="shared" si="3"/>
        <v/>
      </c>
      <c r="K23" t="str">
        <f t="shared" si="3"/>
        <v/>
      </c>
      <c r="L23" t="str">
        <f t="shared" si="3"/>
        <v/>
      </c>
      <c r="M23" t="str">
        <f t="shared" si="3"/>
        <v/>
      </c>
      <c r="N23">
        <f t="shared" si="3"/>
        <v>-0.16</v>
      </c>
      <c r="O23" t="str">
        <f t="shared" si="3"/>
        <v/>
      </c>
      <c r="V23" t="s">
        <v>20</v>
      </c>
    </row>
    <row r="24" spans="1:33" ht="15" thickBot="1" x14ac:dyDescent="0.35">
      <c r="A24" s="4" t="s">
        <v>106</v>
      </c>
      <c r="B24" t="s">
        <v>79</v>
      </c>
      <c r="C24" t="s">
        <v>79</v>
      </c>
      <c r="D24">
        <v>0.1</v>
      </c>
      <c r="E24" t="s">
        <v>79</v>
      </c>
      <c r="F24" t="s">
        <v>79</v>
      </c>
      <c r="G24" t="s">
        <v>79</v>
      </c>
      <c r="H24" s="23"/>
      <c r="I24" t="str">
        <f t="shared" si="2"/>
        <v>Q1.22</v>
      </c>
      <c r="J24" t="str">
        <f t="shared" si="3"/>
        <v/>
      </c>
      <c r="K24" t="str">
        <f t="shared" si="3"/>
        <v/>
      </c>
      <c r="L24">
        <f t="shared" si="3"/>
        <v>0.1</v>
      </c>
      <c r="M24" t="str">
        <f t="shared" si="3"/>
        <v/>
      </c>
      <c r="N24" t="str">
        <f t="shared" si="3"/>
        <v/>
      </c>
      <c r="O24" t="str">
        <f t="shared" si="3"/>
        <v/>
      </c>
      <c r="V24" t="s">
        <v>21</v>
      </c>
    </row>
    <row r="25" spans="1:33" ht="15" thickBot="1" x14ac:dyDescent="0.35">
      <c r="A25" s="4" t="s">
        <v>107</v>
      </c>
      <c r="B25" t="s">
        <v>79</v>
      </c>
      <c r="C25" t="s">
        <v>79</v>
      </c>
      <c r="D25">
        <v>0.16</v>
      </c>
      <c r="E25">
        <v>-0.17</v>
      </c>
      <c r="F25" t="s">
        <v>79</v>
      </c>
      <c r="G25">
        <v>-0.11</v>
      </c>
      <c r="H25" s="23"/>
      <c r="I25" t="str">
        <f t="shared" si="2"/>
        <v>Q1.23</v>
      </c>
      <c r="J25" t="str">
        <f t="shared" si="3"/>
        <v/>
      </c>
      <c r="K25" t="str">
        <f t="shared" si="3"/>
        <v/>
      </c>
      <c r="L25">
        <f t="shared" si="3"/>
        <v>0.16</v>
      </c>
      <c r="M25">
        <f t="shared" si="3"/>
        <v>-0.17</v>
      </c>
      <c r="N25" t="str">
        <f t="shared" si="3"/>
        <v/>
      </c>
      <c r="O25">
        <f t="shared" si="3"/>
        <v>-0.11</v>
      </c>
      <c r="V25" t="s">
        <v>22</v>
      </c>
    </row>
    <row r="26" spans="1:33" ht="15" thickBot="1" x14ac:dyDescent="0.35">
      <c r="A26" s="4" t="s">
        <v>110</v>
      </c>
      <c r="B26" t="s">
        <v>79</v>
      </c>
      <c r="C26" t="s">
        <v>79</v>
      </c>
      <c r="D26" t="s">
        <v>79</v>
      </c>
      <c r="E26" t="s">
        <v>79</v>
      </c>
      <c r="F26" t="s">
        <v>79</v>
      </c>
      <c r="G26" t="s">
        <v>79</v>
      </c>
      <c r="H26" s="23"/>
      <c r="I26" t="str">
        <f t="shared" si="2"/>
        <v>Q1.24</v>
      </c>
      <c r="J26" t="str">
        <f t="shared" si="3"/>
        <v/>
      </c>
      <c r="K26" t="str">
        <f t="shared" si="3"/>
        <v/>
      </c>
      <c r="L26" t="str">
        <f t="shared" si="3"/>
        <v/>
      </c>
      <c r="M26" t="str">
        <f t="shared" si="3"/>
        <v/>
      </c>
      <c r="N26" t="str">
        <f t="shared" si="3"/>
        <v/>
      </c>
      <c r="O26" t="str">
        <f t="shared" si="3"/>
        <v/>
      </c>
      <c r="V26" t="s">
        <v>23</v>
      </c>
    </row>
    <row r="27" spans="1:33" ht="15" thickBot="1" x14ac:dyDescent="0.35">
      <c r="A27" s="4" t="s">
        <v>101</v>
      </c>
      <c r="B27" t="s">
        <v>79</v>
      </c>
      <c r="C27" t="s">
        <v>79</v>
      </c>
      <c r="D27">
        <v>0.14000000000000001</v>
      </c>
      <c r="E27" t="s">
        <v>79</v>
      </c>
      <c r="F27" t="s">
        <v>79</v>
      </c>
      <c r="G27">
        <v>-0.11</v>
      </c>
      <c r="H27" s="23"/>
      <c r="I27" t="str">
        <f t="shared" si="2"/>
        <v>Q1.25</v>
      </c>
      <c r="J27" t="str">
        <f t="shared" si="3"/>
        <v/>
      </c>
      <c r="K27" t="str">
        <f t="shared" si="3"/>
        <v/>
      </c>
      <c r="L27">
        <f t="shared" si="3"/>
        <v>0.14000000000000001</v>
      </c>
      <c r="M27" t="str">
        <f t="shared" si="3"/>
        <v/>
      </c>
      <c r="N27" t="str">
        <f t="shared" si="3"/>
        <v/>
      </c>
      <c r="O27">
        <f t="shared" si="3"/>
        <v>-0.11</v>
      </c>
      <c r="V27" t="s">
        <v>24</v>
      </c>
    </row>
    <row r="28" spans="1:33" ht="15" thickBot="1" x14ac:dyDescent="0.35">
      <c r="A28" s="4" t="s">
        <v>103</v>
      </c>
      <c r="B28">
        <v>0.16</v>
      </c>
      <c r="C28" t="s">
        <v>79</v>
      </c>
      <c r="D28">
        <v>0.26</v>
      </c>
      <c r="E28">
        <v>-0.28999999999999998</v>
      </c>
      <c r="F28" t="s">
        <v>79</v>
      </c>
      <c r="G28">
        <v>-0.2</v>
      </c>
      <c r="H28" s="23"/>
      <c r="I28" t="str">
        <f t="shared" si="2"/>
        <v>Q1.26</v>
      </c>
      <c r="J28">
        <f t="shared" si="3"/>
        <v>0.16</v>
      </c>
      <c r="K28" t="str">
        <f t="shared" si="3"/>
        <v/>
      </c>
      <c r="L28">
        <f t="shared" si="3"/>
        <v>0.26</v>
      </c>
      <c r="M28">
        <f t="shared" si="3"/>
        <v>-0.28999999999999998</v>
      </c>
      <c r="N28" t="str">
        <f t="shared" si="3"/>
        <v/>
      </c>
      <c r="O28">
        <f t="shared" si="3"/>
        <v>-0.2</v>
      </c>
      <c r="V28" t="s">
        <v>25</v>
      </c>
    </row>
    <row r="29" spans="1:33" ht="15" thickBot="1" x14ac:dyDescent="0.35">
      <c r="A29" s="4" t="s">
        <v>95</v>
      </c>
      <c r="B29">
        <v>0.21</v>
      </c>
      <c r="C29">
        <v>0.15</v>
      </c>
      <c r="D29">
        <v>0.24</v>
      </c>
      <c r="E29">
        <v>-0.36</v>
      </c>
      <c r="F29">
        <v>-0.19</v>
      </c>
      <c r="G29">
        <v>-0.27</v>
      </c>
      <c r="H29" s="23"/>
      <c r="I29" t="str">
        <f t="shared" si="2"/>
        <v>Q1.27</v>
      </c>
      <c r="J29">
        <f t="shared" si="3"/>
        <v>0.21</v>
      </c>
      <c r="K29">
        <f t="shared" si="3"/>
        <v>0.15</v>
      </c>
      <c r="L29">
        <f t="shared" si="3"/>
        <v>0.24</v>
      </c>
      <c r="M29">
        <f t="shared" si="3"/>
        <v>-0.36</v>
      </c>
      <c r="N29">
        <f t="shared" si="3"/>
        <v>-0.19</v>
      </c>
      <c r="O29">
        <f t="shared" si="3"/>
        <v>-0.27</v>
      </c>
      <c r="V29" t="s">
        <v>26</v>
      </c>
    </row>
    <row r="30" spans="1:33" ht="15" thickBot="1" x14ac:dyDescent="0.35">
      <c r="A30" s="4" t="s">
        <v>92</v>
      </c>
      <c r="B30">
        <v>0.12</v>
      </c>
      <c r="C30" t="s">
        <v>79</v>
      </c>
      <c r="D30">
        <v>0.21</v>
      </c>
      <c r="E30">
        <v>-0.21</v>
      </c>
      <c r="F30">
        <v>-0.12</v>
      </c>
      <c r="G30">
        <v>-0.19</v>
      </c>
      <c r="H30" s="23"/>
      <c r="I30" t="str">
        <f t="shared" si="2"/>
        <v>Q1.28</v>
      </c>
      <c r="J30">
        <f t="shared" si="3"/>
        <v>0.12</v>
      </c>
      <c r="K30" t="str">
        <f t="shared" si="3"/>
        <v/>
      </c>
      <c r="L30">
        <f t="shared" si="3"/>
        <v>0.21</v>
      </c>
      <c r="M30">
        <f t="shared" si="3"/>
        <v>-0.21</v>
      </c>
      <c r="N30">
        <f t="shared" si="3"/>
        <v>-0.12</v>
      </c>
      <c r="O30">
        <f t="shared" si="3"/>
        <v>-0.19</v>
      </c>
      <c r="V30" t="s">
        <v>27</v>
      </c>
    </row>
    <row r="31" spans="1:33" ht="15" thickBot="1" x14ac:dyDescent="0.35">
      <c r="A31" s="4" t="s">
        <v>113</v>
      </c>
      <c r="B31" t="s">
        <v>79</v>
      </c>
      <c r="C31" t="s">
        <v>79</v>
      </c>
      <c r="D31" t="s">
        <v>79</v>
      </c>
      <c r="E31" t="s">
        <v>79</v>
      </c>
      <c r="F31" t="s">
        <v>79</v>
      </c>
      <c r="G31" t="s">
        <v>79</v>
      </c>
      <c r="H31" s="23"/>
      <c r="I31" t="str">
        <f t="shared" si="2"/>
        <v>Q1.29</v>
      </c>
      <c r="J31" t="str">
        <f t="shared" si="3"/>
        <v/>
      </c>
      <c r="K31" t="str">
        <f t="shared" si="3"/>
        <v/>
      </c>
      <c r="L31" t="str">
        <f t="shared" si="3"/>
        <v/>
      </c>
      <c r="M31" t="str">
        <f t="shared" si="3"/>
        <v/>
      </c>
      <c r="N31" t="str">
        <f t="shared" si="3"/>
        <v/>
      </c>
      <c r="O31" t="str">
        <f t="shared" si="3"/>
        <v/>
      </c>
      <c r="V31" t="s">
        <v>28</v>
      </c>
    </row>
    <row r="32" spans="1:33" ht="15" thickBot="1" x14ac:dyDescent="0.35">
      <c r="A32" s="4" t="s">
        <v>147</v>
      </c>
      <c r="B32" t="s">
        <v>79</v>
      </c>
      <c r="C32" t="s">
        <v>79</v>
      </c>
      <c r="D32" t="s">
        <v>79</v>
      </c>
      <c r="E32" t="s">
        <v>79</v>
      </c>
      <c r="F32" t="s">
        <v>79</v>
      </c>
      <c r="G32">
        <v>-0.1</v>
      </c>
      <c r="H32" s="23"/>
      <c r="I32" t="str">
        <f t="shared" si="2"/>
        <v>Q2</v>
      </c>
      <c r="J32" t="str">
        <f t="shared" si="3"/>
        <v/>
      </c>
      <c r="K32" t="str">
        <f t="shared" si="3"/>
        <v/>
      </c>
      <c r="L32" t="str">
        <f t="shared" si="3"/>
        <v/>
      </c>
      <c r="M32" t="str">
        <f t="shared" si="3"/>
        <v/>
      </c>
      <c r="N32" t="str">
        <f t="shared" si="3"/>
        <v/>
      </c>
      <c r="O32">
        <f t="shared" si="3"/>
        <v>-0.1</v>
      </c>
      <c r="V32" t="s">
        <v>206</v>
      </c>
    </row>
    <row r="33" spans="1:22" ht="15" thickBot="1" x14ac:dyDescent="0.35">
      <c r="A33" s="4" t="s">
        <v>148</v>
      </c>
      <c r="B33" t="s">
        <v>79</v>
      </c>
      <c r="C33" t="s">
        <v>79</v>
      </c>
      <c r="D33" t="s">
        <v>79</v>
      </c>
      <c r="E33" t="s">
        <v>79</v>
      </c>
      <c r="F33" t="s">
        <v>79</v>
      </c>
      <c r="G33" t="s">
        <v>79</v>
      </c>
      <c r="H33" s="23"/>
      <c r="I33" t="str">
        <f t="shared" si="2"/>
        <v>Q2.Cluster</v>
      </c>
      <c r="J33" t="str">
        <f t="shared" si="3"/>
        <v/>
      </c>
      <c r="K33" t="str">
        <f t="shared" si="3"/>
        <v/>
      </c>
      <c r="L33" t="str">
        <f t="shared" si="3"/>
        <v/>
      </c>
      <c r="M33" t="str">
        <f t="shared" si="3"/>
        <v/>
      </c>
      <c r="N33" t="str">
        <f t="shared" si="3"/>
        <v/>
      </c>
      <c r="O33" t="str">
        <f t="shared" si="3"/>
        <v/>
      </c>
      <c r="V33" t="s">
        <v>206</v>
      </c>
    </row>
    <row r="34" spans="1:22" ht="15" thickBot="1" x14ac:dyDescent="0.35">
      <c r="A34" s="4" t="s">
        <v>149</v>
      </c>
      <c r="B34" t="s">
        <v>79</v>
      </c>
      <c r="C34" t="s">
        <v>79</v>
      </c>
      <c r="D34" t="s">
        <v>79</v>
      </c>
      <c r="E34" t="s">
        <v>79</v>
      </c>
      <c r="F34" t="s">
        <v>79</v>
      </c>
      <c r="G34" t="s">
        <v>79</v>
      </c>
      <c r="H34" s="23"/>
      <c r="I34" t="str">
        <f t="shared" si="2"/>
        <v>Q3</v>
      </c>
      <c r="J34" t="str">
        <f t="shared" si="3"/>
        <v/>
      </c>
      <c r="K34" t="str">
        <f t="shared" si="3"/>
        <v/>
      </c>
      <c r="L34" t="str">
        <f t="shared" si="3"/>
        <v/>
      </c>
      <c r="M34" t="str">
        <f t="shared" si="3"/>
        <v/>
      </c>
      <c r="N34" t="str">
        <f t="shared" si="3"/>
        <v/>
      </c>
      <c r="O34" t="str">
        <f t="shared" si="3"/>
        <v/>
      </c>
      <c r="V34" t="s">
        <v>207</v>
      </c>
    </row>
    <row r="35" spans="1:22" ht="15" thickBot="1" x14ac:dyDescent="0.35">
      <c r="A35" s="4" t="s">
        <v>150</v>
      </c>
      <c r="B35" t="s">
        <v>79</v>
      </c>
      <c r="C35" t="s">
        <v>79</v>
      </c>
      <c r="D35" t="s">
        <v>79</v>
      </c>
      <c r="E35">
        <v>-0.16</v>
      </c>
      <c r="F35" t="s">
        <v>79</v>
      </c>
      <c r="G35" t="s">
        <v>79</v>
      </c>
      <c r="H35" s="23"/>
      <c r="I35" t="str">
        <f t="shared" si="2"/>
        <v>Q4</v>
      </c>
      <c r="J35" t="str">
        <f t="shared" si="3"/>
        <v/>
      </c>
      <c r="K35" t="str">
        <f t="shared" si="3"/>
        <v/>
      </c>
      <c r="L35" t="str">
        <f t="shared" si="3"/>
        <v/>
      </c>
      <c r="M35">
        <f t="shared" si="3"/>
        <v>-0.16</v>
      </c>
      <c r="N35" t="str">
        <f t="shared" si="3"/>
        <v/>
      </c>
      <c r="O35" t="str">
        <f t="shared" si="3"/>
        <v/>
      </c>
      <c r="V35" t="s">
        <v>208</v>
      </c>
    </row>
    <row r="36" spans="1:22" ht="15" thickBot="1" x14ac:dyDescent="0.35">
      <c r="A36" s="4" t="s">
        <v>151</v>
      </c>
      <c r="B36">
        <v>0.15</v>
      </c>
      <c r="C36" t="s">
        <v>79</v>
      </c>
      <c r="D36">
        <v>0.22</v>
      </c>
      <c r="E36">
        <v>-0.21</v>
      </c>
      <c r="F36">
        <v>-0.1</v>
      </c>
      <c r="G36">
        <v>-0.2</v>
      </c>
      <c r="H36" s="23"/>
      <c r="I36" t="str">
        <f t="shared" si="2"/>
        <v>Q5</v>
      </c>
      <c r="J36">
        <f t="shared" si="3"/>
        <v>0.15</v>
      </c>
      <c r="K36" t="str">
        <f t="shared" si="3"/>
        <v/>
      </c>
      <c r="L36">
        <f t="shared" si="3"/>
        <v>0.22</v>
      </c>
      <c r="M36">
        <f t="shared" si="3"/>
        <v>-0.21</v>
      </c>
      <c r="N36">
        <f t="shared" si="3"/>
        <v>-0.1</v>
      </c>
      <c r="O36">
        <f t="shared" si="3"/>
        <v>-0.2</v>
      </c>
      <c r="V36" t="s">
        <v>209</v>
      </c>
    </row>
    <row r="37" spans="1:22" ht="15" thickBot="1" x14ac:dyDescent="0.35">
      <c r="A37" s="4" t="s">
        <v>152</v>
      </c>
      <c r="B37" t="s">
        <v>79</v>
      </c>
      <c r="C37" t="s">
        <v>79</v>
      </c>
      <c r="D37" t="s">
        <v>79</v>
      </c>
      <c r="E37">
        <v>-0.1</v>
      </c>
      <c r="F37" t="s">
        <v>79</v>
      </c>
      <c r="G37" t="s">
        <v>79</v>
      </c>
      <c r="H37" s="23"/>
      <c r="I37" t="str">
        <f t="shared" si="2"/>
        <v>Q6</v>
      </c>
      <c r="J37" t="str">
        <f t="shared" si="3"/>
        <v/>
      </c>
      <c r="K37" t="str">
        <f t="shared" si="3"/>
        <v/>
      </c>
      <c r="L37" t="str">
        <f t="shared" si="3"/>
        <v/>
      </c>
      <c r="M37">
        <f t="shared" si="3"/>
        <v>-0.1</v>
      </c>
      <c r="N37" t="str">
        <f t="shared" si="3"/>
        <v/>
      </c>
      <c r="O37" t="str">
        <f t="shared" si="3"/>
        <v/>
      </c>
      <c r="V37" t="s">
        <v>210</v>
      </c>
    </row>
    <row r="38" spans="1:22" ht="15" thickBot="1" x14ac:dyDescent="0.35">
      <c r="A38" s="4" t="s">
        <v>153</v>
      </c>
      <c r="B38" t="s">
        <v>79</v>
      </c>
      <c r="C38" t="s">
        <v>79</v>
      </c>
      <c r="D38" t="s">
        <v>79</v>
      </c>
      <c r="E38" t="s">
        <v>79</v>
      </c>
      <c r="F38" t="s">
        <v>79</v>
      </c>
      <c r="G38" t="s">
        <v>79</v>
      </c>
      <c r="H38" s="23"/>
      <c r="I38" t="str">
        <f t="shared" si="2"/>
        <v>Q7.1</v>
      </c>
      <c r="J38" t="str">
        <f t="shared" si="3"/>
        <v/>
      </c>
      <c r="K38" t="str">
        <f t="shared" si="3"/>
        <v/>
      </c>
      <c r="L38" t="str">
        <f t="shared" si="3"/>
        <v/>
      </c>
      <c r="M38" t="str">
        <f t="shared" si="3"/>
        <v/>
      </c>
      <c r="N38" t="str">
        <f t="shared" si="3"/>
        <v/>
      </c>
      <c r="O38" t="str">
        <f t="shared" si="3"/>
        <v/>
      </c>
      <c r="V38" t="s">
        <v>211</v>
      </c>
    </row>
    <row r="39" spans="1:22" ht="15" thickBot="1" x14ac:dyDescent="0.35">
      <c r="A39" s="4" t="s">
        <v>154</v>
      </c>
      <c r="B39" t="s">
        <v>79</v>
      </c>
      <c r="C39" t="s">
        <v>79</v>
      </c>
      <c r="D39" t="s">
        <v>79</v>
      </c>
      <c r="E39" t="s">
        <v>79</v>
      </c>
      <c r="F39" t="s">
        <v>79</v>
      </c>
      <c r="G39" t="s">
        <v>79</v>
      </c>
      <c r="H39" s="23"/>
      <c r="I39" t="str">
        <f t="shared" si="2"/>
        <v>Q7.2</v>
      </c>
      <c r="J39" t="str">
        <f t="shared" si="3"/>
        <v/>
      </c>
      <c r="K39" t="str">
        <f t="shared" si="3"/>
        <v/>
      </c>
      <c r="L39" t="str">
        <f t="shared" si="3"/>
        <v/>
      </c>
      <c r="M39" t="str">
        <f t="shared" si="3"/>
        <v/>
      </c>
      <c r="N39" t="str">
        <f t="shared" si="3"/>
        <v/>
      </c>
      <c r="O39" t="str">
        <f t="shared" si="3"/>
        <v/>
      </c>
      <c r="V39" t="s">
        <v>212</v>
      </c>
    </row>
    <row r="40" spans="1:22" ht="15" thickBot="1" x14ac:dyDescent="0.35">
      <c r="A40" s="4" t="s">
        <v>155</v>
      </c>
      <c r="B40" t="s">
        <v>79</v>
      </c>
      <c r="C40" t="s">
        <v>79</v>
      </c>
      <c r="D40" t="s">
        <v>79</v>
      </c>
      <c r="E40" t="s">
        <v>79</v>
      </c>
      <c r="F40" t="s">
        <v>79</v>
      </c>
      <c r="G40" t="s">
        <v>79</v>
      </c>
      <c r="H40" s="23"/>
      <c r="I40" t="str">
        <f t="shared" si="2"/>
        <v>Q7.3</v>
      </c>
      <c r="J40" t="str">
        <f t="shared" si="3"/>
        <v/>
      </c>
      <c r="K40" t="str">
        <f t="shared" si="3"/>
        <v/>
      </c>
      <c r="L40" t="str">
        <f t="shared" si="3"/>
        <v/>
      </c>
      <c r="M40" t="str">
        <f t="shared" si="3"/>
        <v/>
      </c>
      <c r="N40" t="str">
        <f t="shared" si="3"/>
        <v/>
      </c>
      <c r="O40" t="str">
        <f t="shared" si="3"/>
        <v/>
      </c>
      <c r="V40" t="s">
        <v>213</v>
      </c>
    </row>
    <row r="41" spans="1:22" ht="15" thickBot="1" x14ac:dyDescent="0.35">
      <c r="A41" s="4" t="s">
        <v>156</v>
      </c>
      <c r="B41" t="s">
        <v>79</v>
      </c>
      <c r="C41" t="s">
        <v>79</v>
      </c>
      <c r="D41" t="s">
        <v>79</v>
      </c>
      <c r="E41" t="s">
        <v>79</v>
      </c>
      <c r="F41" t="s">
        <v>79</v>
      </c>
      <c r="G41" t="s">
        <v>79</v>
      </c>
      <c r="H41" s="23"/>
      <c r="I41" t="str">
        <f t="shared" si="2"/>
        <v>Q7.4</v>
      </c>
      <c r="J41" t="str">
        <f t="shared" si="3"/>
        <v/>
      </c>
      <c r="K41" t="str">
        <f t="shared" si="3"/>
        <v/>
      </c>
      <c r="L41" t="str">
        <f t="shared" si="3"/>
        <v/>
      </c>
      <c r="M41" t="str">
        <f t="shared" si="3"/>
        <v/>
      </c>
      <c r="N41" t="str">
        <f t="shared" si="3"/>
        <v/>
      </c>
      <c r="O41" t="str">
        <f t="shared" si="3"/>
        <v/>
      </c>
      <c r="V41" t="s">
        <v>214</v>
      </c>
    </row>
    <row r="42" spans="1:22" ht="15" thickBot="1" x14ac:dyDescent="0.35">
      <c r="A42" s="4" t="s">
        <v>157</v>
      </c>
      <c r="B42" t="s">
        <v>79</v>
      </c>
      <c r="C42">
        <v>0.11</v>
      </c>
      <c r="D42" t="s">
        <v>79</v>
      </c>
      <c r="E42" t="s">
        <v>79</v>
      </c>
      <c r="F42" t="s">
        <v>79</v>
      </c>
      <c r="G42" t="s">
        <v>79</v>
      </c>
      <c r="H42" s="23"/>
      <c r="I42" t="str">
        <f t="shared" si="2"/>
        <v>Q8</v>
      </c>
      <c r="J42" t="str">
        <f t="shared" si="3"/>
        <v/>
      </c>
      <c r="K42">
        <f t="shared" si="3"/>
        <v>0.11</v>
      </c>
      <c r="L42" t="str">
        <f t="shared" si="3"/>
        <v/>
      </c>
      <c r="M42" t="str">
        <f t="shared" si="3"/>
        <v/>
      </c>
      <c r="N42" t="str">
        <f t="shared" si="3"/>
        <v/>
      </c>
      <c r="O42" t="str">
        <f t="shared" si="3"/>
        <v/>
      </c>
      <c r="V42" t="s">
        <v>215</v>
      </c>
    </row>
    <row r="43" spans="1:22" ht="15" thickBot="1" x14ac:dyDescent="0.35">
      <c r="A43" s="4" t="s">
        <v>158</v>
      </c>
      <c r="B43" t="s">
        <v>79</v>
      </c>
      <c r="C43" t="s">
        <v>79</v>
      </c>
      <c r="D43" t="s">
        <v>79</v>
      </c>
      <c r="E43" t="s">
        <v>79</v>
      </c>
      <c r="F43" t="s">
        <v>79</v>
      </c>
      <c r="G43" t="s">
        <v>79</v>
      </c>
      <c r="H43" s="23"/>
      <c r="I43" t="str">
        <f t="shared" si="2"/>
        <v>Q9.1</v>
      </c>
      <c r="J43" t="str">
        <f t="shared" si="3"/>
        <v/>
      </c>
      <c r="K43" t="str">
        <f t="shared" si="3"/>
        <v/>
      </c>
      <c r="L43" t="str">
        <f t="shared" si="3"/>
        <v/>
      </c>
      <c r="M43" t="str">
        <f t="shared" si="3"/>
        <v/>
      </c>
      <c r="N43" t="str">
        <f t="shared" si="3"/>
        <v/>
      </c>
      <c r="O43" t="str">
        <f t="shared" si="3"/>
        <v/>
      </c>
      <c r="V43" t="s">
        <v>216</v>
      </c>
    </row>
    <row r="44" spans="1:22" ht="15" thickBot="1" x14ac:dyDescent="0.35">
      <c r="A44" s="4" t="s">
        <v>159</v>
      </c>
      <c r="B44" t="s">
        <v>79</v>
      </c>
      <c r="C44" t="s">
        <v>79</v>
      </c>
      <c r="D44" t="s">
        <v>79</v>
      </c>
      <c r="E44">
        <v>-0.1</v>
      </c>
      <c r="F44" t="s">
        <v>79</v>
      </c>
      <c r="G44" t="s">
        <v>79</v>
      </c>
      <c r="H44" s="23"/>
      <c r="I44" t="str">
        <f t="shared" si="2"/>
        <v>Q9.2</v>
      </c>
      <c r="J44" t="str">
        <f t="shared" si="3"/>
        <v/>
      </c>
      <c r="K44" t="str">
        <f t="shared" si="3"/>
        <v/>
      </c>
      <c r="L44" t="str">
        <f t="shared" si="3"/>
        <v/>
      </c>
      <c r="M44">
        <f t="shared" si="3"/>
        <v>-0.1</v>
      </c>
      <c r="N44" t="str">
        <f t="shared" si="3"/>
        <v/>
      </c>
      <c r="O44" t="str">
        <f t="shared" si="3"/>
        <v/>
      </c>
      <c r="V44" t="s">
        <v>217</v>
      </c>
    </row>
    <row r="45" spans="1:22" ht="15" thickBot="1" x14ac:dyDescent="0.35">
      <c r="A45" s="4" t="s">
        <v>160</v>
      </c>
      <c r="B45" t="s">
        <v>79</v>
      </c>
      <c r="C45" t="s">
        <v>79</v>
      </c>
      <c r="D45" t="s">
        <v>79</v>
      </c>
      <c r="E45">
        <v>-0.12</v>
      </c>
      <c r="F45" t="s">
        <v>79</v>
      </c>
      <c r="G45" t="s">
        <v>79</v>
      </c>
      <c r="H45" s="23"/>
      <c r="I45" t="str">
        <f t="shared" si="2"/>
        <v>Q9.3</v>
      </c>
      <c r="J45" t="str">
        <f t="shared" si="3"/>
        <v/>
      </c>
      <c r="K45" t="str">
        <f t="shared" si="3"/>
        <v/>
      </c>
      <c r="L45" t="str">
        <f t="shared" si="3"/>
        <v/>
      </c>
      <c r="M45">
        <f t="shared" si="3"/>
        <v>-0.12</v>
      </c>
      <c r="N45" t="str">
        <f t="shared" si="3"/>
        <v/>
      </c>
      <c r="O45" t="str">
        <f t="shared" si="3"/>
        <v/>
      </c>
      <c r="V45" t="s">
        <v>218</v>
      </c>
    </row>
    <row r="46" spans="1:22" ht="15" thickBot="1" x14ac:dyDescent="0.35">
      <c r="A46" s="4" t="s">
        <v>161</v>
      </c>
      <c r="B46" t="s">
        <v>79</v>
      </c>
      <c r="C46" t="s">
        <v>79</v>
      </c>
      <c r="D46">
        <v>0.12</v>
      </c>
      <c r="E46">
        <v>-0.13</v>
      </c>
      <c r="F46" t="s">
        <v>79</v>
      </c>
      <c r="G46" t="s">
        <v>79</v>
      </c>
      <c r="H46" s="23"/>
      <c r="I46" t="str">
        <f t="shared" si="2"/>
        <v>Q9.4</v>
      </c>
      <c r="J46" t="str">
        <f t="shared" si="3"/>
        <v/>
      </c>
      <c r="K46" t="str">
        <f t="shared" si="3"/>
        <v/>
      </c>
      <c r="L46">
        <f t="shared" si="3"/>
        <v>0.12</v>
      </c>
      <c r="M46">
        <f t="shared" si="3"/>
        <v>-0.13</v>
      </c>
      <c r="N46" t="str">
        <f t="shared" si="3"/>
        <v/>
      </c>
      <c r="O46" t="str">
        <f t="shared" si="3"/>
        <v/>
      </c>
      <c r="V46" t="s">
        <v>219</v>
      </c>
    </row>
    <row r="47" spans="1:22" ht="15" thickBot="1" x14ac:dyDescent="0.35">
      <c r="A47" s="4" t="s">
        <v>162</v>
      </c>
      <c r="B47" t="s">
        <v>79</v>
      </c>
      <c r="C47" t="s">
        <v>79</v>
      </c>
      <c r="D47" t="s">
        <v>79</v>
      </c>
      <c r="E47">
        <v>-0.17</v>
      </c>
      <c r="F47" t="s">
        <v>79</v>
      </c>
      <c r="G47" t="s">
        <v>79</v>
      </c>
      <c r="H47" s="23"/>
      <c r="I47" t="str">
        <f t="shared" si="2"/>
        <v>Q9.5</v>
      </c>
      <c r="J47" t="str">
        <f t="shared" si="3"/>
        <v/>
      </c>
      <c r="K47" t="str">
        <f t="shared" si="3"/>
        <v/>
      </c>
      <c r="L47" t="str">
        <f t="shared" si="3"/>
        <v/>
      </c>
      <c r="M47">
        <f t="shared" si="3"/>
        <v>-0.17</v>
      </c>
      <c r="N47" t="str">
        <f t="shared" si="3"/>
        <v/>
      </c>
      <c r="O47" t="str">
        <f t="shared" si="3"/>
        <v/>
      </c>
      <c r="V47" t="s">
        <v>220</v>
      </c>
    </row>
    <row r="48" spans="1:22" ht="15" thickBot="1" x14ac:dyDescent="0.35">
      <c r="A48" s="4" t="s">
        <v>163</v>
      </c>
      <c r="B48" t="s">
        <v>79</v>
      </c>
      <c r="C48">
        <v>0.15</v>
      </c>
      <c r="D48" t="s">
        <v>79</v>
      </c>
      <c r="E48" t="s">
        <v>79</v>
      </c>
      <c r="F48">
        <v>-0.13</v>
      </c>
      <c r="G48" t="s">
        <v>79</v>
      </c>
      <c r="H48" s="23"/>
      <c r="I48" t="str">
        <f t="shared" si="2"/>
        <v>Q10</v>
      </c>
      <c r="J48" t="str">
        <f t="shared" si="3"/>
        <v/>
      </c>
      <c r="K48">
        <f t="shared" si="3"/>
        <v>0.15</v>
      </c>
      <c r="L48" t="str">
        <f t="shared" si="3"/>
        <v/>
      </c>
      <c r="M48" t="str">
        <f t="shared" si="3"/>
        <v/>
      </c>
      <c r="N48">
        <f t="shared" si="3"/>
        <v>-0.13</v>
      </c>
      <c r="O48" t="str">
        <f t="shared" si="3"/>
        <v/>
      </c>
      <c r="V48" t="s">
        <v>221</v>
      </c>
    </row>
    <row r="49" spans="1:22" ht="15" thickBot="1" x14ac:dyDescent="0.35">
      <c r="A49" s="4" t="s">
        <v>164</v>
      </c>
      <c r="B49" t="s">
        <v>79</v>
      </c>
      <c r="C49" t="s">
        <v>79</v>
      </c>
      <c r="D49" t="s">
        <v>79</v>
      </c>
      <c r="E49" t="s">
        <v>79</v>
      </c>
      <c r="F49" t="s">
        <v>79</v>
      </c>
      <c r="G49" t="s">
        <v>79</v>
      </c>
      <c r="H49" s="23"/>
      <c r="I49" t="str">
        <f t="shared" si="2"/>
        <v>Q11</v>
      </c>
      <c r="J49" t="str">
        <f t="shared" si="3"/>
        <v/>
      </c>
      <c r="K49" t="str">
        <f t="shared" si="3"/>
        <v/>
      </c>
      <c r="L49" t="str">
        <f t="shared" si="3"/>
        <v/>
      </c>
      <c r="M49" t="str">
        <f t="shared" si="3"/>
        <v/>
      </c>
      <c r="N49" t="str">
        <f t="shared" si="3"/>
        <v/>
      </c>
      <c r="O49" t="str">
        <f t="shared" si="3"/>
        <v/>
      </c>
    </row>
    <row r="50" spans="1:22" ht="15" thickBot="1" x14ac:dyDescent="0.35">
      <c r="A50" s="4" t="s">
        <v>165</v>
      </c>
      <c r="B50" t="s">
        <v>79</v>
      </c>
      <c r="C50" t="s">
        <v>79</v>
      </c>
      <c r="D50" t="s">
        <v>79</v>
      </c>
      <c r="E50" t="s">
        <v>79</v>
      </c>
      <c r="F50" t="s">
        <v>79</v>
      </c>
      <c r="G50" t="s">
        <v>79</v>
      </c>
      <c r="H50" s="23"/>
      <c r="I50" t="str">
        <f t="shared" si="2"/>
        <v>Q12</v>
      </c>
      <c r="J50" t="str">
        <f t="shared" si="3"/>
        <v/>
      </c>
      <c r="K50" t="str">
        <f t="shared" si="3"/>
        <v/>
      </c>
      <c r="L50" t="str">
        <f t="shared" si="3"/>
        <v/>
      </c>
      <c r="M50" t="str">
        <f t="shared" si="3"/>
        <v/>
      </c>
      <c r="N50" t="str">
        <f t="shared" si="3"/>
        <v/>
      </c>
      <c r="O50" t="str">
        <f t="shared" si="3"/>
        <v/>
      </c>
      <c r="V50" t="s">
        <v>233</v>
      </c>
    </row>
    <row r="51" spans="1:22" ht="15" thickBot="1" x14ac:dyDescent="0.35">
      <c r="A51" s="4" t="s">
        <v>166</v>
      </c>
      <c r="B51" t="s">
        <v>79</v>
      </c>
      <c r="C51" t="s">
        <v>79</v>
      </c>
      <c r="D51">
        <v>0.11</v>
      </c>
      <c r="E51" t="s">
        <v>79</v>
      </c>
      <c r="F51" t="s">
        <v>79</v>
      </c>
      <c r="G51" t="s">
        <v>79</v>
      </c>
      <c r="H51" s="23"/>
      <c r="I51" t="str">
        <f t="shared" si="2"/>
        <v>Q13</v>
      </c>
      <c r="J51" t="str">
        <f t="shared" si="3"/>
        <v/>
      </c>
      <c r="K51" t="str">
        <f t="shared" si="3"/>
        <v/>
      </c>
      <c r="L51">
        <f t="shared" si="3"/>
        <v>0.11</v>
      </c>
      <c r="M51" t="str">
        <f t="shared" si="3"/>
        <v/>
      </c>
      <c r="N51" t="str">
        <f t="shared" si="3"/>
        <v/>
      </c>
      <c r="O51" t="str">
        <f t="shared" si="3"/>
        <v/>
      </c>
      <c r="V51" t="s">
        <v>222</v>
      </c>
    </row>
    <row r="52" spans="1:22" ht="15" thickBot="1" x14ac:dyDescent="0.35">
      <c r="A52" s="4" t="s">
        <v>167</v>
      </c>
      <c r="B52">
        <v>-0.1</v>
      </c>
      <c r="C52">
        <v>0.12</v>
      </c>
      <c r="D52">
        <v>-0.19</v>
      </c>
      <c r="E52">
        <v>0.13</v>
      </c>
      <c r="F52" t="s">
        <v>79</v>
      </c>
      <c r="G52">
        <v>0.12</v>
      </c>
      <c r="H52" s="23"/>
      <c r="I52" t="str">
        <f t="shared" si="2"/>
        <v>Q14</v>
      </c>
      <c r="J52">
        <f t="shared" si="3"/>
        <v>-0.1</v>
      </c>
      <c r="K52">
        <f t="shared" si="3"/>
        <v>0.12</v>
      </c>
      <c r="L52">
        <f t="shared" si="3"/>
        <v>-0.19</v>
      </c>
      <c r="M52">
        <f t="shared" si="3"/>
        <v>0.13</v>
      </c>
      <c r="N52" t="str">
        <f t="shared" si="3"/>
        <v/>
      </c>
      <c r="O52">
        <f t="shared" si="3"/>
        <v>0.12</v>
      </c>
      <c r="V52" t="s">
        <v>223</v>
      </c>
    </row>
    <row r="53" spans="1:22" ht="15" thickBot="1" x14ac:dyDescent="0.35">
      <c r="A53" s="4" t="s">
        <v>168</v>
      </c>
      <c r="B53" t="s">
        <v>79</v>
      </c>
      <c r="C53">
        <v>0.11</v>
      </c>
      <c r="D53">
        <v>-0.18</v>
      </c>
      <c r="E53">
        <v>0.13</v>
      </c>
      <c r="F53" t="s">
        <v>79</v>
      </c>
      <c r="G53">
        <v>0.11</v>
      </c>
      <c r="H53" s="23"/>
      <c r="I53" t="str">
        <f t="shared" si="2"/>
        <v>Q15</v>
      </c>
      <c r="J53" t="str">
        <f t="shared" si="3"/>
        <v/>
      </c>
      <c r="K53">
        <f t="shared" si="3"/>
        <v>0.11</v>
      </c>
      <c r="L53">
        <f t="shared" si="3"/>
        <v>-0.18</v>
      </c>
      <c r="M53">
        <f t="shared" si="3"/>
        <v>0.13</v>
      </c>
      <c r="N53" t="str">
        <f t="shared" si="3"/>
        <v/>
      </c>
      <c r="O53">
        <f t="shared" si="3"/>
        <v>0.11</v>
      </c>
      <c r="V53" t="s">
        <v>224</v>
      </c>
    </row>
    <row r="54" spans="1:22" ht="15" thickBot="1" x14ac:dyDescent="0.35">
      <c r="A54" s="4" t="s">
        <v>169</v>
      </c>
      <c r="B54" t="s">
        <v>79</v>
      </c>
      <c r="C54" t="s">
        <v>79</v>
      </c>
      <c r="D54" t="s">
        <v>79</v>
      </c>
      <c r="E54">
        <v>0.1</v>
      </c>
      <c r="F54" t="s">
        <v>79</v>
      </c>
      <c r="G54" t="s">
        <v>79</v>
      </c>
      <c r="H54" s="23"/>
      <c r="I54" t="str">
        <f t="shared" si="2"/>
        <v>Q16</v>
      </c>
      <c r="J54" t="str">
        <f t="shared" si="3"/>
        <v/>
      </c>
      <c r="K54" t="str">
        <f t="shared" si="3"/>
        <v/>
      </c>
      <c r="L54" t="str">
        <f t="shared" si="3"/>
        <v/>
      </c>
      <c r="M54">
        <f t="shared" si="3"/>
        <v>0.1</v>
      </c>
      <c r="N54" t="str">
        <f t="shared" si="3"/>
        <v/>
      </c>
      <c r="O54" t="str">
        <f t="shared" si="3"/>
        <v/>
      </c>
    </row>
    <row r="55" spans="1:22" ht="15" thickBot="1" x14ac:dyDescent="0.35">
      <c r="A55" s="4" t="s">
        <v>170</v>
      </c>
      <c r="B55" t="s">
        <v>79</v>
      </c>
      <c r="C55" t="s">
        <v>79</v>
      </c>
      <c r="D55">
        <v>0.1</v>
      </c>
      <c r="E55" t="s">
        <v>79</v>
      </c>
      <c r="F55" t="s">
        <v>79</v>
      </c>
      <c r="G55" t="s">
        <v>79</v>
      </c>
      <c r="H55" s="23"/>
      <c r="I55" t="str">
        <f t="shared" si="2"/>
        <v>Q16.1</v>
      </c>
      <c r="J55" t="str">
        <f t="shared" si="3"/>
        <v/>
      </c>
      <c r="K55" t="str">
        <f t="shared" si="3"/>
        <v/>
      </c>
      <c r="L55">
        <f t="shared" si="3"/>
        <v>0.1</v>
      </c>
      <c r="M55" t="str">
        <f t="shared" si="3"/>
        <v/>
      </c>
      <c r="N55" t="str">
        <f t="shared" si="3"/>
        <v/>
      </c>
      <c r="O55" t="str">
        <f t="shared" si="3"/>
        <v/>
      </c>
    </row>
    <row r="56" spans="1:22" ht="15" thickBot="1" x14ac:dyDescent="0.35">
      <c r="A56" s="4" t="s">
        <v>171</v>
      </c>
      <c r="B56" t="s">
        <v>79</v>
      </c>
      <c r="C56" t="s">
        <v>79</v>
      </c>
      <c r="D56">
        <v>0.11</v>
      </c>
      <c r="E56" t="s">
        <v>79</v>
      </c>
      <c r="F56" t="s">
        <v>79</v>
      </c>
      <c r="G56" t="s">
        <v>79</v>
      </c>
      <c r="H56" s="23"/>
      <c r="I56" t="str">
        <f t="shared" si="2"/>
        <v>Q16.2</v>
      </c>
      <c r="J56" t="str">
        <f t="shared" si="3"/>
        <v/>
      </c>
      <c r="K56" t="str">
        <f t="shared" si="3"/>
        <v/>
      </c>
      <c r="L56">
        <f t="shared" si="3"/>
        <v>0.11</v>
      </c>
      <c r="M56" t="str">
        <f t="shared" si="3"/>
        <v/>
      </c>
      <c r="N56" t="str">
        <f t="shared" si="3"/>
        <v/>
      </c>
      <c r="O56" t="str">
        <f t="shared" si="3"/>
        <v/>
      </c>
      <c r="V56" t="s">
        <v>225</v>
      </c>
    </row>
    <row r="57" spans="1:22" ht="15" thickBot="1" x14ac:dyDescent="0.35">
      <c r="A57" s="4" t="s">
        <v>172</v>
      </c>
      <c r="B57" t="s">
        <v>79</v>
      </c>
      <c r="C57" t="s">
        <v>79</v>
      </c>
      <c r="D57">
        <v>0.1</v>
      </c>
      <c r="E57" t="s">
        <v>79</v>
      </c>
      <c r="F57" t="s">
        <v>79</v>
      </c>
      <c r="G57" t="s">
        <v>79</v>
      </c>
      <c r="H57" s="23"/>
      <c r="I57" t="str">
        <f t="shared" si="2"/>
        <v>Q16.3</v>
      </c>
      <c r="J57" t="str">
        <f t="shared" si="3"/>
        <v/>
      </c>
      <c r="K57" t="str">
        <f t="shared" si="3"/>
        <v/>
      </c>
      <c r="L57">
        <f t="shared" si="3"/>
        <v>0.1</v>
      </c>
      <c r="M57" t="str">
        <f t="shared" si="3"/>
        <v/>
      </c>
      <c r="N57" t="str">
        <f t="shared" si="3"/>
        <v/>
      </c>
      <c r="O57" t="str">
        <f t="shared" si="3"/>
        <v/>
      </c>
    </row>
    <row r="58" spans="1:22" ht="15" thickBot="1" x14ac:dyDescent="0.35">
      <c r="A58" s="4" t="s">
        <v>173</v>
      </c>
      <c r="B58" t="s">
        <v>79</v>
      </c>
      <c r="C58" t="s">
        <v>79</v>
      </c>
      <c r="D58" t="s">
        <v>79</v>
      </c>
      <c r="E58" t="s">
        <v>79</v>
      </c>
      <c r="F58" t="s">
        <v>79</v>
      </c>
      <c r="G58" t="s">
        <v>79</v>
      </c>
      <c r="H58" s="23"/>
      <c r="I58" t="str">
        <f t="shared" si="2"/>
        <v>Q16.4</v>
      </c>
      <c r="J58" t="str">
        <f t="shared" si="3"/>
        <v/>
      </c>
      <c r="K58" t="str">
        <f t="shared" si="3"/>
        <v/>
      </c>
      <c r="L58" t="str">
        <f t="shared" si="3"/>
        <v/>
      </c>
      <c r="M58" t="str">
        <f t="shared" si="3"/>
        <v/>
      </c>
      <c r="N58" t="str">
        <f t="shared" si="3"/>
        <v/>
      </c>
      <c r="O58" t="str">
        <f t="shared" si="3"/>
        <v/>
      </c>
    </row>
    <row r="59" spans="1:22" ht="15" thickBot="1" x14ac:dyDescent="0.35">
      <c r="A59" s="4" t="s">
        <v>174</v>
      </c>
      <c r="B59" t="s">
        <v>79</v>
      </c>
      <c r="C59" t="s">
        <v>79</v>
      </c>
      <c r="D59" t="s">
        <v>79</v>
      </c>
      <c r="E59" t="s">
        <v>79</v>
      </c>
      <c r="F59" t="s">
        <v>79</v>
      </c>
      <c r="G59" t="s">
        <v>79</v>
      </c>
      <c r="H59" s="23"/>
      <c r="I59" t="str">
        <f t="shared" si="2"/>
        <v>Q16.5</v>
      </c>
      <c r="J59" t="str">
        <f t="shared" ref="J59:O83" si="4">IF(ISNUMBER(B59),B59,"")</f>
        <v/>
      </c>
      <c r="K59" t="str">
        <f t="shared" si="4"/>
        <v/>
      </c>
      <c r="L59" t="str">
        <f t="shared" si="4"/>
        <v/>
      </c>
      <c r="M59" t="str">
        <f t="shared" si="4"/>
        <v/>
      </c>
      <c r="N59" t="str">
        <f t="shared" si="4"/>
        <v/>
      </c>
      <c r="O59" t="str">
        <f t="shared" si="4"/>
        <v/>
      </c>
    </row>
    <row r="60" spans="1:22" ht="15" thickBot="1" x14ac:dyDescent="0.35">
      <c r="A60" s="4" t="s">
        <v>175</v>
      </c>
      <c r="B60" t="s">
        <v>79</v>
      </c>
      <c r="C60" t="s">
        <v>79</v>
      </c>
      <c r="D60" t="s">
        <v>79</v>
      </c>
      <c r="E60" t="s">
        <v>79</v>
      </c>
      <c r="F60" t="s">
        <v>79</v>
      </c>
      <c r="G60" t="s">
        <v>79</v>
      </c>
      <c r="H60" s="23"/>
      <c r="I60" t="str">
        <f t="shared" si="2"/>
        <v>Q16.6</v>
      </c>
      <c r="J60" t="str">
        <f t="shared" si="4"/>
        <v/>
      </c>
      <c r="K60" t="str">
        <f t="shared" si="4"/>
        <v/>
      </c>
      <c r="L60" t="str">
        <f t="shared" si="4"/>
        <v/>
      </c>
      <c r="M60" t="str">
        <f t="shared" si="4"/>
        <v/>
      </c>
      <c r="N60" t="str">
        <f t="shared" si="4"/>
        <v/>
      </c>
      <c r="O60" t="str">
        <f t="shared" si="4"/>
        <v/>
      </c>
    </row>
    <row r="61" spans="1:22" ht="15" thickBot="1" x14ac:dyDescent="0.35">
      <c r="A61" s="4" t="s">
        <v>176</v>
      </c>
      <c r="B61" t="s">
        <v>79</v>
      </c>
      <c r="C61" t="s">
        <v>79</v>
      </c>
      <c r="D61" t="s">
        <v>79</v>
      </c>
      <c r="E61" t="s">
        <v>79</v>
      </c>
      <c r="F61" t="s">
        <v>79</v>
      </c>
      <c r="G61" t="s">
        <v>79</v>
      </c>
      <c r="H61" s="23"/>
      <c r="I61" t="str">
        <f t="shared" si="2"/>
        <v>Q16.7</v>
      </c>
      <c r="J61" t="str">
        <f t="shared" si="4"/>
        <v/>
      </c>
      <c r="K61" t="str">
        <f t="shared" si="4"/>
        <v/>
      </c>
      <c r="L61" t="str">
        <f t="shared" si="4"/>
        <v/>
      </c>
      <c r="M61" t="str">
        <f t="shared" si="4"/>
        <v/>
      </c>
      <c r="N61" t="str">
        <f t="shared" si="4"/>
        <v/>
      </c>
      <c r="O61" t="str">
        <f t="shared" si="4"/>
        <v/>
      </c>
    </row>
    <row r="62" spans="1:22" ht="15" thickBot="1" x14ac:dyDescent="0.35">
      <c r="A62" s="4" t="s">
        <v>177</v>
      </c>
      <c r="B62" t="s">
        <v>79</v>
      </c>
      <c r="C62" t="s">
        <v>79</v>
      </c>
      <c r="D62" t="s">
        <v>79</v>
      </c>
      <c r="E62" t="s">
        <v>79</v>
      </c>
      <c r="F62" t="s">
        <v>79</v>
      </c>
      <c r="G62" t="s">
        <v>79</v>
      </c>
      <c r="H62" s="23"/>
      <c r="I62" t="str">
        <f t="shared" si="2"/>
        <v>Q16.8</v>
      </c>
      <c r="J62" t="str">
        <f t="shared" si="4"/>
        <v/>
      </c>
      <c r="K62" t="str">
        <f t="shared" si="4"/>
        <v/>
      </c>
      <c r="L62" t="str">
        <f t="shared" si="4"/>
        <v/>
      </c>
      <c r="M62" t="str">
        <f t="shared" si="4"/>
        <v/>
      </c>
      <c r="N62" t="str">
        <f t="shared" si="4"/>
        <v/>
      </c>
      <c r="O62" t="str">
        <f t="shared" si="4"/>
        <v/>
      </c>
    </row>
    <row r="63" spans="1:22" ht="15" thickBot="1" x14ac:dyDescent="0.35">
      <c r="A63" s="4" t="s">
        <v>178</v>
      </c>
      <c r="B63" t="s">
        <v>79</v>
      </c>
      <c r="C63" t="s">
        <v>79</v>
      </c>
      <c r="D63" t="s">
        <v>79</v>
      </c>
      <c r="E63" t="s">
        <v>79</v>
      </c>
      <c r="F63" t="s">
        <v>79</v>
      </c>
      <c r="G63" t="s">
        <v>79</v>
      </c>
      <c r="H63" s="23"/>
      <c r="I63" t="str">
        <f t="shared" si="2"/>
        <v>Q16.9</v>
      </c>
      <c r="J63" t="str">
        <f t="shared" si="4"/>
        <v/>
      </c>
      <c r="K63" t="str">
        <f t="shared" si="4"/>
        <v/>
      </c>
      <c r="L63" t="str">
        <f t="shared" si="4"/>
        <v/>
      </c>
      <c r="M63" t="str">
        <f t="shared" si="4"/>
        <v/>
      </c>
      <c r="N63" t="str">
        <f t="shared" si="4"/>
        <v/>
      </c>
      <c r="O63" t="str">
        <f t="shared" si="4"/>
        <v/>
      </c>
    </row>
    <row r="64" spans="1:22" ht="15" thickBot="1" x14ac:dyDescent="0.35">
      <c r="A64" s="4" t="s">
        <v>179</v>
      </c>
      <c r="B64" t="s">
        <v>79</v>
      </c>
      <c r="C64" t="s">
        <v>79</v>
      </c>
      <c r="D64" t="s">
        <v>79</v>
      </c>
      <c r="E64" t="s">
        <v>79</v>
      </c>
      <c r="F64" t="s">
        <v>79</v>
      </c>
      <c r="G64" t="s">
        <v>79</v>
      </c>
      <c r="H64" s="23"/>
      <c r="I64" t="str">
        <f t="shared" si="2"/>
        <v>Q16.10</v>
      </c>
      <c r="J64" t="str">
        <f t="shared" si="4"/>
        <v/>
      </c>
      <c r="K64" t="str">
        <f t="shared" si="4"/>
        <v/>
      </c>
      <c r="L64" t="str">
        <f t="shared" si="4"/>
        <v/>
      </c>
      <c r="M64" t="str">
        <f t="shared" si="4"/>
        <v/>
      </c>
      <c r="N64" t="str">
        <f t="shared" si="4"/>
        <v/>
      </c>
      <c r="O64" t="str">
        <f t="shared" si="4"/>
        <v/>
      </c>
    </row>
    <row r="65" spans="1:22" ht="15" thickBot="1" x14ac:dyDescent="0.35">
      <c r="A65" s="4" t="s">
        <v>180</v>
      </c>
      <c r="B65" t="s">
        <v>79</v>
      </c>
      <c r="C65" t="s">
        <v>79</v>
      </c>
      <c r="D65">
        <v>0.1</v>
      </c>
      <c r="E65" t="s">
        <v>79</v>
      </c>
      <c r="F65" t="s">
        <v>79</v>
      </c>
      <c r="G65" t="s">
        <v>79</v>
      </c>
      <c r="H65" s="23"/>
      <c r="I65" t="str">
        <f t="shared" si="2"/>
        <v>Q16.11</v>
      </c>
      <c r="J65" t="str">
        <f t="shared" si="4"/>
        <v/>
      </c>
      <c r="K65" t="str">
        <f t="shared" si="4"/>
        <v/>
      </c>
      <c r="L65">
        <f t="shared" si="4"/>
        <v>0.1</v>
      </c>
      <c r="M65" t="str">
        <f t="shared" si="4"/>
        <v/>
      </c>
      <c r="N65" t="str">
        <f t="shared" si="4"/>
        <v/>
      </c>
      <c r="O65" t="str">
        <f t="shared" si="4"/>
        <v/>
      </c>
    </row>
    <row r="66" spans="1:22" ht="15" thickBot="1" x14ac:dyDescent="0.35">
      <c r="A66" s="4" t="s">
        <v>181</v>
      </c>
      <c r="B66" t="s">
        <v>79</v>
      </c>
      <c r="C66" t="s">
        <v>79</v>
      </c>
      <c r="D66" t="s">
        <v>79</v>
      </c>
      <c r="E66" t="s">
        <v>79</v>
      </c>
      <c r="F66" t="s">
        <v>79</v>
      </c>
      <c r="G66" t="s">
        <v>79</v>
      </c>
      <c r="H66" s="23"/>
      <c r="I66" t="str">
        <f t="shared" si="2"/>
        <v>Q16.12</v>
      </c>
      <c r="J66" t="str">
        <f t="shared" si="4"/>
        <v/>
      </c>
      <c r="K66" t="str">
        <f t="shared" si="4"/>
        <v/>
      </c>
      <c r="L66" t="str">
        <f t="shared" si="4"/>
        <v/>
      </c>
      <c r="M66" t="str">
        <f t="shared" si="4"/>
        <v/>
      </c>
      <c r="N66" t="str">
        <f t="shared" si="4"/>
        <v/>
      </c>
      <c r="O66" t="str">
        <f t="shared" si="4"/>
        <v/>
      </c>
    </row>
    <row r="67" spans="1:22" ht="15" thickBot="1" x14ac:dyDescent="0.35">
      <c r="A67" s="4" t="s">
        <v>182</v>
      </c>
      <c r="B67" t="s">
        <v>79</v>
      </c>
      <c r="C67" t="s">
        <v>79</v>
      </c>
      <c r="D67">
        <v>0.12</v>
      </c>
      <c r="E67" t="s">
        <v>79</v>
      </c>
      <c r="F67" t="s">
        <v>79</v>
      </c>
      <c r="G67" t="s">
        <v>79</v>
      </c>
      <c r="H67" s="23"/>
      <c r="I67" t="str">
        <f t="shared" si="2"/>
        <v>Q16.13</v>
      </c>
      <c r="J67" t="str">
        <f t="shared" si="4"/>
        <v/>
      </c>
      <c r="K67" t="str">
        <f t="shared" si="4"/>
        <v/>
      </c>
      <c r="L67">
        <f t="shared" si="4"/>
        <v>0.12</v>
      </c>
      <c r="M67" t="str">
        <f t="shared" si="4"/>
        <v/>
      </c>
      <c r="N67" t="str">
        <f t="shared" si="4"/>
        <v/>
      </c>
      <c r="O67" t="str">
        <f t="shared" si="4"/>
        <v/>
      </c>
      <c r="V67" t="s">
        <v>226</v>
      </c>
    </row>
    <row r="68" spans="1:22" ht="15" thickBot="1" x14ac:dyDescent="0.35">
      <c r="A68" s="4" t="s">
        <v>183</v>
      </c>
      <c r="B68" t="s">
        <v>79</v>
      </c>
      <c r="C68" t="s">
        <v>79</v>
      </c>
      <c r="D68">
        <v>0.1</v>
      </c>
      <c r="E68" t="s">
        <v>79</v>
      </c>
      <c r="F68" t="s">
        <v>79</v>
      </c>
      <c r="G68" t="s">
        <v>79</v>
      </c>
      <c r="H68" s="23"/>
      <c r="I68" t="str">
        <f t="shared" ref="I68:I83" si="5">A68</f>
        <v>Q16.14</v>
      </c>
      <c r="J68" t="str">
        <f t="shared" si="4"/>
        <v/>
      </c>
      <c r="K68" t="str">
        <f t="shared" si="4"/>
        <v/>
      </c>
      <c r="L68">
        <f t="shared" si="4"/>
        <v>0.1</v>
      </c>
      <c r="M68" t="str">
        <f t="shared" si="4"/>
        <v/>
      </c>
      <c r="N68" t="str">
        <f t="shared" si="4"/>
        <v/>
      </c>
      <c r="O68" t="str">
        <f t="shared" si="4"/>
        <v/>
      </c>
      <c r="V68" t="s">
        <v>227</v>
      </c>
    </row>
    <row r="69" spans="1:22" ht="15" thickBot="1" x14ac:dyDescent="0.35">
      <c r="A69" s="4" t="s">
        <v>184</v>
      </c>
      <c r="B69" t="s">
        <v>79</v>
      </c>
      <c r="C69" t="s">
        <v>79</v>
      </c>
      <c r="D69" t="s">
        <v>79</v>
      </c>
      <c r="E69" t="s">
        <v>79</v>
      </c>
      <c r="F69" t="s">
        <v>79</v>
      </c>
      <c r="G69" t="s">
        <v>79</v>
      </c>
      <c r="H69" s="23"/>
      <c r="I69" t="str">
        <f t="shared" si="5"/>
        <v>Q16.15</v>
      </c>
      <c r="J69" t="str">
        <f t="shared" si="4"/>
        <v/>
      </c>
      <c r="K69" t="str">
        <f t="shared" si="4"/>
        <v/>
      </c>
      <c r="L69" t="str">
        <f t="shared" si="4"/>
        <v/>
      </c>
      <c r="M69" t="str">
        <f t="shared" si="4"/>
        <v/>
      </c>
      <c r="N69" t="str">
        <f t="shared" si="4"/>
        <v/>
      </c>
      <c r="O69" t="str">
        <f t="shared" si="4"/>
        <v/>
      </c>
    </row>
    <row r="70" spans="1:22" ht="15" thickBot="1" x14ac:dyDescent="0.35">
      <c r="A70" s="4" t="s">
        <v>185</v>
      </c>
      <c r="B70" t="s">
        <v>79</v>
      </c>
      <c r="C70" t="s">
        <v>79</v>
      </c>
      <c r="D70">
        <v>0.11</v>
      </c>
      <c r="E70" t="s">
        <v>79</v>
      </c>
      <c r="F70" t="s">
        <v>79</v>
      </c>
      <c r="G70" t="s">
        <v>79</v>
      </c>
      <c r="H70" s="23"/>
      <c r="I70" t="str">
        <f t="shared" si="5"/>
        <v>Q16.16</v>
      </c>
      <c r="J70" t="str">
        <f t="shared" si="4"/>
        <v/>
      </c>
      <c r="K70" t="str">
        <f t="shared" si="4"/>
        <v/>
      </c>
      <c r="L70">
        <f t="shared" si="4"/>
        <v>0.11</v>
      </c>
      <c r="M70" t="str">
        <f t="shared" si="4"/>
        <v/>
      </c>
      <c r="N70" t="str">
        <f t="shared" si="4"/>
        <v/>
      </c>
      <c r="O70" t="str">
        <f t="shared" si="4"/>
        <v/>
      </c>
      <c r="V70" t="s">
        <v>228</v>
      </c>
    </row>
    <row r="71" spans="1:22" ht="15" thickBot="1" x14ac:dyDescent="0.35">
      <c r="A71" s="4" t="s">
        <v>186</v>
      </c>
      <c r="B71" t="s">
        <v>79</v>
      </c>
      <c r="C71" t="s">
        <v>79</v>
      </c>
      <c r="D71" t="s">
        <v>79</v>
      </c>
      <c r="E71" t="s">
        <v>79</v>
      </c>
      <c r="F71" t="s">
        <v>79</v>
      </c>
      <c r="G71" t="s">
        <v>79</v>
      </c>
      <c r="H71" s="23"/>
      <c r="I71" t="str">
        <f t="shared" si="5"/>
        <v>Q16.17</v>
      </c>
      <c r="J71" t="str">
        <f t="shared" si="4"/>
        <v/>
      </c>
      <c r="K71" t="str">
        <f t="shared" si="4"/>
        <v/>
      </c>
      <c r="L71" t="str">
        <f t="shared" si="4"/>
        <v/>
      </c>
      <c r="M71" t="str">
        <f t="shared" si="4"/>
        <v/>
      </c>
      <c r="N71" t="str">
        <f t="shared" si="4"/>
        <v/>
      </c>
      <c r="O71" t="str">
        <f t="shared" si="4"/>
        <v/>
      </c>
    </row>
    <row r="72" spans="1:22" ht="15" thickBot="1" x14ac:dyDescent="0.35">
      <c r="A72" s="4" t="s">
        <v>187</v>
      </c>
      <c r="B72" t="s">
        <v>79</v>
      </c>
      <c r="C72" t="s">
        <v>79</v>
      </c>
      <c r="D72" t="s">
        <v>79</v>
      </c>
      <c r="E72" t="s">
        <v>79</v>
      </c>
      <c r="F72" t="s">
        <v>79</v>
      </c>
      <c r="G72" t="s">
        <v>79</v>
      </c>
      <c r="H72" s="23"/>
      <c r="I72" t="str">
        <f t="shared" si="5"/>
        <v>Q16.18</v>
      </c>
      <c r="J72" t="str">
        <f t="shared" si="4"/>
        <v/>
      </c>
      <c r="K72" t="str">
        <f t="shared" si="4"/>
        <v/>
      </c>
      <c r="L72" t="str">
        <f t="shared" si="4"/>
        <v/>
      </c>
      <c r="M72" t="str">
        <f t="shared" si="4"/>
        <v/>
      </c>
      <c r="N72" t="str">
        <f t="shared" si="4"/>
        <v/>
      </c>
      <c r="O72" t="str">
        <f t="shared" si="4"/>
        <v/>
      </c>
    </row>
    <row r="73" spans="1:22" ht="15" thickBot="1" x14ac:dyDescent="0.35">
      <c r="A73" s="4" t="s">
        <v>188</v>
      </c>
      <c r="B73" t="s">
        <v>79</v>
      </c>
      <c r="C73" t="s">
        <v>79</v>
      </c>
      <c r="D73" t="s">
        <v>79</v>
      </c>
      <c r="E73" t="s">
        <v>79</v>
      </c>
      <c r="F73" t="s">
        <v>79</v>
      </c>
      <c r="G73" t="s">
        <v>79</v>
      </c>
      <c r="H73" s="23"/>
      <c r="I73" t="str">
        <f t="shared" si="5"/>
        <v>Q16.19</v>
      </c>
      <c r="J73" t="str">
        <f t="shared" si="4"/>
        <v/>
      </c>
      <c r="K73" t="str">
        <f t="shared" si="4"/>
        <v/>
      </c>
      <c r="L73" t="str">
        <f t="shared" si="4"/>
        <v/>
      </c>
      <c r="M73" t="str">
        <f t="shared" si="4"/>
        <v/>
      </c>
      <c r="N73" t="str">
        <f t="shared" si="4"/>
        <v/>
      </c>
      <c r="O73" t="str">
        <f t="shared" si="4"/>
        <v/>
      </c>
    </row>
    <row r="74" spans="1:22" ht="15" thickBot="1" x14ac:dyDescent="0.35">
      <c r="A74" s="4" t="s">
        <v>189</v>
      </c>
      <c r="B74" t="s">
        <v>79</v>
      </c>
      <c r="C74" t="s">
        <v>79</v>
      </c>
      <c r="D74" t="s">
        <v>79</v>
      </c>
      <c r="E74" t="s">
        <v>79</v>
      </c>
      <c r="F74" t="s">
        <v>79</v>
      </c>
      <c r="G74" t="s">
        <v>79</v>
      </c>
      <c r="H74" s="23"/>
      <c r="I74" t="str">
        <f t="shared" si="5"/>
        <v>Q16.20</v>
      </c>
      <c r="J74" t="str">
        <f t="shared" si="4"/>
        <v/>
      </c>
      <c r="K74" t="str">
        <f t="shared" si="4"/>
        <v/>
      </c>
      <c r="L74" t="str">
        <f t="shared" si="4"/>
        <v/>
      </c>
      <c r="M74" t="str">
        <f t="shared" si="4"/>
        <v/>
      </c>
      <c r="N74" t="str">
        <f t="shared" si="4"/>
        <v/>
      </c>
      <c r="O74" t="str">
        <f t="shared" si="4"/>
        <v/>
      </c>
    </row>
    <row r="75" spans="1:22" ht="15" thickBot="1" x14ac:dyDescent="0.35">
      <c r="A75" s="4" t="s">
        <v>190</v>
      </c>
      <c r="B75" t="s">
        <v>79</v>
      </c>
      <c r="C75" t="s">
        <v>79</v>
      </c>
      <c r="D75" t="s">
        <v>79</v>
      </c>
      <c r="E75" t="s">
        <v>79</v>
      </c>
      <c r="F75" t="s">
        <v>79</v>
      </c>
      <c r="G75" t="s">
        <v>79</v>
      </c>
      <c r="H75" s="23"/>
      <c r="I75" t="str">
        <f t="shared" si="5"/>
        <v>Q16.21</v>
      </c>
      <c r="J75" t="str">
        <f t="shared" si="4"/>
        <v/>
      </c>
      <c r="K75" t="str">
        <f t="shared" si="4"/>
        <v/>
      </c>
      <c r="L75" t="str">
        <f t="shared" si="4"/>
        <v/>
      </c>
      <c r="M75" t="str">
        <f t="shared" si="4"/>
        <v/>
      </c>
      <c r="N75" t="str">
        <f t="shared" si="4"/>
        <v/>
      </c>
      <c r="O75" t="str">
        <f t="shared" si="4"/>
        <v/>
      </c>
    </row>
    <row r="76" spans="1:22" ht="15" thickBot="1" x14ac:dyDescent="0.35">
      <c r="A76" s="4" t="s">
        <v>191</v>
      </c>
      <c r="B76" t="s">
        <v>79</v>
      </c>
      <c r="C76" t="s">
        <v>79</v>
      </c>
      <c r="D76" t="s">
        <v>79</v>
      </c>
      <c r="E76" t="s">
        <v>79</v>
      </c>
      <c r="F76" t="s">
        <v>79</v>
      </c>
      <c r="G76" t="s">
        <v>79</v>
      </c>
      <c r="H76" s="23"/>
      <c r="I76" t="str">
        <f t="shared" si="5"/>
        <v>Q16.22</v>
      </c>
      <c r="J76" t="str">
        <f t="shared" si="4"/>
        <v/>
      </c>
      <c r="K76" t="str">
        <f t="shared" si="4"/>
        <v/>
      </c>
      <c r="L76" t="str">
        <f t="shared" si="4"/>
        <v/>
      </c>
      <c r="M76" t="str">
        <f t="shared" si="4"/>
        <v/>
      </c>
      <c r="N76" t="str">
        <f t="shared" si="4"/>
        <v/>
      </c>
      <c r="O76" t="str">
        <f t="shared" si="4"/>
        <v/>
      </c>
    </row>
    <row r="77" spans="1:22" ht="15" thickBot="1" x14ac:dyDescent="0.35">
      <c r="A77" s="4" t="s">
        <v>192</v>
      </c>
      <c r="B77" t="s">
        <v>79</v>
      </c>
      <c r="C77" t="s">
        <v>79</v>
      </c>
      <c r="D77" t="s">
        <v>79</v>
      </c>
      <c r="E77" t="s">
        <v>79</v>
      </c>
      <c r="F77" t="s">
        <v>79</v>
      </c>
      <c r="G77" t="s">
        <v>79</v>
      </c>
      <c r="H77" s="23"/>
      <c r="I77" t="str">
        <f t="shared" si="5"/>
        <v>Q16.23</v>
      </c>
      <c r="J77" t="str">
        <f t="shared" si="4"/>
        <v/>
      </c>
      <c r="K77" t="str">
        <f t="shared" si="4"/>
        <v/>
      </c>
      <c r="L77" t="str">
        <f t="shared" si="4"/>
        <v/>
      </c>
      <c r="M77" t="str">
        <f t="shared" si="4"/>
        <v/>
      </c>
      <c r="N77" t="str">
        <f t="shared" si="4"/>
        <v/>
      </c>
      <c r="O77" t="str">
        <f t="shared" si="4"/>
        <v/>
      </c>
    </row>
    <row r="78" spans="1:22" ht="15" thickBot="1" x14ac:dyDescent="0.35">
      <c r="A78" s="4" t="s">
        <v>193</v>
      </c>
      <c r="B78" t="s">
        <v>79</v>
      </c>
      <c r="C78" t="s">
        <v>79</v>
      </c>
      <c r="D78">
        <v>0.1</v>
      </c>
      <c r="E78" t="s">
        <v>79</v>
      </c>
      <c r="F78" t="s">
        <v>79</v>
      </c>
      <c r="G78" t="s">
        <v>79</v>
      </c>
      <c r="H78" s="23"/>
      <c r="I78" t="str">
        <f t="shared" si="5"/>
        <v>Q16.24</v>
      </c>
      <c r="J78" t="str">
        <f t="shared" si="4"/>
        <v/>
      </c>
      <c r="K78" t="str">
        <f t="shared" si="4"/>
        <v/>
      </c>
      <c r="L78">
        <f t="shared" si="4"/>
        <v>0.1</v>
      </c>
      <c r="M78" t="str">
        <f t="shared" si="4"/>
        <v/>
      </c>
      <c r="N78" t="str">
        <f t="shared" si="4"/>
        <v/>
      </c>
      <c r="O78" t="str">
        <f t="shared" si="4"/>
        <v/>
      </c>
    </row>
    <row r="79" spans="1:22" ht="15" thickBot="1" x14ac:dyDescent="0.35">
      <c r="A79" s="4" t="s">
        <v>194</v>
      </c>
      <c r="B79" t="s">
        <v>79</v>
      </c>
      <c r="C79" t="s">
        <v>79</v>
      </c>
      <c r="D79">
        <v>0.11</v>
      </c>
      <c r="E79" t="s">
        <v>79</v>
      </c>
      <c r="F79" t="s">
        <v>79</v>
      </c>
      <c r="G79" t="s">
        <v>79</v>
      </c>
      <c r="H79" s="23"/>
      <c r="I79" t="str">
        <f t="shared" si="5"/>
        <v>Q16.25</v>
      </c>
      <c r="J79" t="str">
        <f t="shared" si="4"/>
        <v/>
      </c>
      <c r="K79" t="str">
        <f t="shared" si="4"/>
        <v/>
      </c>
      <c r="L79">
        <f t="shared" si="4"/>
        <v>0.11</v>
      </c>
      <c r="M79" t="str">
        <f t="shared" si="4"/>
        <v/>
      </c>
      <c r="N79" t="str">
        <f t="shared" si="4"/>
        <v/>
      </c>
      <c r="O79" t="str">
        <f t="shared" si="4"/>
        <v/>
      </c>
      <c r="V79" t="s">
        <v>229</v>
      </c>
    </row>
    <row r="80" spans="1:22" ht="15" thickBot="1" x14ac:dyDescent="0.35">
      <c r="A80" s="4" t="s">
        <v>195</v>
      </c>
      <c r="B80" t="s">
        <v>79</v>
      </c>
      <c r="C80" t="s">
        <v>79</v>
      </c>
      <c r="D80" t="s">
        <v>79</v>
      </c>
      <c r="E80" t="s">
        <v>79</v>
      </c>
      <c r="F80" t="s">
        <v>79</v>
      </c>
      <c r="G80" t="s">
        <v>79</v>
      </c>
      <c r="H80" s="23"/>
      <c r="I80" t="str">
        <f t="shared" si="5"/>
        <v>Q16.26</v>
      </c>
      <c r="J80" t="str">
        <f t="shared" si="4"/>
        <v/>
      </c>
      <c r="K80" t="str">
        <f t="shared" si="4"/>
        <v/>
      </c>
      <c r="L80" t="str">
        <f t="shared" si="4"/>
        <v/>
      </c>
      <c r="M80" t="str">
        <f t="shared" si="4"/>
        <v/>
      </c>
      <c r="N80" t="str">
        <f t="shared" si="4"/>
        <v/>
      </c>
      <c r="O80" t="str">
        <f t="shared" si="4"/>
        <v/>
      </c>
    </row>
    <row r="81" spans="1:22" ht="15" thickBot="1" x14ac:dyDescent="0.35">
      <c r="A81" s="4" t="s">
        <v>196</v>
      </c>
      <c r="B81" t="s">
        <v>79</v>
      </c>
      <c r="C81" t="s">
        <v>79</v>
      </c>
      <c r="D81">
        <v>0.12</v>
      </c>
      <c r="E81" t="s">
        <v>79</v>
      </c>
      <c r="F81" t="s">
        <v>79</v>
      </c>
      <c r="G81" t="s">
        <v>79</v>
      </c>
      <c r="H81" s="23"/>
      <c r="I81" t="str">
        <f t="shared" si="5"/>
        <v>Q16.27</v>
      </c>
      <c r="J81" t="str">
        <f t="shared" si="4"/>
        <v/>
      </c>
      <c r="K81" t="str">
        <f t="shared" si="4"/>
        <v/>
      </c>
      <c r="L81">
        <f t="shared" si="4"/>
        <v>0.12</v>
      </c>
      <c r="M81" t="str">
        <f t="shared" si="4"/>
        <v/>
      </c>
      <c r="N81" t="str">
        <f t="shared" si="4"/>
        <v/>
      </c>
      <c r="O81" t="str">
        <f t="shared" si="4"/>
        <v/>
      </c>
      <c r="V81" t="s">
        <v>230</v>
      </c>
    </row>
    <row r="82" spans="1:22" ht="15" thickBot="1" x14ac:dyDescent="0.35">
      <c r="A82" s="4" t="s">
        <v>197</v>
      </c>
      <c r="B82">
        <v>0.13</v>
      </c>
      <c r="C82">
        <v>0.1</v>
      </c>
      <c r="D82">
        <v>0.34</v>
      </c>
      <c r="E82" t="s">
        <v>79</v>
      </c>
      <c r="F82">
        <v>-0.28000000000000003</v>
      </c>
      <c r="G82">
        <v>-0.18</v>
      </c>
      <c r="H82" s="23"/>
      <c r="I82" t="str">
        <f t="shared" si="5"/>
        <v>Q17</v>
      </c>
      <c r="J82">
        <f t="shared" si="4"/>
        <v>0.13</v>
      </c>
      <c r="K82">
        <f t="shared" si="4"/>
        <v>0.1</v>
      </c>
      <c r="L82">
        <f t="shared" si="4"/>
        <v>0.34</v>
      </c>
      <c r="M82" t="str">
        <f t="shared" si="4"/>
        <v/>
      </c>
      <c r="N82">
        <f t="shared" si="4"/>
        <v>-0.28000000000000003</v>
      </c>
      <c r="O82">
        <f t="shared" si="4"/>
        <v>-0.18</v>
      </c>
      <c r="V82" t="s">
        <v>231</v>
      </c>
    </row>
    <row r="83" spans="1:22" ht="15" thickBot="1" x14ac:dyDescent="0.35">
      <c r="A83" s="4" t="s">
        <v>198</v>
      </c>
      <c r="B83">
        <v>-0.11</v>
      </c>
      <c r="C83" t="s">
        <v>79</v>
      </c>
      <c r="D83">
        <v>-0.13</v>
      </c>
      <c r="E83">
        <v>0.12</v>
      </c>
      <c r="F83">
        <v>0.1</v>
      </c>
      <c r="G83">
        <v>0.18</v>
      </c>
      <c r="H83" s="23"/>
      <c r="I83" t="str">
        <f t="shared" si="5"/>
        <v>Q18</v>
      </c>
      <c r="J83">
        <f t="shared" si="4"/>
        <v>-0.11</v>
      </c>
      <c r="K83" t="str">
        <f t="shared" si="4"/>
        <v/>
      </c>
      <c r="L83">
        <f t="shared" si="4"/>
        <v>-0.13</v>
      </c>
      <c r="M83">
        <f t="shared" si="4"/>
        <v>0.12</v>
      </c>
      <c r="N83">
        <f t="shared" si="4"/>
        <v>0.1</v>
      </c>
      <c r="O83">
        <f t="shared" si="4"/>
        <v>0.18</v>
      </c>
      <c r="V83" t="s">
        <v>232</v>
      </c>
    </row>
  </sheetData>
  <conditionalFormatting sqref="J3:J83">
    <cfRule type="colorScale" priority="3">
      <colorScale>
        <cfvo type="min"/>
        <cfvo type="percentile" val="50"/>
        <cfvo type="max"/>
        <color rgb="FFF8696B"/>
        <color rgb="FFFFEB84"/>
        <color rgb="FF63BE7B"/>
      </colorScale>
    </cfRule>
  </conditionalFormatting>
  <conditionalFormatting sqref="P3:U83">
    <cfRule type="colorScale" priority="2">
      <colorScale>
        <cfvo type="min"/>
        <cfvo type="percentile" val="50"/>
        <cfvo type="max"/>
        <color rgb="FFF8696B"/>
        <color rgb="FFFFEB84"/>
        <color rgb="FF63BE7B"/>
      </colorScale>
    </cfRule>
  </conditionalFormatting>
  <conditionalFormatting sqref="K3:O83">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D7292-09D9-4AA8-85F5-D6CB3B579F8C}">
  <dimension ref="A1:AG83"/>
  <sheetViews>
    <sheetView workbookViewId="0">
      <selection activeCell="O2" sqref="O2"/>
    </sheetView>
  </sheetViews>
  <sheetFormatPr defaultRowHeight="14.4" x14ac:dyDescent="0.3"/>
  <cols>
    <col min="1" max="1" width="16.77734375" bestFit="1" customWidth="1"/>
    <col min="11" max="15" width="8.88671875" customWidth="1"/>
    <col min="16" max="21" width="8.88671875" hidden="1" customWidth="1"/>
  </cols>
  <sheetData>
    <row r="1" spans="1:33" ht="21" x14ac:dyDescent="0.4">
      <c r="A1" s="25" t="s">
        <v>291</v>
      </c>
      <c r="B1" s="15" t="s">
        <v>205</v>
      </c>
      <c r="H1" s="25"/>
      <c r="J1" s="15" t="s">
        <v>205</v>
      </c>
    </row>
    <row r="2" spans="1:33" x14ac:dyDescent="0.3">
      <c r="B2" s="12" t="s">
        <v>199</v>
      </c>
      <c r="C2" s="12" t="s">
        <v>200</v>
      </c>
      <c r="D2" s="12" t="s">
        <v>201</v>
      </c>
      <c r="E2" s="12" t="s">
        <v>202</v>
      </c>
      <c r="F2" s="12" t="s">
        <v>203</v>
      </c>
      <c r="G2" s="12" t="s">
        <v>204</v>
      </c>
      <c r="H2" s="12"/>
      <c r="J2" s="12" t="s">
        <v>292</v>
      </c>
      <c r="K2" s="12" t="s">
        <v>297</v>
      </c>
      <c r="L2" s="12" t="s">
        <v>296</v>
      </c>
      <c r="M2" s="12" t="s">
        <v>293</v>
      </c>
      <c r="N2" s="12" t="s">
        <v>295</v>
      </c>
      <c r="O2" s="12" t="s">
        <v>294</v>
      </c>
      <c r="P2" s="12" t="str">
        <f>J2</f>
        <v>Status non enthusiast</v>
      </c>
      <c r="Q2" s="12" t="str">
        <f t="shared" ref="Q2:U2" si="0">K2</f>
        <v>A bit status</v>
      </c>
      <c r="R2" s="12" t="str">
        <f t="shared" si="0"/>
        <v>Antistatus enthusiasts</v>
      </c>
      <c r="S2" s="12" t="str">
        <f t="shared" si="0"/>
        <v>Status enthusiast younger</v>
      </c>
      <c r="T2" s="12" t="str">
        <f t="shared" si="0"/>
        <v>Cheapo antistatus guy</v>
      </c>
      <c r="U2" s="12" t="str">
        <f t="shared" si="0"/>
        <v>Antistatus older guys</v>
      </c>
      <c r="AD2" s="12" t="s">
        <v>241</v>
      </c>
    </row>
    <row r="3" spans="1:33" ht="15" thickBot="1" x14ac:dyDescent="0.35">
      <c r="A3" s="4" t="s">
        <v>115</v>
      </c>
      <c r="B3" t="s">
        <v>79</v>
      </c>
      <c r="C3" t="s">
        <v>79</v>
      </c>
      <c r="D3" t="s">
        <v>79</v>
      </c>
      <c r="E3" t="s">
        <v>79</v>
      </c>
      <c r="F3" t="s">
        <v>79</v>
      </c>
      <c r="G3" t="s">
        <v>79</v>
      </c>
      <c r="H3" s="23"/>
      <c r="I3" t="str">
        <f>A3</f>
        <v>Q1.1</v>
      </c>
      <c r="J3" t="str">
        <f>IF(ISNUMBER(B3),B3,"")</f>
        <v/>
      </c>
      <c r="K3" t="str">
        <f t="shared" ref="K3:O18" si="1">IF(ISNUMBER(C3),C3,"")</f>
        <v/>
      </c>
      <c r="L3" t="str">
        <f t="shared" si="1"/>
        <v/>
      </c>
      <c r="M3" t="str">
        <f t="shared" si="1"/>
        <v/>
      </c>
      <c r="N3" t="str">
        <f t="shared" si="1"/>
        <v/>
      </c>
      <c r="O3" t="str">
        <f t="shared" si="1"/>
        <v/>
      </c>
      <c r="V3" t="s">
        <v>0</v>
      </c>
      <c r="AD3" t="s">
        <v>234</v>
      </c>
    </row>
    <row r="4" spans="1:33" ht="15" thickBot="1" x14ac:dyDescent="0.35">
      <c r="A4" s="4" t="s">
        <v>119</v>
      </c>
      <c r="B4" t="s">
        <v>79</v>
      </c>
      <c r="C4" t="s">
        <v>79</v>
      </c>
      <c r="D4" t="s">
        <v>79</v>
      </c>
      <c r="E4">
        <v>0.1</v>
      </c>
      <c r="F4">
        <v>0.12</v>
      </c>
      <c r="G4" t="s">
        <v>79</v>
      </c>
      <c r="H4" s="23"/>
      <c r="I4" t="str">
        <f t="shared" ref="I4:I67" si="2">A4</f>
        <v>Q1.2</v>
      </c>
      <c r="J4" t="str">
        <f t="shared" ref="J4:O58" si="3">IF(ISNUMBER(B4),B4,"")</f>
        <v/>
      </c>
      <c r="K4" t="str">
        <f t="shared" si="1"/>
        <v/>
      </c>
      <c r="L4" t="str">
        <f t="shared" si="1"/>
        <v/>
      </c>
      <c r="M4">
        <f t="shared" si="1"/>
        <v>0.1</v>
      </c>
      <c r="N4">
        <f t="shared" si="1"/>
        <v>0.12</v>
      </c>
      <c r="O4" t="str">
        <f t="shared" si="1"/>
        <v/>
      </c>
      <c r="V4" t="s">
        <v>1</v>
      </c>
      <c r="AD4" t="s">
        <v>235</v>
      </c>
    </row>
    <row r="5" spans="1:33" ht="15" thickBot="1" x14ac:dyDescent="0.35">
      <c r="A5" s="4" t="s">
        <v>96</v>
      </c>
      <c r="B5">
        <v>0.15</v>
      </c>
      <c r="C5" t="s">
        <v>79</v>
      </c>
      <c r="D5" t="s">
        <v>79</v>
      </c>
      <c r="E5">
        <v>0.31</v>
      </c>
      <c r="F5">
        <v>-0.14000000000000001</v>
      </c>
      <c r="G5">
        <v>-0.22</v>
      </c>
      <c r="H5" s="23"/>
      <c r="I5" t="str">
        <f t="shared" si="2"/>
        <v>Q1.3</v>
      </c>
      <c r="J5">
        <f t="shared" si="3"/>
        <v>0.15</v>
      </c>
      <c r="K5" t="str">
        <f t="shared" si="1"/>
        <v/>
      </c>
      <c r="L5" t="str">
        <f t="shared" si="1"/>
        <v/>
      </c>
      <c r="M5">
        <f t="shared" si="1"/>
        <v>0.31</v>
      </c>
      <c r="N5">
        <f t="shared" si="1"/>
        <v>-0.14000000000000001</v>
      </c>
      <c r="O5">
        <f t="shared" si="1"/>
        <v>-0.22</v>
      </c>
      <c r="V5" t="s">
        <v>2</v>
      </c>
      <c r="AD5" t="s">
        <v>236</v>
      </c>
    </row>
    <row r="6" spans="1:33" ht="15" thickBot="1" x14ac:dyDescent="0.35">
      <c r="A6" s="4" t="s">
        <v>114</v>
      </c>
      <c r="B6" t="s">
        <v>79</v>
      </c>
      <c r="C6" t="s">
        <v>79</v>
      </c>
      <c r="D6">
        <v>0.1</v>
      </c>
      <c r="E6">
        <v>0.11</v>
      </c>
      <c r="F6">
        <v>-0.32</v>
      </c>
      <c r="G6" t="s">
        <v>79</v>
      </c>
      <c r="H6" s="23"/>
      <c r="I6" t="str">
        <f t="shared" si="2"/>
        <v>Q1.4</v>
      </c>
      <c r="J6" t="str">
        <f t="shared" si="3"/>
        <v/>
      </c>
      <c r="K6" t="str">
        <f t="shared" si="1"/>
        <v/>
      </c>
      <c r="L6">
        <f t="shared" si="1"/>
        <v>0.1</v>
      </c>
      <c r="M6">
        <f t="shared" si="1"/>
        <v>0.11</v>
      </c>
      <c r="N6">
        <f t="shared" si="1"/>
        <v>-0.32</v>
      </c>
      <c r="O6" t="str">
        <f t="shared" si="1"/>
        <v/>
      </c>
      <c r="V6" t="s">
        <v>3</v>
      </c>
      <c r="AD6" t="s">
        <v>237</v>
      </c>
    </row>
    <row r="7" spans="1:33" ht="15" thickBot="1" x14ac:dyDescent="0.35">
      <c r="A7" s="4" t="s">
        <v>108</v>
      </c>
      <c r="B7" t="s">
        <v>79</v>
      </c>
      <c r="C7" t="s">
        <v>79</v>
      </c>
      <c r="D7" t="s">
        <v>79</v>
      </c>
      <c r="E7">
        <v>0.17</v>
      </c>
      <c r="F7">
        <v>-0.15</v>
      </c>
      <c r="G7" t="s">
        <v>79</v>
      </c>
      <c r="H7" s="23"/>
      <c r="I7" t="str">
        <f t="shared" si="2"/>
        <v>Q1.5</v>
      </c>
      <c r="J7" t="str">
        <f t="shared" si="3"/>
        <v/>
      </c>
      <c r="K7" t="str">
        <f t="shared" si="1"/>
        <v/>
      </c>
      <c r="L7" t="str">
        <f t="shared" si="1"/>
        <v/>
      </c>
      <c r="M7">
        <f t="shared" si="1"/>
        <v>0.17</v>
      </c>
      <c r="N7">
        <f t="shared" si="1"/>
        <v>-0.15</v>
      </c>
      <c r="O7" t="str">
        <f t="shared" si="1"/>
        <v/>
      </c>
      <c r="V7" t="s">
        <v>4</v>
      </c>
      <c r="AD7" t="s">
        <v>238</v>
      </c>
    </row>
    <row r="8" spans="1:33" ht="15" thickBot="1" x14ac:dyDescent="0.35">
      <c r="A8" s="4" t="s">
        <v>102</v>
      </c>
      <c r="B8" t="s">
        <v>79</v>
      </c>
      <c r="C8" t="s">
        <v>79</v>
      </c>
      <c r="D8" t="s">
        <v>79</v>
      </c>
      <c r="E8">
        <v>0.15</v>
      </c>
      <c r="F8" t="s">
        <v>79</v>
      </c>
      <c r="G8">
        <v>-0.11</v>
      </c>
      <c r="H8" s="23"/>
      <c r="I8" t="str">
        <f t="shared" si="2"/>
        <v>Q1.6</v>
      </c>
      <c r="J8" t="str">
        <f t="shared" si="3"/>
        <v/>
      </c>
      <c r="K8" t="str">
        <f t="shared" si="1"/>
        <v/>
      </c>
      <c r="L8" t="str">
        <f t="shared" si="1"/>
        <v/>
      </c>
      <c r="M8">
        <f t="shared" si="1"/>
        <v>0.15</v>
      </c>
      <c r="N8" t="str">
        <f t="shared" si="1"/>
        <v/>
      </c>
      <c r="O8">
        <f t="shared" si="1"/>
        <v>-0.11</v>
      </c>
      <c r="V8" t="s">
        <v>5</v>
      </c>
      <c r="AD8" t="s">
        <v>239</v>
      </c>
    </row>
    <row r="9" spans="1:33" ht="15" thickBot="1" x14ac:dyDescent="0.35">
      <c r="A9" s="4" t="s">
        <v>97</v>
      </c>
      <c r="B9">
        <v>0.1</v>
      </c>
      <c r="C9" t="s">
        <v>79</v>
      </c>
      <c r="D9" t="s">
        <v>79</v>
      </c>
      <c r="E9">
        <v>0.19</v>
      </c>
      <c r="F9" t="s">
        <v>79</v>
      </c>
      <c r="G9">
        <v>-0.16</v>
      </c>
      <c r="H9" s="23"/>
      <c r="I9" t="str">
        <f t="shared" si="2"/>
        <v>Q1.7</v>
      </c>
      <c r="J9">
        <f t="shared" si="3"/>
        <v>0.1</v>
      </c>
      <c r="K9" t="str">
        <f t="shared" si="1"/>
        <v/>
      </c>
      <c r="L9" t="str">
        <f t="shared" si="1"/>
        <v/>
      </c>
      <c r="M9">
        <f t="shared" si="1"/>
        <v>0.19</v>
      </c>
      <c r="N9" t="str">
        <f t="shared" si="1"/>
        <v/>
      </c>
      <c r="O9">
        <f t="shared" si="1"/>
        <v>-0.16</v>
      </c>
      <c r="V9" t="s">
        <v>6</v>
      </c>
      <c r="AD9" t="s">
        <v>240</v>
      </c>
    </row>
    <row r="10" spans="1:33" ht="15" thickBot="1" x14ac:dyDescent="0.35">
      <c r="A10" s="4" t="s">
        <v>118</v>
      </c>
      <c r="B10">
        <v>-0.25</v>
      </c>
      <c r="C10" t="s">
        <v>79</v>
      </c>
      <c r="D10" t="s">
        <v>79</v>
      </c>
      <c r="E10" t="s">
        <v>79</v>
      </c>
      <c r="F10" t="s">
        <v>79</v>
      </c>
      <c r="G10" t="s">
        <v>79</v>
      </c>
      <c r="H10" s="23"/>
      <c r="I10" t="str">
        <f t="shared" si="2"/>
        <v>Q1.8</v>
      </c>
      <c r="J10">
        <f t="shared" si="3"/>
        <v>-0.25</v>
      </c>
      <c r="K10" t="str">
        <f t="shared" si="1"/>
        <v/>
      </c>
      <c r="L10" t="str">
        <f t="shared" si="1"/>
        <v/>
      </c>
      <c r="M10" t="str">
        <f t="shared" si="1"/>
        <v/>
      </c>
      <c r="N10" t="str">
        <f t="shared" si="1"/>
        <v/>
      </c>
      <c r="O10" t="str">
        <f t="shared" si="1"/>
        <v/>
      </c>
      <c r="V10" t="s">
        <v>7</v>
      </c>
    </row>
    <row r="11" spans="1:33" ht="15" thickBot="1" x14ac:dyDescent="0.35">
      <c r="A11" s="4" t="s">
        <v>104</v>
      </c>
      <c r="B11">
        <v>0.31</v>
      </c>
      <c r="C11">
        <v>0.14000000000000001</v>
      </c>
      <c r="D11">
        <v>-0.23</v>
      </c>
      <c r="E11">
        <v>0.44</v>
      </c>
      <c r="F11">
        <v>-0.14000000000000001</v>
      </c>
      <c r="G11">
        <v>-0.39</v>
      </c>
      <c r="H11" s="23"/>
      <c r="I11" t="str">
        <f t="shared" si="2"/>
        <v>Q1.9</v>
      </c>
      <c r="J11">
        <f t="shared" si="3"/>
        <v>0.31</v>
      </c>
      <c r="K11">
        <f t="shared" si="1"/>
        <v>0.14000000000000001</v>
      </c>
      <c r="L11">
        <f t="shared" si="1"/>
        <v>-0.23</v>
      </c>
      <c r="M11">
        <f t="shared" si="1"/>
        <v>0.44</v>
      </c>
      <c r="N11">
        <f t="shared" si="1"/>
        <v>-0.14000000000000001</v>
      </c>
      <c r="O11">
        <f t="shared" si="1"/>
        <v>-0.39</v>
      </c>
      <c r="V11" t="s">
        <v>8</v>
      </c>
      <c r="AG11" s="12" t="s">
        <v>244</v>
      </c>
    </row>
    <row r="12" spans="1:33" ht="15" thickBot="1" x14ac:dyDescent="0.35">
      <c r="A12" s="4" t="s">
        <v>117</v>
      </c>
      <c r="B12" t="s">
        <v>79</v>
      </c>
      <c r="C12" t="s">
        <v>79</v>
      </c>
      <c r="D12" t="s">
        <v>79</v>
      </c>
      <c r="E12" t="s">
        <v>79</v>
      </c>
      <c r="F12" t="s">
        <v>79</v>
      </c>
      <c r="G12" t="s">
        <v>79</v>
      </c>
      <c r="H12" s="23"/>
      <c r="I12" t="str">
        <f t="shared" si="2"/>
        <v>Q1.10</v>
      </c>
      <c r="J12" t="str">
        <f t="shared" si="3"/>
        <v/>
      </c>
      <c r="K12" t="str">
        <f t="shared" si="1"/>
        <v/>
      </c>
      <c r="L12" t="str">
        <f t="shared" si="1"/>
        <v/>
      </c>
      <c r="M12" t="str">
        <f t="shared" si="1"/>
        <v/>
      </c>
      <c r="N12" t="str">
        <f t="shared" si="1"/>
        <v/>
      </c>
      <c r="O12" t="str">
        <f t="shared" si="1"/>
        <v/>
      </c>
      <c r="V12" t="s">
        <v>9</v>
      </c>
      <c r="AD12">
        <v>21</v>
      </c>
      <c r="AE12" s="24" t="s">
        <v>20</v>
      </c>
      <c r="AG12" t="s">
        <v>128</v>
      </c>
    </row>
    <row r="13" spans="1:33" ht="15" thickBot="1" x14ac:dyDescent="0.35">
      <c r="A13" s="4" t="s">
        <v>116</v>
      </c>
      <c r="B13" t="s">
        <v>79</v>
      </c>
      <c r="C13" t="s">
        <v>79</v>
      </c>
      <c r="D13" t="s">
        <v>79</v>
      </c>
      <c r="E13">
        <v>0.11</v>
      </c>
      <c r="F13" t="s">
        <v>79</v>
      </c>
      <c r="G13" t="s">
        <v>79</v>
      </c>
      <c r="H13" s="23"/>
      <c r="I13" t="str">
        <f t="shared" si="2"/>
        <v>Q1.11</v>
      </c>
      <c r="J13" t="str">
        <f t="shared" si="3"/>
        <v/>
      </c>
      <c r="K13" t="str">
        <f t="shared" si="1"/>
        <v/>
      </c>
      <c r="L13" t="str">
        <f t="shared" si="1"/>
        <v/>
      </c>
      <c r="M13">
        <f t="shared" si="1"/>
        <v>0.11</v>
      </c>
      <c r="N13" t="str">
        <f t="shared" si="1"/>
        <v/>
      </c>
      <c r="O13" t="str">
        <f t="shared" si="1"/>
        <v/>
      </c>
      <c r="V13" t="s">
        <v>10</v>
      </c>
      <c r="AD13">
        <v>9</v>
      </c>
      <c r="AE13" s="24" t="s">
        <v>8</v>
      </c>
      <c r="AG13" t="s">
        <v>242</v>
      </c>
    </row>
    <row r="14" spans="1:33" ht="15" thickBot="1" x14ac:dyDescent="0.35">
      <c r="A14" s="4" t="s">
        <v>120</v>
      </c>
      <c r="B14">
        <v>-0.14000000000000001</v>
      </c>
      <c r="C14" t="s">
        <v>79</v>
      </c>
      <c r="D14" t="s">
        <v>79</v>
      </c>
      <c r="E14" t="s">
        <v>79</v>
      </c>
      <c r="F14">
        <v>0.1</v>
      </c>
      <c r="G14" t="s">
        <v>79</v>
      </c>
      <c r="H14" s="23"/>
      <c r="I14" t="str">
        <f t="shared" si="2"/>
        <v>Q1.12</v>
      </c>
      <c r="J14">
        <f t="shared" si="3"/>
        <v>-0.14000000000000001</v>
      </c>
      <c r="K14" t="str">
        <f t="shared" si="1"/>
        <v/>
      </c>
      <c r="L14" t="str">
        <f t="shared" si="1"/>
        <v/>
      </c>
      <c r="M14" t="str">
        <f t="shared" si="1"/>
        <v/>
      </c>
      <c r="N14">
        <f t="shared" si="1"/>
        <v>0.1</v>
      </c>
      <c r="O14" t="str">
        <f t="shared" si="1"/>
        <v/>
      </c>
      <c r="V14" t="s">
        <v>11</v>
      </c>
      <c r="AD14">
        <v>27</v>
      </c>
      <c r="AE14" s="24" t="s">
        <v>26</v>
      </c>
      <c r="AG14" t="s">
        <v>129</v>
      </c>
    </row>
    <row r="15" spans="1:33" ht="15" thickBot="1" x14ac:dyDescent="0.35">
      <c r="A15" s="4" t="s">
        <v>100</v>
      </c>
      <c r="B15">
        <v>0.1</v>
      </c>
      <c r="C15" t="s">
        <v>79</v>
      </c>
      <c r="D15" t="s">
        <v>79</v>
      </c>
      <c r="E15">
        <v>0.28999999999999998</v>
      </c>
      <c r="F15">
        <v>-0.14000000000000001</v>
      </c>
      <c r="G15">
        <v>-0.18</v>
      </c>
      <c r="H15" s="23"/>
      <c r="I15" t="str">
        <f t="shared" si="2"/>
        <v>Q1.13</v>
      </c>
      <c r="J15">
        <f t="shared" si="3"/>
        <v>0.1</v>
      </c>
      <c r="K15" t="str">
        <f t="shared" si="1"/>
        <v/>
      </c>
      <c r="L15" t="str">
        <f t="shared" si="1"/>
        <v/>
      </c>
      <c r="M15">
        <f t="shared" si="1"/>
        <v>0.28999999999999998</v>
      </c>
      <c r="N15">
        <f t="shared" si="1"/>
        <v>-0.14000000000000001</v>
      </c>
      <c r="O15">
        <f t="shared" si="1"/>
        <v>-0.18</v>
      </c>
      <c r="V15" t="s">
        <v>13</v>
      </c>
      <c r="AD15">
        <v>4</v>
      </c>
      <c r="AE15" s="24" t="s">
        <v>3</v>
      </c>
      <c r="AG15" t="s">
        <v>243</v>
      </c>
    </row>
    <row r="16" spans="1:33" ht="15" thickBot="1" x14ac:dyDescent="0.35">
      <c r="A16" s="4" t="s">
        <v>93</v>
      </c>
      <c r="B16" t="s">
        <v>79</v>
      </c>
      <c r="C16" t="s">
        <v>79</v>
      </c>
      <c r="D16" t="s">
        <v>79</v>
      </c>
      <c r="E16">
        <v>0.25</v>
      </c>
      <c r="F16">
        <v>-0.13</v>
      </c>
      <c r="G16">
        <v>-0.15</v>
      </c>
      <c r="H16" s="23"/>
      <c r="I16" t="str">
        <f t="shared" si="2"/>
        <v>Q1.14</v>
      </c>
      <c r="J16" t="str">
        <f t="shared" si="3"/>
        <v/>
      </c>
      <c r="K16" t="str">
        <f t="shared" si="1"/>
        <v/>
      </c>
      <c r="L16" t="str">
        <f t="shared" si="1"/>
        <v/>
      </c>
      <c r="M16">
        <f t="shared" si="1"/>
        <v>0.25</v>
      </c>
      <c r="N16">
        <f t="shared" si="1"/>
        <v>-0.13</v>
      </c>
      <c r="O16">
        <f t="shared" si="1"/>
        <v>-0.15</v>
      </c>
      <c r="V16" t="s">
        <v>12</v>
      </c>
      <c r="AD16">
        <v>8</v>
      </c>
      <c r="AE16" s="24" t="s">
        <v>7</v>
      </c>
      <c r="AF16" t="s">
        <v>11</v>
      </c>
      <c r="AG16" t="s">
        <v>89</v>
      </c>
    </row>
    <row r="17" spans="1:33" ht="15" thickBot="1" x14ac:dyDescent="0.35">
      <c r="A17" s="4" t="s">
        <v>98</v>
      </c>
      <c r="B17" t="s">
        <v>79</v>
      </c>
      <c r="C17" t="s">
        <v>79</v>
      </c>
      <c r="D17" t="s">
        <v>79</v>
      </c>
      <c r="E17">
        <v>0.17</v>
      </c>
      <c r="F17">
        <v>-0.1</v>
      </c>
      <c r="G17">
        <v>-0.1</v>
      </c>
      <c r="H17" s="23"/>
      <c r="I17" t="str">
        <f t="shared" si="2"/>
        <v>Q1.15</v>
      </c>
      <c r="J17" t="str">
        <f t="shared" si="3"/>
        <v/>
      </c>
      <c r="K17" t="str">
        <f t="shared" si="1"/>
        <v/>
      </c>
      <c r="L17" t="str">
        <f t="shared" si="1"/>
        <v/>
      </c>
      <c r="M17">
        <f t="shared" si="1"/>
        <v>0.17</v>
      </c>
      <c r="N17">
        <f t="shared" si="1"/>
        <v>-0.1</v>
      </c>
      <c r="O17">
        <f t="shared" si="1"/>
        <v>-0.1</v>
      </c>
      <c r="V17" t="s">
        <v>14</v>
      </c>
      <c r="AD17">
        <v>10</v>
      </c>
      <c r="AE17" s="24" t="s">
        <v>9</v>
      </c>
      <c r="AG17" t="s">
        <v>141</v>
      </c>
    </row>
    <row r="18" spans="1:33" ht="15" thickBot="1" x14ac:dyDescent="0.35">
      <c r="A18" s="4" t="s">
        <v>99</v>
      </c>
      <c r="B18" t="s">
        <v>79</v>
      </c>
      <c r="C18" t="s">
        <v>79</v>
      </c>
      <c r="D18" t="s">
        <v>79</v>
      </c>
      <c r="E18">
        <v>0.28999999999999998</v>
      </c>
      <c r="F18" t="s">
        <v>79</v>
      </c>
      <c r="G18">
        <v>-0.19</v>
      </c>
      <c r="H18" s="23"/>
      <c r="I18" t="str">
        <f t="shared" si="2"/>
        <v>Q1.16</v>
      </c>
      <c r="J18" t="str">
        <f t="shared" si="3"/>
        <v/>
      </c>
      <c r="K18" t="str">
        <f t="shared" si="1"/>
        <v/>
      </c>
      <c r="L18" t="str">
        <f t="shared" si="1"/>
        <v/>
      </c>
      <c r="M18">
        <f t="shared" si="1"/>
        <v>0.28999999999999998</v>
      </c>
      <c r="N18" t="str">
        <f t="shared" si="1"/>
        <v/>
      </c>
      <c r="O18">
        <f t="shared" si="1"/>
        <v>-0.19</v>
      </c>
      <c r="V18" t="s">
        <v>15</v>
      </c>
      <c r="AD18">
        <v>1</v>
      </c>
      <c r="AE18" s="24" t="s">
        <v>0</v>
      </c>
      <c r="AG18" t="s">
        <v>132</v>
      </c>
    </row>
    <row r="19" spans="1:33" ht="15" thickBot="1" x14ac:dyDescent="0.35">
      <c r="A19" s="4" t="s">
        <v>105</v>
      </c>
      <c r="B19" t="s">
        <v>79</v>
      </c>
      <c r="C19" t="s">
        <v>79</v>
      </c>
      <c r="D19" t="s">
        <v>79</v>
      </c>
      <c r="E19">
        <v>0.26</v>
      </c>
      <c r="F19" t="s">
        <v>79</v>
      </c>
      <c r="G19">
        <v>-0.17</v>
      </c>
      <c r="H19" s="23"/>
      <c r="I19" t="str">
        <f t="shared" si="2"/>
        <v>Q1.17</v>
      </c>
      <c r="J19" t="str">
        <f t="shared" si="3"/>
        <v/>
      </c>
      <c r="K19" t="str">
        <f t="shared" si="3"/>
        <v/>
      </c>
      <c r="L19" t="str">
        <f t="shared" si="3"/>
        <v/>
      </c>
      <c r="M19">
        <f t="shared" si="3"/>
        <v>0.26</v>
      </c>
      <c r="N19" t="str">
        <f t="shared" si="3"/>
        <v/>
      </c>
      <c r="O19">
        <f t="shared" si="3"/>
        <v>-0.17</v>
      </c>
      <c r="V19" t="s">
        <v>16</v>
      </c>
    </row>
    <row r="20" spans="1:33" ht="15" thickBot="1" x14ac:dyDescent="0.35">
      <c r="A20" s="4" t="s">
        <v>109</v>
      </c>
      <c r="B20" t="s">
        <v>79</v>
      </c>
      <c r="C20" t="s">
        <v>79</v>
      </c>
      <c r="D20" t="s">
        <v>79</v>
      </c>
      <c r="E20">
        <v>0.1</v>
      </c>
      <c r="F20" t="s">
        <v>79</v>
      </c>
      <c r="G20" t="s">
        <v>79</v>
      </c>
      <c r="H20" s="23"/>
      <c r="I20" t="str">
        <f t="shared" si="2"/>
        <v>Q1.18</v>
      </c>
      <c r="J20" t="str">
        <f t="shared" si="3"/>
        <v/>
      </c>
      <c r="K20" t="str">
        <f t="shared" si="3"/>
        <v/>
      </c>
      <c r="L20" t="str">
        <f t="shared" si="3"/>
        <v/>
      </c>
      <c r="M20">
        <f t="shared" si="3"/>
        <v>0.1</v>
      </c>
      <c r="N20" t="str">
        <f t="shared" si="3"/>
        <v/>
      </c>
      <c r="O20" t="str">
        <f t="shared" si="3"/>
        <v/>
      </c>
      <c r="V20" t="s">
        <v>17</v>
      </c>
    </row>
    <row r="21" spans="1:33" ht="15" thickBot="1" x14ac:dyDescent="0.35">
      <c r="A21" s="4" t="s">
        <v>112</v>
      </c>
      <c r="B21" t="s">
        <v>79</v>
      </c>
      <c r="C21" t="s">
        <v>79</v>
      </c>
      <c r="D21" t="s">
        <v>79</v>
      </c>
      <c r="E21" t="s">
        <v>79</v>
      </c>
      <c r="F21" t="s">
        <v>79</v>
      </c>
      <c r="G21" t="s">
        <v>79</v>
      </c>
      <c r="H21" s="23"/>
      <c r="I21" t="str">
        <f t="shared" si="2"/>
        <v>Q1.19</v>
      </c>
      <c r="J21" t="str">
        <f t="shared" si="3"/>
        <v/>
      </c>
      <c r="K21" t="str">
        <f t="shared" si="3"/>
        <v/>
      </c>
      <c r="L21" t="str">
        <f t="shared" si="3"/>
        <v/>
      </c>
      <c r="M21" t="str">
        <f t="shared" si="3"/>
        <v/>
      </c>
      <c r="N21" t="str">
        <f t="shared" si="3"/>
        <v/>
      </c>
      <c r="O21" t="str">
        <f t="shared" si="3"/>
        <v/>
      </c>
      <c r="V21" t="s">
        <v>18</v>
      </c>
    </row>
    <row r="22" spans="1:33" ht="15" thickBot="1" x14ac:dyDescent="0.35">
      <c r="A22" s="4" t="s">
        <v>94</v>
      </c>
      <c r="B22" t="s">
        <v>79</v>
      </c>
      <c r="C22" t="s">
        <v>79</v>
      </c>
      <c r="D22" t="s">
        <v>79</v>
      </c>
      <c r="E22">
        <v>0.27</v>
      </c>
      <c r="F22" t="s">
        <v>79</v>
      </c>
      <c r="G22">
        <v>-0.19</v>
      </c>
      <c r="H22" s="23"/>
      <c r="I22" t="str">
        <f t="shared" si="2"/>
        <v>Q1.20</v>
      </c>
      <c r="J22" t="str">
        <f t="shared" si="3"/>
        <v/>
      </c>
      <c r="K22" t="str">
        <f t="shared" si="3"/>
        <v/>
      </c>
      <c r="L22" t="str">
        <f t="shared" si="3"/>
        <v/>
      </c>
      <c r="M22">
        <f t="shared" si="3"/>
        <v>0.27</v>
      </c>
      <c r="N22" t="str">
        <f t="shared" si="3"/>
        <v/>
      </c>
      <c r="O22">
        <f t="shared" si="3"/>
        <v>-0.19</v>
      </c>
      <c r="V22" t="s">
        <v>19</v>
      </c>
    </row>
    <row r="23" spans="1:33" ht="15" thickBot="1" x14ac:dyDescent="0.35">
      <c r="A23" s="4" t="s">
        <v>111</v>
      </c>
      <c r="B23" t="s">
        <v>79</v>
      </c>
      <c r="C23" t="s">
        <v>79</v>
      </c>
      <c r="D23" t="s">
        <v>79</v>
      </c>
      <c r="E23">
        <v>0.1</v>
      </c>
      <c r="F23" t="s">
        <v>79</v>
      </c>
      <c r="G23" t="s">
        <v>79</v>
      </c>
      <c r="H23" s="23"/>
      <c r="I23" t="str">
        <f t="shared" si="2"/>
        <v>Q1.21</v>
      </c>
      <c r="J23" t="str">
        <f t="shared" si="3"/>
        <v/>
      </c>
      <c r="K23" t="str">
        <f t="shared" si="3"/>
        <v/>
      </c>
      <c r="L23" t="str">
        <f t="shared" si="3"/>
        <v/>
      </c>
      <c r="M23">
        <f t="shared" si="3"/>
        <v>0.1</v>
      </c>
      <c r="N23" t="str">
        <f t="shared" si="3"/>
        <v/>
      </c>
      <c r="O23" t="str">
        <f t="shared" si="3"/>
        <v/>
      </c>
      <c r="V23" t="s">
        <v>20</v>
      </c>
    </row>
    <row r="24" spans="1:33" ht="15" thickBot="1" x14ac:dyDescent="0.35">
      <c r="A24" s="4" t="s">
        <v>106</v>
      </c>
      <c r="B24" t="s">
        <v>79</v>
      </c>
      <c r="C24" t="s">
        <v>79</v>
      </c>
      <c r="D24" t="s">
        <v>79</v>
      </c>
      <c r="E24">
        <v>0.11</v>
      </c>
      <c r="F24" t="s">
        <v>79</v>
      </c>
      <c r="G24" t="s">
        <v>79</v>
      </c>
      <c r="H24" s="23"/>
      <c r="I24" t="str">
        <f t="shared" si="2"/>
        <v>Q1.22</v>
      </c>
      <c r="J24" t="str">
        <f t="shared" si="3"/>
        <v/>
      </c>
      <c r="K24" t="str">
        <f t="shared" si="3"/>
        <v/>
      </c>
      <c r="L24" t="str">
        <f t="shared" si="3"/>
        <v/>
      </c>
      <c r="M24">
        <f t="shared" si="3"/>
        <v>0.11</v>
      </c>
      <c r="N24" t="str">
        <f t="shared" si="3"/>
        <v/>
      </c>
      <c r="O24" t="str">
        <f t="shared" si="3"/>
        <v/>
      </c>
      <c r="V24" t="s">
        <v>21</v>
      </c>
    </row>
    <row r="25" spans="1:33" ht="15" thickBot="1" x14ac:dyDescent="0.35">
      <c r="A25" s="4" t="s">
        <v>107</v>
      </c>
      <c r="B25" t="s">
        <v>79</v>
      </c>
      <c r="C25" t="s">
        <v>79</v>
      </c>
      <c r="D25" t="s">
        <v>79</v>
      </c>
      <c r="E25">
        <v>0.19</v>
      </c>
      <c r="F25" t="s">
        <v>79</v>
      </c>
      <c r="G25">
        <v>-0.14000000000000001</v>
      </c>
      <c r="H25" s="23"/>
      <c r="I25" t="str">
        <f t="shared" si="2"/>
        <v>Q1.23</v>
      </c>
      <c r="J25" t="str">
        <f t="shared" si="3"/>
        <v/>
      </c>
      <c r="K25" t="str">
        <f t="shared" si="3"/>
        <v/>
      </c>
      <c r="L25" t="str">
        <f t="shared" si="3"/>
        <v/>
      </c>
      <c r="M25">
        <f t="shared" si="3"/>
        <v>0.19</v>
      </c>
      <c r="N25" t="str">
        <f t="shared" si="3"/>
        <v/>
      </c>
      <c r="O25">
        <f t="shared" si="3"/>
        <v>-0.14000000000000001</v>
      </c>
      <c r="V25" t="s">
        <v>22</v>
      </c>
    </row>
    <row r="26" spans="1:33" ht="15" thickBot="1" x14ac:dyDescent="0.35">
      <c r="A26" s="4" t="s">
        <v>110</v>
      </c>
      <c r="B26" t="s">
        <v>79</v>
      </c>
      <c r="C26" t="s">
        <v>79</v>
      </c>
      <c r="D26" t="s">
        <v>79</v>
      </c>
      <c r="E26">
        <v>0.11</v>
      </c>
      <c r="F26" t="s">
        <v>79</v>
      </c>
      <c r="G26" t="s">
        <v>79</v>
      </c>
      <c r="H26" s="23"/>
      <c r="I26" t="str">
        <f t="shared" si="2"/>
        <v>Q1.24</v>
      </c>
      <c r="J26" t="str">
        <f t="shared" si="3"/>
        <v/>
      </c>
      <c r="K26" t="str">
        <f t="shared" si="3"/>
        <v/>
      </c>
      <c r="L26" t="str">
        <f t="shared" si="3"/>
        <v/>
      </c>
      <c r="M26">
        <f t="shared" si="3"/>
        <v>0.11</v>
      </c>
      <c r="N26" t="str">
        <f t="shared" si="3"/>
        <v/>
      </c>
      <c r="O26" t="str">
        <f t="shared" si="3"/>
        <v/>
      </c>
      <c r="V26" t="s">
        <v>23</v>
      </c>
    </row>
    <row r="27" spans="1:33" ht="15" thickBot="1" x14ac:dyDescent="0.35">
      <c r="A27" s="4" t="s">
        <v>101</v>
      </c>
      <c r="B27" t="s">
        <v>79</v>
      </c>
      <c r="C27" t="s">
        <v>79</v>
      </c>
      <c r="D27" t="s">
        <v>79</v>
      </c>
      <c r="E27">
        <v>0.17</v>
      </c>
      <c r="F27" t="s">
        <v>79</v>
      </c>
      <c r="G27">
        <v>-0.12</v>
      </c>
      <c r="H27" s="23"/>
      <c r="I27" t="str">
        <f t="shared" si="2"/>
        <v>Q1.25</v>
      </c>
      <c r="J27" t="str">
        <f t="shared" si="3"/>
        <v/>
      </c>
      <c r="K27" t="str">
        <f t="shared" si="3"/>
        <v/>
      </c>
      <c r="L27" t="str">
        <f t="shared" si="3"/>
        <v/>
      </c>
      <c r="M27">
        <f t="shared" si="3"/>
        <v>0.17</v>
      </c>
      <c r="N27" t="str">
        <f t="shared" si="3"/>
        <v/>
      </c>
      <c r="O27">
        <f t="shared" si="3"/>
        <v>-0.12</v>
      </c>
      <c r="V27" t="s">
        <v>24</v>
      </c>
    </row>
    <row r="28" spans="1:33" ht="15" thickBot="1" x14ac:dyDescent="0.35">
      <c r="A28" s="4" t="s">
        <v>103</v>
      </c>
      <c r="B28">
        <v>0.11</v>
      </c>
      <c r="C28" t="s">
        <v>79</v>
      </c>
      <c r="D28" t="s">
        <v>79</v>
      </c>
      <c r="E28">
        <v>0.3</v>
      </c>
      <c r="F28">
        <v>-0.11</v>
      </c>
      <c r="G28">
        <v>-0.24</v>
      </c>
      <c r="H28" s="23"/>
      <c r="I28" t="str">
        <f t="shared" si="2"/>
        <v>Q1.26</v>
      </c>
      <c r="J28">
        <f t="shared" si="3"/>
        <v>0.11</v>
      </c>
      <c r="K28" t="str">
        <f t="shared" si="3"/>
        <v/>
      </c>
      <c r="L28" t="str">
        <f t="shared" si="3"/>
        <v/>
      </c>
      <c r="M28">
        <f t="shared" si="3"/>
        <v>0.3</v>
      </c>
      <c r="N28">
        <f t="shared" si="3"/>
        <v>-0.11</v>
      </c>
      <c r="O28">
        <f t="shared" si="3"/>
        <v>-0.24</v>
      </c>
      <c r="V28" t="s">
        <v>25</v>
      </c>
    </row>
    <row r="29" spans="1:33" ht="15" thickBot="1" x14ac:dyDescent="0.35">
      <c r="A29" s="4" t="s">
        <v>95</v>
      </c>
      <c r="B29" t="s">
        <v>79</v>
      </c>
      <c r="C29" t="s">
        <v>79</v>
      </c>
      <c r="D29">
        <v>0.22</v>
      </c>
      <c r="E29">
        <v>0.46</v>
      </c>
      <c r="F29" t="s">
        <v>79</v>
      </c>
      <c r="G29">
        <v>-0.34</v>
      </c>
      <c r="H29" s="23"/>
      <c r="I29" t="str">
        <f t="shared" si="2"/>
        <v>Q1.27</v>
      </c>
      <c r="J29" t="str">
        <f t="shared" si="3"/>
        <v/>
      </c>
      <c r="K29" t="str">
        <f t="shared" si="3"/>
        <v/>
      </c>
      <c r="L29">
        <f t="shared" si="3"/>
        <v>0.22</v>
      </c>
      <c r="M29">
        <f t="shared" si="3"/>
        <v>0.46</v>
      </c>
      <c r="N29" t="str">
        <f t="shared" si="3"/>
        <v/>
      </c>
      <c r="O29">
        <f t="shared" si="3"/>
        <v>-0.34</v>
      </c>
      <c r="V29" t="s">
        <v>26</v>
      </c>
    </row>
    <row r="30" spans="1:33" ht="15" thickBot="1" x14ac:dyDescent="0.35">
      <c r="A30" s="4" t="s">
        <v>92</v>
      </c>
      <c r="B30" t="s">
        <v>79</v>
      </c>
      <c r="C30" t="s">
        <v>79</v>
      </c>
      <c r="D30" t="s">
        <v>79</v>
      </c>
      <c r="E30">
        <v>0.3</v>
      </c>
      <c r="F30" t="s">
        <v>79</v>
      </c>
      <c r="G30">
        <v>-0.22</v>
      </c>
      <c r="H30" s="23"/>
      <c r="I30" t="str">
        <f t="shared" si="2"/>
        <v>Q1.28</v>
      </c>
      <c r="J30" t="str">
        <f t="shared" si="3"/>
        <v/>
      </c>
      <c r="K30" t="str">
        <f t="shared" si="3"/>
        <v/>
      </c>
      <c r="L30" t="str">
        <f t="shared" si="3"/>
        <v/>
      </c>
      <c r="M30">
        <f t="shared" si="3"/>
        <v>0.3</v>
      </c>
      <c r="N30" t="str">
        <f t="shared" si="3"/>
        <v/>
      </c>
      <c r="O30">
        <f t="shared" si="3"/>
        <v>-0.22</v>
      </c>
      <c r="V30" t="s">
        <v>27</v>
      </c>
    </row>
    <row r="31" spans="1:33" ht="15" thickBot="1" x14ac:dyDescent="0.35">
      <c r="A31" s="4" t="s">
        <v>113</v>
      </c>
      <c r="B31" t="s">
        <v>79</v>
      </c>
      <c r="C31" t="s">
        <v>79</v>
      </c>
      <c r="D31" t="s">
        <v>79</v>
      </c>
      <c r="E31">
        <v>0.1</v>
      </c>
      <c r="F31" t="s">
        <v>79</v>
      </c>
      <c r="G31" t="s">
        <v>79</v>
      </c>
      <c r="H31" s="23"/>
      <c r="I31" t="str">
        <f t="shared" si="2"/>
        <v>Q1.29</v>
      </c>
      <c r="J31" t="str">
        <f t="shared" si="3"/>
        <v/>
      </c>
      <c r="K31" t="str">
        <f t="shared" si="3"/>
        <v/>
      </c>
      <c r="L31" t="str">
        <f t="shared" si="3"/>
        <v/>
      </c>
      <c r="M31">
        <f t="shared" si="3"/>
        <v>0.1</v>
      </c>
      <c r="N31" t="str">
        <f t="shared" si="3"/>
        <v/>
      </c>
      <c r="O31" t="str">
        <f t="shared" si="3"/>
        <v/>
      </c>
      <c r="V31" t="s">
        <v>28</v>
      </c>
    </row>
    <row r="32" spans="1:33" ht="15" thickBot="1" x14ac:dyDescent="0.35">
      <c r="A32" s="4" t="s">
        <v>147</v>
      </c>
      <c r="B32" t="s">
        <v>79</v>
      </c>
      <c r="C32" t="s">
        <v>79</v>
      </c>
      <c r="D32">
        <v>0.1</v>
      </c>
      <c r="E32">
        <v>0.19</v>
      </c>
      <c r="F32" t="s">
        <v>79</v>
      </c>
      <c r="G32" t="s">
        <v>79</v>
      </c>
      <c r="H32" s="23"/>
      <c r="I32" t="str">
        <f t="shared" si="2"/>
        <v>Q2</v>
      </c>
      <c r="J32" t="str">
        <f t="shared" si="3"/>
        <v/>
      </c>
      <c r="K32" t="str">
        <f t="shared" si="3"/>
        <v/>
      </c>
      <c r="L32">
        <f t="shared" si="3"/>
        <v>0.1</v>
      </c>
      <c r="M32">
        <f t="shared" si="3"/>
        <v>0.19</v>
      </c>
      <c r="N32" t="str">
        <f t="shared" si="3"/>
        <v/>
      </c>
      <c r="O32" t="str">
        <f t="shared" si="3"/>
        <v/>
      </c>
      <c r="V32" t="s">
        <v>206</v>
      </c>
    </row>
    <row r="33" spans="1:22" ht="15" thickBot="1" x14ac:dyDescent="0.35">
      <c r="A33" s="4" t="s">
        <v>148</v>
      </c>
      <c r="B33" t="s">
        <v>79</v>
      </c>
      <c r="C33" t="s">
        <v>79</v>
      </c>
      <c r="D33">
        <v>0.11</v>
      </c>
      <c r="E33" t="s">
        <v>79</v>
      </c>
      <c r="F33" t="s">
        <v>79</v>
      </c>
      <c r="G33" t="s">
        <v>79</v>
      </c>
      <c r="H33" s="23"/>
      <c r="I33" t="str">
        <f t="shared" si="2"/>
        <v>Q2.Cluster</v>
      </c>
      <c r="J33" t="str">
        <f t="shared" si="3"/>
        <v/>
      </c>
      <c r="K33" t="str">
        <f t="shared" si="3"/>
        <v/>
      </c>
      <c r="L33">
        <f t="shared" si="3"/>
        <v>0.11</v>
      </c>
      <c r="M33" t="str">
        <f t="shared" si="3"/>
        <v/>
      </c>
      <c r="N33" t="str">
        <f t="shared" si="3"/>
        <v/>
      </c>
      <c r="O33" t="str">
        <f t="shared" si="3"/>
        <v/>
      </c>
      <c r="V33" t="s">
        <v>206</v>
      </c>
    </row>
    <row r="34" spans="1:22" ht="15" thickBot="1" x14ac:dyDescent="0.35">
      <c r="A34" s="4" t="s">
        <v>149</v>
      </c>
      <c r="B34" t="s">
        <v>79</v>
      </c>
      <c r="C34" t="s">
        <v>79</v>
      </c>
      <c r="D34" t="s">
        <v>79</v>
      </c>
      <c r="E34" t="s">
        <v>79</v>
      </c>
      <c r="F34" t="s">
        <v>79</v>
      </c>
      <c r="G34" t="s">
        <v>79</v>
      </c>
      <c r="H34" s="23"/>
      <c r="I34" t="str">
        <f t="shared" si="2"/>
        <v>Q3</v>
      </c>
      <c r="J34" t="str">
        <f t="shared" si="3"/>
        <v/>
      </c>
      <c r="K34" t="str">
        <f t="shared" si="3"/>
        <v/>
      </c>
      <c r="L34" t="str">
        <f t="shared" si="3"/>
        <v/>
      </c>
      <c r="M34" t="str">
        <f t="shared" si="3"/>
        <v/>
      </c>
      <c r="N34" t="str">
        <f t="shared" si="3"/>
        <v/>
      </c>
      <c r="O34" t="str">
        <f t="shared" si="3"/>
        <v/>
      </c>
      <c r="V34" t="s">
        <v>207</v>
      </c>
    </row>
    <row r="35" spans="1:22" ht="15" thickBot="1" x14ac:dyDescent="0.35">
      <c r="A35" s="4" t="s">
        <v>150</v>
      </c>
      <c r="B35" t="s">
        <v>79</v>
      </c>
      <c r="C35" t="s">
        <v>79</v>
      </c>
      <c r="D35" t="s">
        <v>79</v>
      </c>
      <c r="E35">
        <v>0.13</v>
      </c>
      <c r="F35">
        <v>-0.1</v>
      </c>
      <c r="G35">
        <v>-0.11</v>
      </c>
      <c r="H35" s="23"/>
      <c r="I35" t="str">
        <f t="shared" si="2"/>
        <v>Q4</v>
      </c>
      <c r="J35" t="str">
        <f t="shared" si="3"/>
        <v/>
      </c>
      <c r="K35" t="str">
        <f t="shared" si="3"/>
        <v/>
      </c>
      <c r="L35" t="str">
        <f t="shared" si="3"/>
        <v/>
      </c>
      <c r="M35">
        <f t="shared" si="3"/>
        <v>0.13</v>
      </c>
      <c r="N35">
        <f t="shared" si="3"/>
        <v>-0.1</v>
      </c>
      <c r="O35">
        <f t="shared" si="3"/>
        <v>-0.11</v>
      </c>
      <c r="V35" t="s">
        <v>208</v>
      </c>
    </row>
    <row r="36" spans="1:22" ht="15" thickBot="1" x14ac:dyDescent="0.35">
      <c r="A36" s="4" t="s">
        <v>151</v>
      </c>
      <c r="B36">
        <v>0.1</v>
      </c>
      <c r="C36" t="s">
        <v>79</v>
      </c>
      <c r="D36" t="s">
        <v>79</v>
      </c>
      <c r="E36">
        <v>0.3</v>
      </c>
      <c r="F36">
        <v>-0.14000000000000001</v>
      </c>
      <c r="G36">
        <v>-0.18</v>
      </c>
      <c r="H36" s="23"/>
      <c r="I36" t="str">
        <f t="shared" si="2"/>
        <v>Q5</v>
      </c>
      <c r="J36">
        <f t="shared" si="3"/>
        <v>0.1</v>
      </c>
      <c r="K36" t="str">
        <f t="shared" si="3"/>
        <v/>
      </c>
      <c r="L36" t="str">
        <f t="shared" si="3"/>
        <v/>
      </c>
      <c r="M36">
        <f t="shared" si="3"/>
        <v>0.3</v>
      </c>
      <c r="N36">
        <f t="shared" si="3"/>
        <v>-0.14000000000000001</v>
      </c>
      <c r="O36">
        <f t="shared" si="3"/>
        <v>-0.18</v>
      </c>
      <c r="V36" t="s">
        <v>209</v>
      </c>
    </row>
    <row r="37" spans="1:22" ht="15" thickBot="1" x14ac:dyDescent="0.35">
      <c r="A37" s="4" t="s">
        <v>152</v>
      </c>
      <c r="B37" t="s">
        <v>79</v>
      </c>
      <c r="C37" t="s">
        <v>79</v>
      </c>
      <c r="D37" t="s">
        <v>79</v>
      </c>
      <c r="E37" t="s">
        <v>79</v>
      </c>
      <c r="F37" t="s">
        <v>79</v>
      </c>
      <c r="G37" t="s">
        <v>79</v>
      </c>
      <c r="H37" s="23"/>
      <c r="I37" t="str">
        <f t="shared" si="2"/>
        <v>Q6</v>
      </c>
      <c r="J37" t="str">
        <f t="shared" si="3"/>
        <v/>
      </c>
      <c r="K37" t="str">
        <f t="shared" si="3"/>
        <v/>
      </c>
      <c r="L37" t="str">
        <f t="shared" si="3"/>
        <v/>
      </c>
      <c r="M37" t="str">
        <f t="shared" si="3"/>
        <v/>
      </c>
      <c r="N37" t="str">
        <f t="shared" si="3"/>
        <v/>
      </c>
      <c r="O37" t="str">
        <f t="shared" si="3"/>
        <v/>
      </c>
      <c r="V37" t="s">
        <v>210</v>
      </c>
    </row>
    <row r="38" spans="1:22" ht="15" thickBot="1" x14ac:dyDescent="0.35">
      <c r="A38" s="4" t="s">
        <v>153</v>
      </c>
      <c r="B38" t="s">
        <v>79</v>
      </c>
      <c r="C38" t="s">
        <v>79</v>
      </c>
      <c r="D38" t="s">
        <v>79</v>
      </c>
      <c r="E38">
        <v>0.14000000000000001</v>
      </c>
      <c r="F38" t="s">
        <v>79</v>
      </c>
      <c r="G38" t="s">
        <v>79</v>
      </c>
      <c r="H38" s="23"/>
      <c r="I38" t="str">
        <f t="shared" si="2"/>
        <v>Q7.1</v>
      </c>
      <c r="J38" t="str">
        <f t="shared" si="3"/>
        <v/>
      </c>
      <c r="K38" t="str">
        <f t="shared" si="3"/>
        <v/>
      </c>
      <c r="L38" t="str">
        <f t="shared" si="3"/>
        <v/>
      </c>
      <c r="M38">
        <f t="shared" si="3"/>
        <v>0.14000000000000001</v>
      </c>
      <c r="N38" t="str">
        <f t="shared" si="3"/>
        <v/>
      </c>
      <c r="O38" t="str">
        <f t="shared" si="3"/>
        <v/>
      </c>
      <c r="V38" t="s">
        <v>211</v>
      </c>
    </row>
    <row r="39" spans="1:22" ht="15" thickBot="1" x14ac:dyDescent="0.35">
      <c r="A39" s="4" t="s">
        <v>154</v>
      </c>
      <c r="B39" t="s">
        <v>79</v>
      </c>
      <c r="C39" t="s">
        <v>79</v>
      </c>
      <c r="D39" t="s">
        <v>79</v>
      </c>
      <c r="E39" t="s">
        <v>79</v>
      </c>
      <c r="F39" t="s">
        <v>79</v>
      </c>
      <c r="G39" t="s">
        <v>79</v>
      </c>
      <c r="H39" s="23"/>
      <c r="I39" t="str">
        <f t="shared" si="2"/>
        <v>Q7.2</v>
      </c>
      <c r="J39" t="str">
        <f t="shared" si="3"/>
        <v/>
      </c>
      <c r="K39" t="str">
        <f t="shared" si="3"/>
        <v/>
      </c>
      <c r="L39" t="str">
        <f t="shared" si="3"/>
        <v/>
      </c>
      <c r="M39" t="str">
        <f t="shared" si="3"/>
        <v/>
      </c>
      <c r="N39" t="str">
        <f t="shared" si="3"/>
        <v/>
      </c>
      <c r="O39" t="str">
        <f t="shared" si="3"/>
        <v/>
      </c>
      <c r="V39" t="s">
        <v>212</v>
      </c>
    </row>
    <row r="40" spans="1:22" ht="15" thickBot="1" x14ac:dyDescent="0.35">
      <c r="A40" s="4" t="s">
        <v>155</v>
      </c>
      <c r="B40" t="s">
        <v>79</v>
      </c>
      <c r="C40" t="s">
        <v>79</v>
      </c>
      <c r="D40" t="s">
        <v>79</v>
      </c>
      <c r="E40" t="s">
        <v>79</v>
      </c>
      <c r="F40" t="s">
        <v>79</v>
      </c>
      <c r="G40" t="s">
        <v>79</v>
      </c>
      <c r="H40" s="23"/>
      <c r="I40" t="str">
        <f t="shared" si="2"/>
        <v>Q7.3</v>
      </c>
      <c r="J40" t="str">
        <f t="shared" si="3"/>
        <v/>
      </c>
      <c r="K40" t="str">
        <f t="shared" si="3"/>
        <v/>
      </c>
      <c r="L40" t="str">
        <f t="shared" si="3"/>
        <v/>
      </c>
      <c r="M40" t="str">
        <f t="shared" si="3"/>
        <v/>
      </c>
      <c r="N40" t="str">
        <f t="shared" si="3"/>
        <v/>
      </c>
      <c r="O40" t="str">
        <f t="shared" si="3"/>
        <v/>
      </c>
      <c r="V40" t="s">
        <v>213</v>
      </c>
    </row>
    <row r="41" spans="1:22" ht="15" thickBot="1" x14ac:dyDescent="0.35">
      <c r="A41" s="4" t="s">
        <v>156</v>
      </c>
      <c r="B41" t="s">
        <v>79</v>
      </c>
      <c r="C41" t="s">
        <v>79</v>
      </c>
      <c r="D41" t="s">
        <v>79</v>
      </c>
      <c r="E41" t="s">
        <v>79</v>
      </c>
      <c r="F41" t="s">
        <v>79</v>
      </c>
      <c r="G41" t="s">
        <v>79</v>
      </c>
      <c r="H41" s="23"/>
      <c r="I41" t="str">
        <f t="shared" si="2"/>
        <v>Q7.4</v>
      </c>
      <c r="J41" t="str">
        <f t="shared" si="3"/>
        <v/>
      </c>
      <c r="K41" t="str">
        <f t="shared" si="3"/>
        <v/>
      </c>
      <c r="L41" t="str">
        <f t="shared" si="3"/>
        <v/>
      </c>
      <c r="M41" t="str">
        <f t="shared" si="3"/>
        <v/>
      </c>
      <c r="N41" t="str">
        <f t="shared" si="3"/>
        <v/>
      </c>
      <c r="O41" t="str">
        <f t="shared" si="3"/>
        <v/>
      </c>
      <c r="V41" t="s">
        <v>214</v>
      </c>
    </row>
    <row r="42" spans="1:22" ht="15" thickBot="1" x14ac:dyDescent="0.35">
      <c r="A42" s="4" t="s">
        <v>157</v>
      </c>
      <c r="B42" t="s">
        <v>79</v>
      </c>
      <c r="C42" t="s">
        <v>79</v>
      </c>
      <c r="D42" t="s">
        <v>79</v>
      </c>
      <c r="E42" t="s">
        <v>79</v>
      </c>
      <c r="F42" t="s">
        <v>79</v>
      </c>
      <c r="G42" t="s">
        <v>79</v>
      </c>
      <c r="H42" s="23"/>
      <c r="I42" t="str">
        <f t="shared" si="2"/>
        <v>Q8</v>
      </c>
      <c r="J42" t="str">
        <f t="shared" si="3"/>
        <v/>
      </c>
      <c r="K42" t="str">
        <f t="shared" si="3"/>
        <v/>
      </c>
      <c r="L42" t="str">
        <f t="shared" si="3"/>
        <v/>
      </c>
      <c r="M42" t="str">
        <f t="shared" si="3"/>
        <v/>
      </c>
      <c r="N42" t="str">
        <f t="shared" si="3"/>
        <v/>
      </c>
      <c r="O42" t="str">
        <f t="shared" si="3"/>
        <v/>
      </c>
      <c r="V42" t="s">
        <v>215</v>
      </c>
    </row>
    <row r="43" spans="1:22" ht="15" thickBot="1" x14ac:dyDescent="0.35">
      <c r="A43" s="4" t="s">
        <v>158</v>
      </c>
      <c r="B43" t="s">
        <v>79</v>
      </c>
      <c r="C43" t="s">
        <v>79</v>
      </c>
      <c r="D43" t="s">
        <v>79</v>
      </c>
      <c r="E43" t="s">
        <v>79</v>
      </c>
      <c r="F43" t="s">
        <v>79</v>
      </c>
      <c r="G43" t="s">
        <v>79</v>
      </c>
      <c r="H43" s="23"/>
      <c r="I43" t="str">
        <f t="shared" si="2"/>
        <v>Q9.1</v>
      </c>
      <c r="J43" t="str">
        <f t="shared" si="3"/>
        <v/>
      </c>
      <c r="K43" t="str">
        <f t="shared" si="3"/>
        <v/>
      </c>
      <c r="L43" t="str">
        <f t="shared" si="3"/>
        <v/>
      </c>
      <c r="M43" t="str">
        <f t="shared" si="3"/>
        <v/>
      </c>
      <c r="N43" t="str">
        <f t="shared" si="3"/>
        <v/>
      </c>
      <c r="O43" t="str">
        <f t="shared" si="3"/>
        <v/>
      </c>
      <c r="V43" t="s">
        <v>216</v>
      </c>
    </row>
    <row r="44" spans="1:22" ht="15" thickBot="1" x14ac:dyDescent="0.35">
      <c r="A44" s="4" t="s">
        <v>159</v>
      </c>
      <c r="B44" t="s">
        <v>79</v>
      </c>
      <c r="C44" t="s">
        <v>79</v>
      </c>
      <c r="D44" t="s">
        <v>79</v>
      </c>
      <c r="E44">
        <v>0.12</v>
      </c>
      <c r="F44" t="s">
        <v>79</v>
      </c>
      <c r="G44" t="s">
        <v>79</v>
      </c>
      <c r="H44" s="23"/>
      <c r="I44" t="str">
        <f t="shared" si="2"/>
        <v>Q9.2</v>
      </c>
      <c r="J44" t="str">
        <f t="shared" si="3"/>
        <v/>
      </c>
      <c r="K44" t="str">
        <f t="shared" si="3"/>
        <v/>
      </c>
      <c r="L44" t="str">
        <f t="shared" si="3"/>
        <v/>
      </c>
      <c r="M44">
        <f t="shared" si="3"/>
        <v>0.12</v>
      </c>
      <c r="N44" t="str">
        <f t="shared" si="3"/>
        <v/>
      </c>
      <c r="O44" t="str">
        <f t="shared" si="3"/>
        <v/>
      </c>
      <c r="V44" t="s">
        <v>217</v>
      </c>
    </row>
    <row r="45" spans="1:22" ht="15" thickBot="1" x14ac:dyDescent="0.35">
      <c r="A45" s="4" t="s">
        <v>160</v>
      </c>
      <c r="B45" t="s">
        <v>79</v>
      </c>
      <c r="C45" t="s">
        <v>79</v>
      </c>
      <c r="D45" t="s">
        <v>79</v>
      </c>
      <c r="E45" t="s">
        <v>79</v>
      </c>
      <c r="F45" t="s">
        <v>79</v>
      </c>
      <c r="G45" t="s">
        <v>79</v>
      </c>
      <c r="H45" s="23"/>
      <c r="I45" t="str">
        <f t="shared" si="2"/>
        <v>Q9.3</v>
      </c>
      <c r="J45" t="str">
        <f t="shared" si="3"/>
        <v/>
      </c>
      <c r="K45" t="str">
        <f t="shared" si="3"/>
        <v/>
      </c>
      <c r="L45" t="str">
        <f t="shared" si="3"/>
        <v/>
      </c>
      <c r="M45" t="str">
        <f t="shared" si="3"/>
        <v/>
      </c>
      <c r="N45" t="str">
        <f t="shared" si="3"/>
        <v/>
      </c>
      <c r="O45" t="str">
        <f t="shared" si="3"/>
        <v/>
      </c>
      <c r="V45" t="s">
        <v>218</v>
      </c>
    </row>
    <row r="46" spans="1:22" ht="15" thickBot="1" x14ac:dyDescent="0.35">
      <c r="A46" s="4" t="s">
        <v>161</v>
      </c>
      <c r="B46" t="s">
        <v>79</v>
      </c>
      <c r="C46" t="s">
        <v>79</v>
      </c>
      <c r="D46" t="s">
        <v>79</v>
      </c>
      <c r="E46">
        <v>0.13</v>
      </c>
      <c r="F46" t="s">
        <v>79</v>
      </c>
      <c r="G46" t="s">
        <v>79</v>
      </c>
      <c r="H46" s="23"/>
      <c r="I46" t="str">
        <f t="shared" si="2"/>
        <v>Q9.4</v>
      </c>
      <c r="J46" t="str">
        <f t="shared" si="3"/>
        <v/>
      </c>
      <c r="K46" t="str">
        <f t="shared" si="3"/>
        <v/>
      </c>
      <c r="L46" t="str">
        <f t="shared" si="3"/>
        <v/>
      </c>
      <c r="M46">
        <f t="shared" si="3"/>
        <v>0.13</v>
      </c>
      <c r="N46" t="str">
        <f t="shared" si="3"/>
        <v/>
      </c>
      <c r="O46" t="str">
        <f t="shared" si="3"/>
        <v/>
      </c>
      <c r="V46" t="s">
        <v>219</v>
      </c>
    </row>
    <row r="47" spans="1:22" ht="15" thickBot="1" x14ac:dyDescent="0.35">
      <c r="A47" s="4" t="s">
        <v>162</v>
      </c>
      <c r="B47" t="s">
        <v>79</v>
      </c>
      <c r="C47" t="s">
        <v>79</v>
      </c>
      <c r="D47" t="s">
        <v>79</v>
      </c>
      <c r="E47">
        <v>0.13</v>
      </c>
      <c r="F47" t="s">
        <v>79</v>
      </c>
      <c r="G47" t="s">
        <v>79</v>
      </c>
      <c r="H47" s="23"/>
      <c r="I47" t="str">
        <f t="shared" si="2"/>
        <v>Q9.5</v>
      </c>
      <c r="J47" t="str">
        <f t="shared" si="3"/>
        <v/>
      </c>
      <c r="K47" t="str">
        <f t="shared" si="3"/>
        <v/>
      </c>
      <c r="L47" t="str">
        <f t="shared" si="3"/>
        <v/>
      </c>
      <c r="M47">
        <f t="shared" si="3"/>
        <v>0.13</v>
      </c>
      <c r="N47" t="str">
        <f t="shared" si="3"/>
        <v/>
      </c>
      <c r="O47" t="str">
        <f t="shared" si="3"/>
        <v/>
      </c>
      <c r="V47" t="s">
        <v>220</v>
      </c>
    </row>
    <row r="48" spans="1:22" ht="15" thickBot="1" x14ac:dyDescent="0.35">
      <c r="A48" s="4" t="s">
        <v>163</v>
      </c>
      <c r="B48" t="s">
        <v>79</v>
      </c>
      <c r="C48" t="s">
        <v>79</v>
      </c>
      <c r="D48">
        <v>0.15</v>
      </c>
      <c r="E48">
        <v>0.16</v>
      </c>
      <c r="F48" t="s">
        <v>79</v>
      </c>
      <c r="G48">
        <v>-0.1</v>
      </c>
      <c r="H48" s="23"/>
      <c r="I48" t="str">
        <f t="shared" si="2"/>
        <v>Q10</v>
      </c>
      <c r="J48" t="str">
        <f t="shared" si="3"/>
        <v/>
      </c>
      <c r="K48" t="str">
        <f t="shared" si="3"/>
        <v/>
      </c>
      <c r="L48">
        <f t="shared" si="3"/>
        <v>0.15</v>
      </c>
      <c r="M48">
        <f t="shared" si="3"/>
        <v>0.16</v>
      </c>
      <c r="N48" t="str">
        <f t="shared" si="3"/>
        <v/>
      </c>
      <c r="O48">
        <f t="shared" si="3"/>
        <v>-0.1</v>
      </c>
      <c r="V48" t="s">
        <v>221</v>
      </c>
    </row>
    <row r="49" spans="1:22" ht="15" thickBot="1" x14ac:dyDescent="0.35">
      <c r="A49" s="4" t="s">
        <v>164</v>
      </c>
      <c r="B49" t="s">
        <v>79</v>
      </c>
      <c r="C49" t="s">
        <v>79</v>
      </c>
      <c r="D49" t="s">
        <v>79</v>
      </c>
      <c r="E49" t="s">
        <v>79</v>
      </c>
      <c r="F49" t="s">
        <v>79</v>
      </c>
      <c r="G49" t="s">
        <v>79</v>
      </c>
      <c r="H49" s="23"/>
      <c r="I49" t="str">
        <f t="shared" si="2"/>
        <v>Q11</v>
      </c>
      <c r="J49" t="str">
        <f t="shared" si="3"/>
        <v/>
      </c>
      <c r="K49" t="str">
        <f t="shared" si="3"/>
        <v/>
      </c>
      <c r="L49" t="str">
        <f t="shared" si="3"/>
        <v/>
      </c>
      <c r="M49" t="str">
        <f t="shared" si="3"/>
        <v/>
      </c>
      <c r="N49" t="str">
        <f t="shared" si="3"/>
        <v/>
      </c>
      <c r="O49" t="str">
        <f t="shared" si="3"/>
        <v/>
      </c>
    </row>
    <row r="50" spans="1:22" ht="15" thickBot="1" x14ac:dyDescent="0.35">
      <c r="A50" s="4" t="s">
        <v>165</v>
      </c>
      <c r="B50" t="s">
        <v>79</v>
      </c>
      <c r="C50" t="s">
        <v>79</v>
      </c>
      <c r="D50" t="s">
        <v>79</v>
      </c>
      <c r="E50" t="s">
        <v>79</v>
      </c>
      <c r="F50">
        <v>-0.1</v>
      </c>
      <c r="G50" t="s">
        <v>79</v>
      </c>
      <c r="H50" s="23"/>
      <c r="I50" t="str">
        <f t="shared" si="2"/>
        <v>Q12</v>
      </c>
      <c r="J50" t="str">
        <f t="shared" si="3"/>
        <v/>
      </c>
      <c r="K50" t="str">
        <f t="shared" si="3"/>
        <v/>
      </c>
      <c r="L50" t="str">
        <f t="shared" si="3"/>
        <v/>
      </c>
      <c r="M50" t="str">
        <f t="shared" si="3"/>
        <v/>
      </c>
      <c r="N50">
        <f t="shared" si="3"/>
        <v>-0.1</v>
      </c>
      <c r="O50" t="str">
        <f t="shared" si="3"/>
        <v/>
      </c>
      <c r="V50" t="s">
        <v>233</v>
      </c>
    </row>
    <row r="51" spans="1:22" ht="15" thickBot="1" x14ac:dyDescent="0.35">
      <c r="A51" s="4" t="s">
        <v>166</v>
      </c>
      <c r="B51" t="s">
        <v>79</v>
      </c>
      <c r="C51" t="s">
        <v>79</v>
      </c>
      <c r="D51">
        <v>-0.14000000000000001</v>
      </c>
      <c r="E51" t="s">
        <v>79</v>
      </c>
      <c r="F51" t="s">
        <v>79</v>
      </c>
      <c r="G51">
        <v>-0.11</v>
      </c>
      <c r="H51" s="23"/>
      <c r="I51" t="str">
        <f t="shared" si="2"/>
        <v>Q13</v>
      </c>
      <c r="J51" t="str">
        <f t="shared" si="3"/>
        <v/>
      </c>
      <c r="K51" t="str">
        <f t="shared" si="3"/>
        <v/>
      </c>
      <c r="L51">
        <f t="shared" si="3"/>
        <v>-0.14000000000000001</v>
      </c>
      <c r="M51" t="str">
        <f t="shared" si="3"/>
        <v/>
      </c>
      <c r="N51" t="str">
        <f t="shared" si="3"/>
        <v/>
      </c>
      <c r="O51">
        <f t="shared" si="3"/>
        <v>-0.11</v>
      </c>
      <c r="V51" t="s">
        <v>222</v>
      </c>
    </row>
    <row r="52" spans="1:22" ht="15" thickBot="1" x14ac:dyDescent="0.35">
      <c r="A52" s="4" t="s">
        <v>167</v>
      </c>
      <c r="B52">
        <v>-0.13</v>
      </c>
      <c r="C52" t="s">
        <v>79</v>
      </c>
      <c r="D52">
        <v>0.13</v>
      </c>
      <c r="E52">
        <v>-0.2</v>
      </c>
      <c r="F52">
        <v>0.1</v>
      </c>
      <c r="G52">
        <v>0.11</v>
      </c>
      <c r="H52" s="23"/>
      <c r="I52" t="str">
        <f t="shared" si="2"/>
        <v>Q14</v>
      </c>
      <c r="J52">
        <f t="shared" si="3"/>
        <v>-0.13</v>
      </c>
      <c r="K52" t="str">
        <f t="shared" si="3"/>
        <v/>
      </c>
      <c r="L52">
        <f t="shared" si="3"/>
        <v>0.13</v>
      </c>
      <c r="M52">
        <f t="shared" si="3"/>
        <v>-0.2</v>
      </c>
      <c r="N52">
        <f t="shared" si="3"/>
        <v>0.1</v>
      </c>
      <c r="O52">
        <f t="shared" si="3"/>
        <v>0.11</v>
      </c>
      <c r="V52" t="s">
        <v>223</v>
      </c>
    </row>
    <row r="53" spans="1:22" ht="15" thickBot="1" x14ac:dyDescent="0.35">
      <c r="A53" s="4" t="s">
        <v>168</v>
      </c>
      <c r="B53" t="s">
        <v>79</v>
      </c>
      <c r="C53" t="s">
        <v>79</v>
      </c>
      <c r="D53" t="s">
        <v>79</v>
      </c>
      <c r="E53">
        <v>-0.18</v>
      </c>
      <c r="F53" t="s">
        <v>79</v>
      </c>
      <c r="G53">
        <v>0.16</v>
      </c>
      <c r="H53" s="23"/>
      <c r="I53" t="str">
        <f t="shared" si="2"/>
        <v>Q15</v>
      </c>
      <c r="J53" t="str">
        <f t="shared" si="3"/>
        <v/>
      </c>
      <c r="K53" t="str">
        <f t="shared" si="3"/>
        <v/>
      </c>
      <c r="L53" t="str">
        <f t="shared" si="3"/>
        <v/>
      </c>
      <c r="M53">
        <f t="shared" si="3"/>
        <v>-0.18</v>
      </c>
      <c r="N53" t="str">
        <f t="shared" si="3"/>
        <v/>
      </c>
      <c r="O53">
        <f t="shared" si="3"/>
        <v>0.16</v>
      </c>
      <c r="V53" t="s">
        <v>224</v>
      </c>
    </row>
    <row r="54" spans="1:22" ht="15" thickBot="1" x14ac:dyDescent="0.35">
      <c r="A54" s="4" t="s">
        <v>169</v>
      </c>
      <c r="B54" t="s">
        <v>79</v>
      </c>
      <c r="C54" t="s">
        <v>79</v>
      </c>
      <c r="D54" t="s">
        <v>79</v>
      </c>
      <c r="E54" t="s">
        <v>79</v>
      </c>
      <c r="F54" t="s">
        <v>79</v>
      </c>
      <c r="G54" t="s">
        <v>79</v>
      </c>
      <c r="H54" s="23"/>
      <c r="I54" t="str">
        <f t="shared" si="2"/>
        <v>Q16</v>
      </c>
      <c r="J54" t="str">
        <f t="shared" si="3"/>
        <v/>
      </c>
      <c r="K54" t="str">
        <f t="shared" si="3"/>
        <v/>
      </c>
      <c r="L54" t="str">
        <f t="shared" si="3"/>
        <v/>
      </c>
      <c r="M54" t="str">
        <f t="shared" si="3"/>
        <v/>
      </c>
      <c r="N54" t="str">
        <f t="shared" si="3"/>
        <v/>
      </c>
      <c r="O54" t="str">
        <f t="shared" si="3"/>
        <v/>
      </c>
    </row>
    <row r="55" spans="1:22" ht="15" thickBot="1" x14ac:dyDescent="0.35">
      <c r="A55" s="4" t="s">
        <v>170</v>
      </c>
      <c r="B55" t="s">
        <v>79</v>
      </c>
      <c r="C55" t="s">
        <v>79</v>
      </c>
      <c r="D55" t="s">
        <v>79</v>
      </c>
      <c r="E55">
        <v>0.1</v>
      </c>
      <c r="F55" t="s">
        <v>79</v>
      </c>
      <c r="G55" t="s">
        <v>79</v>
      </c>
      <c r="H55" s="23"/>
      <c r="I55" t="str">
        <f t="shared" si="2"/>
        <v>Q16.1</v>
      </c>
      <c r="J55" t="str">
        <f t="shared" si="3"/>
        <v/>
      </c>
      <c r="K55" t="str">
        <f t="shared" si="3"/>
        <v/>
      </c>
      <c r="L55" t="str">
        <f t="shared" si="3"/>
        <v/>
      </c>
      <c r="M55">
        <f t="shared" si="3"/>
        <v>0.1</v>
      </c>
      <c r="N55" t="str">
        <f t="shared" si="3"/>
        <v/>
      </c>
      <c r="O55" t="str">
        <f t="shared" si="3"/>
        <v/>
      </c>
    </row>
    <row r="56" spans="1:22" ht="15" thickBot="1" x14ac:dyDescent="0.35">
      <c r="A56" s="4" t="s">
        <v>171</v>
      </c>
      <c r="B56" t="s">
        <v>79</v>
      </c>
      <c r="C56" t="s">
        <v>79</v>
      </c>
      <c r="D56" t="s">
        <v>79</v>
      </c>
      <c r="E56">
        <v>0.13</v>
      </c>
      <c r="F56" t="s">
        <v>79</v>
      </c>
      <c r="G56" t="s">
        <v>79</v>
      </c>
      <c r="H56" s="23"/>
      <c r="I56" t="str">
        <f t="shared" si="2"/>
        <v>Q16.2</v>
      </c>
      <c r="J56" t="str">
        <f t="shared" si="3"/>
        <v/>
      </c>
      <c r="K56" t="str">
        <f t="shared" si="3"/>
        <v/>
      </c>
      <c r="L56" t="str">
        <f t="shared" si="3"/>
        <v/>
      </c>
      <c r="M56">
        <f t="shared" si="3"/>
        <v>0.13</v>
      </c>
      <c r="N56" t="str">
        <f t="shared" si="3"/>
        <v/>
      </c>
      <c r="O56" t="str">
        <f t="shared" si="3"/>
        <v/>
      </c>
      <c r="V56" t="s">
        <v>225</v>
      </c>
    </row>
    <row r="57" spans="1:22" ht="15" thickBot="1" x14ac:dyDescent="0.35">
      <c r="A57" s="4" t="s">
        <v>172</v>
      </c>
      <c r="B57" t="s">
        <v>79</v>
      </c>
      <c r="C57" t="s">
        <v>79</v>
      </c>
      <c r="D57" t="s">
        <v>79</v>
      </c>
      <c r="E57">
        <v>0.12</v>
      </c>
      <c r="F57" t="s">
        <v>79</v>
      </c>
      <c r="G57" t="s">
        <v>79</v>
      </c>
      <c r="H57" s="23"/>
      <c r="I57" t="str">
        <f t="shared" si="2"/>
        <v>Q16.3</v>
      </c>
      <c r="J57" t="str">
        <f t="shared" si="3"/>
        <v/>
      </c>
      <c r="K57" t="str">
        <f t="shared" si="3"/>
        <v/>
      </c>
      <c r="L57" t="str">
        <f t="shared" si="3"/>
        <v/>
      </c>
      <c r="M57">
        <f t="shared" si="3"/>
        <v>0.12</v>
      </c>
      <c r="N57" t="str">
        <f t="shared" si="3"/>
        <v/>
      </c>
      <c r="O57" t="str">
        <f t="shared" si="3"/>
        <v/>
      </c>
    </row>
    <row r="58" spans="1:22" ht="15" thickBot="1" x14ac:dyDescent="0.35">
      <c r="A58" s="4" t="s">
        <v>173</v>
      </c>
      <c r="B58" t="s">
        <v>79</v>
      </c>
      <c r="C58" t="s">
        <v>79</v>
      </c>
      <c r="D58" t="s">
        <v>79</v>
      </c>
      <c r="E58">
        <v>0.12</v>
      </c>
      <c r="F58" t="s">
        <v>79</v>
      </c>
      <c r="G58" t="s">
        <v>79</v>
      </c>
      <c r="H58" s="23"/>
      <c r="I58" t="str">
        <f t="shared" si="2"/>
        <v>Q16.4</v>
      </c>
      <c r="J58" t="str">
        <f t="shared" si="3"/>
        <v/>
      </c>
      <c r="K58" t="str">
        <f t="shared" si="3"/>
        <v/>
      </c>
      <c r="L58" t="str">
        <f t="shared" si="3"/>
        <v/>
      </c>
      <c r="M58">
        <f t="shared" si="3"/>
        <v>0.12</v>
      </c>
      <c r="N58" t="str">
        <f t="shared" si="3"/>
        <v/>
      </c>
      <c r="O58" t="str">
        <f t="shared" si="3"/>
        <v/>
      </c>
    </row>
    <row r="59" spans="1:22" ht="15" thickBot="1" x14ac:dyDescent="0.35">
      <c r="A59" s="4" t="s">
        <v>174</v>
      </c>
      <c r="B59" t="s">
        <v>79</v>
      </c>
      <c r="C59" t="s">
        <v>79</v>
      </c>
      <c r="D59" t="s">
        <v>79</v>
      </c>
      <c r="E59">
        <v>0.11</v>
      </c>
      <c r="F59" t="s">
        <v>79</v>
      </c>
      <c r="G59" t="s">
        <v>79</v>
      </c>
      <c r="H59" s="23"/>
      <c r="I59" t="str">
        <f t="shared" si="2"/>
        <v>Q16.5</v>
      </c>
      <c r="J59" t="str">
        <f t="shared" ref="J59:O83" si="4">IF(ISNUMBER(B59),B59,"")</f>
        <v/>
      </c>
      <c r="K59" t="str">
        <f t="shared" si="4"/>
        <v/>
      </c>
      <c r="L59" t="str">
        <f t="shared" si="4"/>
        <v/>
      </c>
      <c r="M59">
        <f t="shared" si="4"/>
        <v>0.11</v>
      </c>
      <c r="N59" t="str">
        <f t="shared" si="4"/>
        <v/>
      </c>
      <c r="O59" t="str">
        <f t="shared" si="4"/>
        <v/>
      </c>
    </row>
    <row r="60" spans="1:22" ht="15" thickBot="1" x14ac:dyDescent="0.35">
      <c r="A60" s="4" t="s">
        <v>175</v>
      </c>
      <c r="B60" t="s">
        <v>79</v>
      </c>
      <c r="C60" t="s">
        <v>79</v>
      </c>
      <c r="D60" t="s">
        <v>79</v>
      </c>
      <c r="E60">
        <v>0.11</v>
      </c>
      <c r="F60" t="s">
        <v>79</v>
      </c>
      <c r="G60" t="s">
        <v>79</v>
      </c>
      <c r="H60" s="23"/>
      <c r="I60" t="str">
        <f t="shared" si="2"/>
        <v>Q16.6</v>
      </c>
      <c r="J60" t="str">
        <f t="shared" si="4"/>
        <v/>
      </c>
      <c r="K60" t="str">
        <f t="shared" si="4"/>
        <v/>
      </c>
      <c r="L60" t="str">
        <f t="shared" si="4"/>
        <v/>
      </c>
      <c r="M60">
        <f t="shared" si="4"/>
        <v>0.11</v>
      </c>
      <c r="N60" t="str">
        <f t="shared" si="4"/>
        <v/>
      </c>
      <c r="O60" t="str">
        <f t="shared" si="4"/>
        <v/>
      </c>
    </row>
    <row r="61" spans="1:22" ht="15" thickBot="1" x14ac:dyDescent="0.35">
      <c r="A61" s="4" t="s">
        <v>176</v>
      </c>
      <c r="B61" t="s">
        <v>79</v>
      </c>
      <c r="C61" t="s">
        <v>79</v>
      </c>
      <c r="D61" t="s">
        <v>79</v>
      </c>
      <c r="E61">
        <v>0.1</v>
      </c>
      <c r="F61" t="s">
        <v>79</v>
      </c>
      <c r="G61" t="s">
        <v>79</v>
      </c>
      <c r="H61" s="23"/>
      <c r="I61" t="str">
        <f t="shared" si="2"/>
        <v>Q16.7</v>
      </c>
      <c r="J61" t="str">
        <f t="shared" si="4"/>
        <v/>
      </c>
      <c r="K61" t="str">
        <f t="shared" si="4"/>
        <v/>
      </c>
      <c r="L61" t="str">
        <f t="shared" si="4"/>
        <v/>
      </c>
      <c r="M61">
        <f t="shared" si="4"/>
        <v>0.1</v>
      </c>
      <c r="N61" t="str">
        <f t="shared" si="4"/>
        <v/>
      </c>
      <c r="O61" t="str">
        <f t="shared" si="4"/>
        <v/>
      </c>
    </row>
    <row r="62" spans="1:22" ht="15" thickBot="1" x14ac:dyDescent="0.35">
      <c r="A62" s="4" t="s">
        <v>177</v>
      </c>
      <c r="B62" t="s">
        <v>79</v>
      </c>
      <c r="C62" t="s">
        <v>79</v>
      </c>
      <c r="D62" t="s">
        <v>79</v>
      </c>
      <c r="E62" t="s">
        <v>79</v>
      </c>
      <c r="F62" t="s">
        <v>79</v>
      </c>
      <c r="G62" t="s">
        <v>79</v>
      </c>
      <c r="H62" s="23"/>
      <c r="I62" t="str">
        <f t="shared" si="2"/>
        <v>Q16.8</v>
      </c>
      <c r="J62" t="str">
        <f t="shared" si="4"/>
        <v/>
      </c>
      <c r="K62" t="str">
        <f t="shared" si="4"/>
        <v/>
      </c>
      <c r="L62" t="str">
        <f t="shared" si="4"/>
        <v/>
      </c>
      <c r="M62" t="str">
        <f t="shared" si="4"/>
        <v/>
      </c>
      <c r="N62" t="str">
        <f t="shared" si="4"/>
        <v/>
      </c>
      <c r="O62" t="str">
        <f t="shared" si="4"/>
        <v/>
      </c>
    </row>
    <row r="63" spans="1:22" ht="15" thickBot="1" x14ac:dyDescent="0.35">
      <c r="A63" s="4" t="s">
        <v>178</v>
      </c>
      <c r="B63" t="s">
        <v>79</v>
      </c>
      <c r="C63" t="s">
        <v>79</v>
      </c>
      <c r="D63" t="s">
        <v>79</v>
      </c>
      <c r="E63" t="s">
        <v>79</v>
      </c>
      <c r="F63" t="s">
        <v>79</v>
      </c>
      <c r="G63" t="s">
        <v>79</v>
      </c>
      <c r="H63" s="23"/>
      <c r="I63" t="str">
        <f t="shared" si="2"/>
        <v>Q16.9</v>
      </c>
      <c r="J63" t="str">
        <f t="shared" si="4"/>
        <v/>
      </c>
      <c r="K63" t="str">
        <f t="shared" si="4"/>
        <v/>
      </c>
      <c r="L63" t="str">
        <f t="shared" si="4"/>
        <v/>
      </c>
      <c r="M63" t="str">
        <f t="shared" si="4"/>
        <v/>
      </c>
      <c r="N63" t="str">
        <f t="shared" si="4"/>
        <v/>
      </c>
      <c r="O63" t="str">
        <f t="shared" si="4"/>
        <v/>
      </c>
    </row>
    <row r="64" spans="1:22" ht="15" thickBot="1" x14ac:dyDescent="0.35">
      <c r="A64" s="4" t="s">
        <v>179</v>
      </c>
      <c r="B64" t="s">
        <v>79</v>
      </c>
      <c r="C64" t="s">
        <v>79</v>
      </c>
      <c r="D64" t="s">
        <v>79</v>
      </c>
      <c r="E64" t="s">
        <v>79</v>
      </c>
      <c r="F64" t="s">
        <v>79</v>
      </c>
      <c r="G64" t="s">
        <v>79</v>
      </c>
      <c r="H64" s="23"/>
      <c r="I64" t="str">
        <f t="shared" si="2"/>
        <v>Q16.10</v>
      </c>
      <c r="J64" t="str">
        <f t="shared" si="4"/>
        <v/>
      </c>
      <c r="K64" t="str">
        <f t="shared" si="4"/>
        <v/>
      </c>
      <c r="L64" t="str">
        <f t="shared" si="4"/>
        <v/>
      </c>
      <c r="M64" t="str">
        <f t="shared" si="4"/>
        <v/>
      </c>
      <c r="N64" t="str">
        <f t="shared" si="4"/>
        <v/>
      </c>
      <c r="O64" t="str">
        <f t="shared" si="4"/>
        <v/>
      </c>
    </row>
    <row r="65" spans="1:22" ht="15" thickBot="1" x14ac:dyDescent="0.35">
      <c r="A65" s="4" t="s">
        <v>180</v>
      </c>
      <c r="B65" t="s">
        <v>79</v>
      </c>
      <c r="C65" t="s">
        <v>79</v>
      </c>
      <c r="D65" t="s">
        <v>79</v>
      </c>
      <c r="E65">
        <v>0.13</v>
      </c>
      <c r="F65" t="s">
        <v>79</v>
      </c>
      <c r="G65" t="s">
        <v>79</v>
      </c>
      <c r="H65" s="23"/>
      <c r="I65" t="str">
        <f t="shared" si="2"/>
        <v>Q16.11</v>
      </c>
      <c r="J65" t="str">
        <f t="shared" si="4"/>
        <v/>
      </c>
      <c r="K65" t="str">
        <f t="shared" si="4"/>
        <v/>
      </c>
      <c r="L65" t="str">
        <f t="shared" si="4"/>
        <v/>
      </c>
      <c r="M65">
        <f t="shared" si="4"/>
        <v>0.13</v>
      </c>
      <c r="N65" t="str">
        <f t="shared" si="4"/>
        <v/>
      </c>
      <c r="O65" t="str">
        <f t="shared" si="4"/>
        <v/>
      </c>
    </row>
    <row r="66" spans="1:22" ht="15" thickBot="1" x14ac:dyDescent="0.35">
      <c r="A66" s="4" t="s">
        <v>181</v>
      </c>
      <c r="B66" t="s">
        <v>79</v>
      </c>
      <c r="C66" t="s">
        <v>79</v>
      </c>
      <c r="D66" t="s">
        <v>79</v>
      </c>
      <c r="E66" t="s">
        <v>79</v>
      </c>
      <c r="F66" t="s">
        <v>79</v>
      </c>
      <c r="G66" t="s">
        <v>79</v>
      </c>
      <c r="H66" s="23"/>
      <c r="I66" t="str">
        <f t="shared" si="2"/>
        <v>Q16.12</v>
      </c>
      <c r="J66" t="str">
        <f t="shared" si="4"/>
        <v/>
      </c>
      <c r="K66" t="str">
        <f t="shared" si="4"/>
        <v/>
      </c>
      <c r="L66" t="str">
        <f t="shared" si="4"/>
        <v/>
      </c>
      <c r="M66" t="str">
        <f t="shared" si="4"/>
        <v/>
      </c>
      <c r="N66" t="str">
        <f t="shared" si="4"/>
        <v/>
      </c>
      <c r="O66" t="str">
        <f t="shared" si="4"/>
        <v/>
      </c>
    </row>
    <row r="67" spans="1:22" ht="15" thickBot="1" x14ac:dyDescent="0.35">
      <c r="A67" s="4" t="s">
        <v>182</v>
      </c>
      <c r="B67" t="s">
        <v>79</v>
      </c>
      <c r="C67" t="s">
        <v>79</v>
      </c>
      <c r="D67" t="s">
        <v>79</v>
      </c>
      <c r="E67">
        <v>0.15</v>
      </c>
      <c r="F67" t="s">
        <v>79</v>
      </c>
      <c r="G67" t="s">
        <v>79</v>
      </c>
      <c r="H67" s="23"/>
      <c r="I67" t="str">
        <f t="shared" si="2"/>
        <v>Q16.13</v>
      </c>
      <c r="J67" t="str">
        <f t="shared" si="4"/>
        <v/>
      </c>
      <c r="K67" t="str">
        <f t="shared" si="4"/>
        <v/>
      </c>
      <c r="L67" t="str">
        <f t="shared" si="4"/>
        <v/>
      </c>
      <c r="M67">
        <f t="shared" si="4"/>
        <v>0.15</v>
      </c>
      <c r="N67" t="str">
        <f t="shared" si="4"/>
        <v/>
      </c>
      <c r="O67" t="str">
        <f t="shared" si="4"/>
        <v/>
      </c>
      <c r="V67" t="s">
        <v>226</v>
      </c>
    </row>
    <row r="68" spans="1:22" ht="15" thickBot="1" x14ac:dyDescent="0.35">
      <c r="A68" s="4" t="s">
        <v>183</v>
      </c>
      <c r="B68" t="s">
        <v>79</v>
      </c>
      <c r="C68" t="s">
        <v>79</v>
      </c>
      <c r="D68" t="s">
        <v>79</v>
      </c>
      <c r="E68">
        <v>0.13</v>
      </c>
      <c r="F68" t="s">
        <v>79</v>
      </c>
      <c r="G68" t="s">
        <v>79</v>
      </c>
      <c r="H68" s="23"/>
      <c r="I68" t="str">
        <f t="shared" ref="I68:I83" si="5">A68</f>
        <v>Q16.14</v>
      </c>
      <c r="J68" t="str">
        <f t="shared" si="4"/>
        <v/>
      </c>
      <c r="K68" t="str">
        <f t="shared" si="4"/>
        <v/>
      </c>
      <c r="L68" t="str">
        <f t="shared" si="4"/>
        <v/>
      </c>
      <c r="M68">
        <f t="shared" si="4"/>
        <v>0.13</v>
      </c>
      <c r="N68" t="str">
        <f t="shared" si="4"/>
        <v/>
      </c>
      <c r="O68" t="str">
        <f t="shared" si="4"/>
        <v/>
      </c>
      <c r="V68" t="s">
        <v>227</v>
      </c>
    </row>
    <row r="69" spans="1:22" ht="15" thickBot="1" x14ac:dyDescent="0.35">
      <c r="A69" s="4" t="s">
        <v>184</v>
      </c>
      <c r="B69" t="s">
        <v>79</v>
      </c>
      <c r="C69" t="s">
        <v>79</v>
      </c>
      <c r="D69" t="s">
        <v>79</v>
      </c>
      <c r="E69">
        <v>0.11</v>
      </c>
      <c r="F69" t="s">
        <v>79</v>
      </c>
      <c r="G69" t="s">
        <v>79</v>
      </c>
      <c r="H69" s="23"/>
      <c r="I69" t="str">
        <f t="shared" si="5"/>
        <v>Q16.15</v>
      </c>
      <c r="J69" t="str">
        <f t="shared" si="4"/>
        <v/>
      </c>
      <c r="K69" t="str">
        <f t="shared" si="4"/>
        <v/>
      </c>
      <c r="L69" t="str">
        <f t="shared" si="4"/>
        <v/>
      </c>
      <c r="M69">
        <f t="shared" si="4"/>
        <v>0.11</v>
      </c>
      <c r="N69" t="str">
        <f t="shared" si="4"/>
        <v/>
      </c>
      <c r="O69" t="str">
        <f t="shared" si="4"/>
        <v/>
      </c>
    </row>
    <row r="70" spans="1:22" ht="15" thickBot="1" x14ac:dyDescent="0.35">
      <c r="A70" s="4" t="s">
        <v>185</v>
      </c>
      <c r="B70" t="s">
        <v>79</v>
      </c>
      <c r="C70" t="s">
        <v>79</v>
      </c>
      <c r="D70" t="s">
        <v>79</v>
      </c>
      <c r="E70">
        <v>0.15</v>
      </c>
      <c r="F70" t="s">
        <v>79</v>
      </c>
      <c r="G70" t="s">
        <v>79</v>
      </c>
      <c r="H70" s="23"/>
      <c r="I70" t="str">
        <f t="shared" si="5"/>
        <v>Q16.16</v>
      </c>
      <c r="J70" t="str">
        <f t="shared" si="4"/>
        <v/>
      </c>
      <c r="K70" t="str">
        <f t="shared" si="4"/>
        <v/>
      </c>
      <c r="L70" t="str">
        <f t="shared" si="4"/>
        <v/>
      </c>
      <c r="M70">
        <f t="shared" si="4"/>
        <v>0.15</v>
      </c>
      <c r="N70" t="str">
        <f t="shared" si="4"/>
        <v/>
      </c>
      <c r="O70" t="str">
        <f t="shared" si="4"/>
        <v/>
      </c>
      <c r="V70" t="s">
        <v>228</v>
      </c>
    </row>
    <row r="71" spans="1:22" ht="15" thickBot="1" x14ac:dyDescent="0.35">
      <c r="A71" s="4" t="s">
        <v>186</v>
      </c>
      <c r="B71" t="s">
        <v>79</v>
      </c>
      <c r="C71" t="s">
        <v>79</v>
      </c>
      <c r="D71" t="s">
        <v>79</v>
      </c>
      <c r="E71">
        <v>0.11</v>
      </c>
      <c r="F71" t="s">
        <v>79</v>
      </c>
      <c r="G71" t="s">
        <v>79</v>
      </c>
      <c r="H71" s="23"/>
      <c r="I71" t="str">
        <f t="shared" si="5"/>
        <v>Q16.17</v>
      </c>
      <c r="J71" t="str">
        <f t="shared" si="4"/>
        <v/>
      </c>
      <c r="K71" t="str">
        <f t="shared" si="4"/>
        <v/>
      </c>
      <c r="L71" t="str">
        <f t="shared" si="4"/>
        <v/>
      </c>
      <c r="M71">
        <f t="shared" si="4"/>
        <v>0.11</v>
      </c>
      <c r="N71" t="str">
        <f t="shared" si="4"/>
        <v/>
      </c>
      <c r="O71" t="str">
        <f t="shared" si="4"/>
        <v/>
      </c>
    </row>
    <row r="72" spans="1:22" ht="15" thickBot="1" x14ac:dyDescent="0.35">
      <c r="A72" s="4" t="s">
        <v>187</v>
      </c>
      <c r="B72" t="s">
        <v>79</v>
      </c>
      <c r="C72" t="s">
        <v>79</v>
      </c>
      <c r="D72" t="s">
        <v>79</v>
      </c>
      <c r="E72">
        <v>0.1</v>
      </c>
      <c r="F72" t="s">
        <v>79</v>
      </c>
      <c r="G72" t="s">
        <v>79</v>
      </c>
      <c r="H72" s="23"/>
      <c r="I72" t="str">
        <f t="shared" si="5"/>
        <v>Q16.18</v>
      </c>
      <c r="J72" t="str">
        <f t="shared" si="4"/>
        <v/>
      </c>
      <c r="K72" t="str">
        <f t="shared" si="4"/>
        <v/>
      </c>
      <c r="L72" t="str">
        <f t="shared" si="4"/>
        <v/>
      </c>
      <c r="M72">
        <f t="shared" si="4"/>
        <v>0.1</v>
      </c>
      <c r="N72" t="str">
        <f t="shared" si="4"/>
        <v/>
      </c>
      <c r="O72" t="str">
        <f t="shared" si="4"/>
        <v/>
      </c>
    </row>
    <row r="73" spans="1:22" ht="15" thickBot="1" x14ac:dyDescent="0.35">
      <c r="A73" s="4" t="s">
        <v>188</v>
      </c>
      <c r="B73" t="s">
        <v>79</v>
      </c>
      <c r="C73" t="s">
        <v>79</v>
      </c>
      <c r="D73" t="s">
        <v>79</v>
      </c>
      <c r="E73" t="s">
        <v>79</v>
      </c>
      <c r="F73" t="s">
        <v>79</v>
      </c>
      <c r="G73" t="s">
        <v>79</v>
      </c>
      <c r="H73" s="23"/>
      <c r="I73" t="str">
        <f t="shared" si="5"/>
        <v>Q16.19</v>
      </c>
      <c r="J73" t="str">
        <f t="shared" si="4"/>
        <v/>
      </c>
      <c r="K73" t="str">
        <f t="shared" si="4"/>
        <v/>
      </c>
      <c r="L73" t="str">
        <f t="shared" si="4"/>
        <v/>
      </c>
      <c r="M73" t="str">
        <f t="shared" si="4"/>
        <v/>
      </c>
      <c r="N73" t="str">
        <f t="shared" si="4"/>
        <v/>
      </c>
      <c r="O73" t="str">
        <f t="shared" si="4"/>
        <v/>
      </c>
    </row>
    <row r="74" spans="1:22" ht="15" thickBot="1" x14ac:dyDescent="0.35">
      <c r="A74" s="4" t="s">
        <v>189</v>
      </c>
      <c r="B74" t="s">
        <v>79</v>
      </c>
      <c r="C74" t="s">
        <v>79</v>
      </c>
      <c r="D74" t="s">
        <v>79</v>
      </c>
      <c r="E74">
        <v>0.1</v>
      </c>
      <c r="F74" t="s">
        <v>79</v>
      </c>
      <c r="G74" t="s">
        <v>79</v>
      </c>
      <c r="H74" s="23"/>
      <c r="I74" t="str">
        <f t="shared" si="5"/>
        <v>Q16.20</v>
      </c>
      <c r="J74" t="str">
        <f t="shared" si="4"/>
        <v/>
      </c>
      <c r="K74" t="str">
        <f t="shared" si="4"/>
        <v/>
      </c>
      <c r="L74" t="str">
        <f t="shared" si="4"/>
        <v/>
      </c>
      <c r="M74">
        <f t="shared" si="4"/>
        <v>0.1</v>
      </c>
      <c r="N74" t="str">
        <f t="shared" si="4"/>
        <v/>
      </c>
      <c r="O74" t="str">
        <f t="shared" si="4"/>
        <v/>
      </c>
    </row>
    <row r="75" spans="1:22" ht="15" thickBot="1" x14ac:dyDescent="0.35">
      <c r="A75" s="4" t="s">
        <v>190</v>
      </c>
      <c r="B75" t="s">
        <v>79</v>
      </c>
      <c r="C75" t="s">
        <v>79</v>
      </c>
      <c r="D75" t="s">
        <v>79</v>
      </c>
      <c r="E75">
        <v>0.1</v>
      </c>
      <c r="F75" t="s">
        <v>79</v>
      </c>
      <c r="G75" t="s">
        <v>79</v>
      </c>
      <c r="H75" s="23"/>
      <c r="I75" t="str">
        <f t="shared" si="5"/>
        <v>Q16.21</v>
      </c>
      <c r="J75" t="str">
        <f t="shared" si="4"/>
        <v/>
      </c>
      <c r="K75" t="str">
        <f t="shared" si="4"/>
        <v/>
      </c>
      <c r="L75" t="str">
        <f t="shared" si="4"/>
        <v/>
      </c>
      <c r="M75">
        <f t="shared" si="4"/>
        <v>0.1</v>
      </c>
      <c r="N75" t="str">
        <f t="shared" si="4"/>
        <v/>
      </c>
      <c r="O75" t="str">
        <f t="shared" si="4"/>
        <v/>
      </c>
    </row>
    <row r="76" spans="1:22" ht="15" thickBot="1" x14ac:dyDescent="0.35">
      <c r="A76" s="4" t="s">
        <v>191</v>
      </c>
      <c r="B76" t="s">
        <v>79</v>
      </c>
      <c r="C76" t="s">
        <v>79</v>
      </c>
      <c r="D76" t="s">
        <v>79</v>
      </c>
      <c r="E76" t="s">
        <v>79</v>
      </c>
      <c r="F76" t="s">
        <v>79</v>
      </c>
      <c r="G76" t="s">
        <v>79</v>
      </c>
      <c r="H76" s="23"/>
      <c r="I76" t="str">
        <f t="shared" si="5"/>
        <v>Q16.22</v>
      </c>
      <c r="J76" t="str">
        <f t="shared" si="4"/>
        <v/>
      </c>
      <c r="K76" t="str">
        <f t="shared" si="4"/>
        <v/>
      </c>
      <c r="L76" t="str">
        <f t="shared" si="4"/>
        <v/>
      </c>
      <c r="M76" t="str">
        <f t="shared" si="4"/>
        <v/>
      </c>
      <c r="N76" t="str">
        <f t="shared" si="4"/>
        <v/>
      </c>
      <c r="O76" t="str">
        <f t="shared" si="4"/>
        <v/>
      </c>
    </row>
    <row r="77" spans="1:22" ht="15" thickBot="1" x14ac:dyDescent="0.35">
      <c r="A77" s="4" t="s">
        <v>192</v>
      </c>
      <c r="B77" t="s">
        <v>79</v>
      </c>
      <c r="C77" t="s">
        <v>79</v>
      </c>
      <c r="D77" t="s">
        <v>79</v>
      </c>
      <c r="E77" t="s">
        <v>79</v>
      </c>
      <c r="F77" t="s">
        <v>79</v>
      </c>
      <c r="G77" t="s">
        <v>79</v>
      </c>
      <c r="H77" s="23"/>
      <c r="I77" t="str">
        <f t="shared" si="5"/>
        <v>Q16.23</v>
      </c>
      <c r="J77" t="str">
        <f t="shared" si="4"/>
        <v/>
      </c>
      <c r="K77" t="str">
        <f t="shared" si="4"/>
        <v/>
      </c>
      <c r="L77" t="str">
        <f t="shared" si="4"/>
        <v/>
      </c>
      <c r="M77" t="str">
        <f t="shared" si="4"/>
        <v/>
      </c>
      <c r="N77" t="str">
        <f t="shared" si="4"/>
        <v/>
      </c>
      <c r="O77" t="str">
        <f t="shared" si="4"/>
        <v/>
      </c>
    </row>
    <row r="78" spans="1:22" ht="15" thickBot="1" x14ac:dyDescent="0.35">
      <c r="A78" s="4" t="s">
        <v>193</v>
      </c>
      <c r="B78" t="s">
        <v>79</v>
      </c>
      <c r="C78" t="s">
        <v>79</v>
      </c>
      <c r="D78" t="s">
        <v>79</v>
      </c>
      <c r="E78" t="s">
        <v>79</v>
      </c>
      <c r="F78" t="s">
        <v>79</v>
      </c>
      <c r="G78" t="s">
        <v>79</v>
      </c>
      <c r="H78" s="23"/>
      <c r="I78" t="str">
        <f t="shared" si="5"/>
        <v>Q16.24</v>
      </c>
      <c r="J78" t="str">
        <f t="shared" si="4"/>
        <v/>
      </c>
      <c r="K78" t="str">
        <f t="shared" si="4"/>
        <v/>
      </c>
      <c r="L78" t="str">
        <f t="shared" si="4"/>
        <v/>
      </c>
      <c r="M78" t="str">
        <f t="shared" si="4"/>
        <v/>
      </c>
      <c r="N78" t="str">
        <f t="shared" si="4"/>
        <v/>
      </c>
      <c r="O78" t="str">
        <f t="shared" si="4"/>
        <v/>
      </c>
    </row>
    <row r="79" spans="1:22" ht="15" thickBot="1" x14ac:dyDescent="0.35">
      <c r="A79" s="4" t="s">
        <v>194</v>
      </c>
      <c r="B79" t="s">
        <v>79</v>
      </c>
      <c r="C79" t="s">
        <v>79</v>
      </c>
      <c r="D79" t="s">
        <v>79</v>
      </c>
      <c r="E79">
        <v>0.14000000000000001</v>
      </c>
      <c r="F79" t="s">
        <v>79</v>
      </c>
      <c r="G79" t="s">
        <v>79</v>
      </c>
      <c r="H79" s="23"/>
      <c r="I79" t="str">
        <f t="shared" si="5"/>
        <v>Q16.25</v>
      </c>
      <c r="J79" t="str">
        <f t="shared" si="4"/>
        <v/>
      </c>
      <c r="K79" t="str">
        <f t="shared" si="4"/>
        <v/>
      </c>
      <c r="L79" t="str">
        <f t="shared" si="4"/>
        <v/>
      </c>
      <c r="M79">
        <f t="shared" si="4"/>
        <v>0.14000000000000001</v>
      </c>
      <c r="N79" t="str">
        <f t="shared" si="4"/>
        <v/>
      </c>
      <c r="O79" t="str">
        <f t="shared" si="4"/>
        <v/>
      </c>
      <c r="V79" t="s">
        <v>229</v>
      </c>
    </row>
    <row r="80" spans="1:22" ht="15" thickBot="1" x14ac:dyDescent="0.35">
      <c r="A80" s="4" t="s">
        <v>195</v>
      </c>
      <c r="B80" t="s">
        <v>79</v>
      </c>
      <c r="C80" t="s">
        <v>79</v>
      </c>
      <c r="D80" t="s">
        <v>79</v>
      </c>
      <c r="E80">
        <v>0.11</v>
      </c>
      <c r="F80" t="s">
        <v>79</v>
      </c>
      <c r="G80" t="s">
        <v>79</v>
      </c>
      <c r="H80" s="23"/>
      <c r="I80" t="str">
        <f t="shared" si="5"/>
        <v>Q16.26</v>
      </c>
      <c r="J80" t="str">
        <f t="shared" si="4"/>
        <v/>
      </c>
      <c r="K80" t="str">
        <f t="shared" si="4"/>
        <v/>
      </c>
      <c r="L80" t="str">
        <f t="shared" si="4"/>
        <v/>
      </c>
      <c r="M80">
        <f t="shared" si="4"/>
        <v>0.11</v>
      </c>
      <c r="N80" t="str">
        <f t="shared" si="4"/>
        <v/>
      </c>
      <c r="O80" t="str">
        <f t="shared" si="4"/>
        <v/>
      </c>
    </row>
    <row r="81" spans="1:22" ht="15" thickBot="1" x14ac:dyDescent="0.35">
      <c r="A81" s="4" t="s">
        <v>196</v>
      </c>
      <c r="B81" t="s">
        <v>79</v>
      </c>
      <c r="C81" t="s">
        <v>79</v>
      </c>
      <c r="D81" t="s">
        <v>79</v>
      </c>
      <c r="E81">
        <v>0.15</v>
      </c>
      <c r="F81" t="s">
        <v>79</v>
      </c>
      <c r="G81" t="s">
        <v>79</v>
      </c>
      <c r="H81" s="23"/>
      <c r="I81" t="str">
        <f t="shared" si="5"/>
        <v>Q16.27</v>
      </c>
      <c r="J81" t="str">
        <f t="shared" si="4"/>
        <v/>
      </c>
      <c r="K81" t="str">
        <f t="shared" si="4"/>
        <v/>
      </c>
      <c r="L81" t="str">
        <f t="shared" si="4"/>
        <v/>
      </c>
      <c r="M81">
        <f t="shared" si="4"/>
        <v>0.15</v>
      </c>
      <c r="N81" t="str">
        <f t="shared" si="4"/>
        <v/>
      </c>
      <c r="O81" t="str">
        <f t="shared" si="4"/>
        <v/>
      </c>
      <c r="V81" t="s">
        <v>230</v>
      </c>
    </row>
    <row r="82" spans="1:22" ht="15" thickBot="1" x14ac:dyDescent="0.35">
      <c r="A82" s="4" t="s">
        <v>197</v>
      </c>
      <c r="B82" t="s">
        <v>79</v>
      </c>
      <c r="C82" t="s">
        <v>79</v>
      </c>
      <c r="D82">
        <v>0.21</v>
      </c>
      <c r="E82">
        <v>0.42</v>
      </c>
      <c r="F82">
        <v>-0.3</v>
      </c>
      <c r="G82">
        <v>-0.18</v>
      </c>
      <c r="H82" s="23"/>
      <c r="I82" t="str">
        <f t="shared" si="5"/>
        <v>Q17</v>
      </c>
      <c r="J82" t="str">
        <f t="shared" si="4"/>
        <v/>
      </c>
      <c r="K82" t="str">
        <f t="shared" si="4"/>
        <v/>
      </c>
      <c r="L82">
        <f t="shared" si="4"/>
        <v>0.21</v>
      </c>
      <c r="M82">
        <f t="shared" si="4"/>
        <v>0.42</v>
      </c>
      <c r="N82">
        <f t="shared" si="4"/>
        <v>-0.3</v>
      </c>
      <c r="O82">
        <f t="shared" si="4"/>
        <v>-0.18</v>
      </c>
      <c r="V82" t="s">
        <v>231</v>
      </c>
    </row>
    <row r="83" spans="1:22" ht="15" thickBot="1" x14ac:dyDescent="0.35">
      <c r="A83" s="4" t="s">
        <v>198</v>
      </c>
      <c r="B83" t="s">
        <v>79</v>
      </c>
      <c r="C83" t="s">
        <v>79</v>
      </c>
      <c r="D83" t="s">
        <v>79</v>
      </c>
      <c r="E83">
        <v>-0.24</v>
      </c>
      <c r="F83" t="s">
        <v>79</v>
      </c>
      <c r="G83">
        <v>0.25</v>
      </c>
      <c r="H83" s="23"/>
      <c r="I83" t="str">
        <f t="shared" si="5"/>
        <v>Q18</v>
      </c>
      <c r="J83" t="str">
        <f t="shared" si="4"/>
        <v/>
      </c>
      <c r="K83" t="str">
        <f t="shared" si="4"/>
        <v/>
      </c>
      <c r="L83" t="str">
        <f t="shared" si="4"/>
        <v/>
      </c>
      <c r="M83">
        <f t="shared" si="4"/>
        <v>-0.24</v>
      </c>
      <c r="N83" t="str">
        <f t="shared" si="4"/>
        <v/>
      </c>
      <c r="O83">
        <f t="shared" si="4"/>
        <v>0.25</v>
      </c>
      <c r="V83" t="s">
        <v>232</v>
      </c>
    </row>
  </sheetData>
  <conditionalFormatting sqref="J3:J83">
    <cfRule type="colorScale" priority="3">
      <colorScale>
        <cfvo type="min"/>
        <cfvo type="percentile" val="50"/>
        <cfvo type="max"/>
        <color rgb="FFF8696B"/>
        <color rgb="FFFFEB84"/>
        <color rgb="FF63BE7B"/>
      </colorScale>
    </cfRule>
  </conditionalFormatting>
  <conditionalFormatting sqref="P3:U83">
    <cfRule type="colorScale" priority="2">
      <colorScale>
        <cfvo type="min"/>
        <cfvo type="percentile" val="50"/>
        <cfvo type="max"/>
        <color rgb="FFF8696B"/>
        <color rgb="FFFFEB84"/>
        <color rgb="FF63BE7B"/>
      </colorScale>
    </cfRule>
  </conditionalFormatting>
  <conditionalFormatting sqref="K3:O83">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3F2B5-A223-423F-A2D3-FAA96453CE2D}">
  <dimension ref="A1:W31"/>
  <sheetViews>
    <sheetView topLeftCell="R7" workbookViewId="0">
      <selection activeCell="S30" sqref="S30"/>
    </sheetView>
  </sheetViews>
  <sheetFormatPr defaultRowHeight="14.4" x14ac:dyDescent="0.3"/>
  <cols>
    <col min="14" max="14" width="55.6640625" bestFit="1" customWidth="1"/>
    <col min="15" max="15" width="44.44140625" bestFit="1" customWidth="1"/>
    <col min="16" max="16" width="56.44140625" bestFit="1" customWidth="1"/>
    <col min="17" max="17" width="44.21875" bestFit="1" customWidth="1"/>
    <col min="18" max="18" width="53.44140625" bestFit="1" customWidth="1"/>
    <col min="19" max="19" width="50.33203125" bestFit="1" customWidth="1"/>
    <col min="21" max="21" width="47.6640625" bestFit="1" customWidth="1"/>
  </cols>
  <sheetData>
    <row r="1" spans="1:23" ht="23.4" x14ac:dyDescent="0.45">
      <c r="A1" s="17" t="s">
        <v>122</v>
      </c>
    </row>
    <row r="2" spans="1:23" ht="19.8" thickBot="1" x14ac:dyDescent="0.35">
      <c r="A2" s="3" t="s">
        <v>63</v>
      </c>
      <c r="B2" s="3" t="s">
        <v>49</v>
      </c>
      <c r="C2" s="3" t="s">
        <v>50</v>
      </c>
      <c r="D2" s="3" t="s">
        <v>51</v>
      </c>
      <c r="E2" s="3" t="s">
        <v>52</v>
      </c>
      <c r="F2" s="3" t="s">
        <v>53</v>
      </c>
      <c r="G2" s="3" t="s">
        <v>54</v>
      </c>
      <c r="H2" s="3" t="s">
        <v>55</v>
      </c>
      <c r="I2" s="3" t="s">
        <v>56</v>
      </c>
      <c r="J2" s="3" t="s">
        <v>57</v>
      </c>
      <c r="K2" s="3" t="s">
        <v>58</v>
      </c>
      <c r="L2" s="3" t="s">
        <v>59</v>
      </c>
      <c r="M2" s="3" t="s">
        <v>60</v>
      </c>
      <c r="N2" s="3" t="s">
        <v>129</v>
      </c>
      <c r="O2" s="3" t="s">
        <v>128</v>
      </c>
      <c r="P2" s="3" t="s">
        <v>136</v>
      </c>
      <c r="Q2" s="3" t="s">
        <v>130</v>
      </c>
      <c r="R2" s="3" t="s">
        <v>138</v>
      </c>
      <c r="S2" s="3" t="s">
        <v>135</v>
      </c>
      <c r="T2" s="3" t="s">
        <v>142</v>
      </c>
      <c r="U2" s="3" t="s">
        <v>143</v>
      </c>
      <c r="V2" s="3" t="s">
        <v>132</v>
      </c>
      <c r="W2" s="3" t="s">
        <v>139</v>
      </c>
    </row>
    <row r="3" spans="1:23" ht="15" thickBot="1" x14ac:dyDescent="0.35">
      <c r="A3" s="4">
        <v>27</v>
      </c>
      <c r="B3" s="5">
        <v>0.92</v>
      </c>
      <c r="C3" s="6" t="s">
        <v>79</v>
      </c>
      <c r="D3" s="6" t="s">
        <v>79</v>
      </c>
      <c r="E3" s="6" t="s">
        <v>79</v>
      </c>
      <c r="F3" s="6" t="s">
        <v>79</v>
      </c>
      <c r="G3" s="7" t="s">
        <v>79</v>
      </c>
      <c r="H3" s="7" t="s">
        <v>79</v>
      </c>
      <c r="I3" s="7" t="s">
        <v>79</v>
      </c>
      <c r="J3" s="7" t="s">
        <v>79</v>
      </c>
      <c r="K3" s="7" t="s">
        <v>79</v>
      </c>
      <c r="L3" s="7"/>
      <c r="M3" s="7"/>
      <c r="N3" s="13" t="str">
        <f>IF(IF(ISNUMBER(B3),VLOOKUP($A3,List!$A$1:$B$29,2,FALSE))=FALSE,"",IF(ISNUMBER(B3),VLOOKUP($A3,List!$A$1:$B$29,2,FALSE)))</f>
        <v>Boating is the number one thing I do with my spare time</v>
      </c>
      <c r="O3" s="13" t="str">
        <f>IF(IF(ISNUMBER(C3),VLOOKUP($A3,List!$A$1:$B$29,2,FALSE))=FALSE,"",IF(ISNUMBER(C3),VLOOKUP($A3,List!$A$1:$B$29,2,FALSE)))</f>
        <v/>
      </c>
      <c r="P3" s="13" t="str">
        <f>IF(IF(ISNUMBER(D3),VLOOKUP($A3,List!$A$1:$B$29,2,FALSE))=FALSE,"",IF(ISNUMBER(D3),VLOOKUP($A3,List!$A$1:$B$29,2,FALSE)))</f>
        <v/>
      </c>
      <c r="Q3" s="13" t="str">
        <f>IF(IF(ISNUMBER(E3),VLOOKUP($A3,List!$A$1:$B$29,2,FALSE))=FALSE,"",IF(ISNUMBER(E3),VLOOKUP($A3,List!$A$1:$B$29,2,FALSE)))</f>
        <v/>
      </c>
      <c r="R3" s="13" t="str">
        <f>IF(IF(ISNUMBER(F3),VLOOKUP($A3,List!$A$1:$B$29,2,FALSE))=FALSE,"",IF(ISNUMBER(F3),VLOOKUP($A3,List!$A$1:$B$29,2,FALSE)))</f>
        <v/>
      </c>
      <c r="S3" s="13" t="str">
        <f>IF(IF(ISNUMBER(G3),VLOOKUP($A3,List!$A$1:$B$29,2,FALSE))=FALSE,"",IF(ISNUMBER(G3),VLOOKUP($A3,List!$A$1:$B$29,2,FALSE)))</f>
        <v/>
      </c>
      <c r="T3" s="13" t="str">
        <f>IF(IF(ISNUMBER(H3),VLOOKUP($A3,List!$A$1:$B$29,2,FALSE))=FALSE,"",IF(ISNUMBER(H3),VLOOKUP($A3,List!$A$1:$B$29,2,FALSE)))</f>
        <v/>
      </c>
      <c r="U3" s="13" t="str">
        <f>IF(IF(ISNUMBER(I3),VLOOKUP($A3,List!$A$1:$B$29,2,FALSE))=FALSE,"",IF(ISNUMBER(I3),VLOOKUP($A3,List!$A$1:$B$29,2,FALSE)))</f>
        <v/>
      </c>
      <c r="V3" s="13" t="str">
        <f>IF(IF(ISNUMBER(J3),VLOOKUP($A3,List!$A$1:$B$29,2,FALSE))=FALSE,"",IF(ISNUMBER(J3),VLOOKUP($A3,List!$A$1:$B$29,2,FALSE)))</f>
        <v/>
      </c>
      <c r="W3" s="13" t="str">
        <f>IF(IF(ISNUMBER(K3),VLOOKUP($A3,List!$A$1:$B$29,2,FALSE))=FALSE,"",IF(ISNUMBER(K3),VLOOKUP($A3,List!$A$1:$B$29,2,FALSE)))</f>
        <v/>
      </c>
    </row>
    <row r="4" spans="1:23" ht="15" thickBot="1" x14ac:dyDescent="0.35">
      <c r="A4" s="4">
        <v>28</v>
      </c>
      <c r="B4" s="5">
        <v>0.89</v>
      </c>
      <c r="C4" s="6" t="s">
        <v>79</v>
      </c>
      <c r="D4" s="6" t="s">
        <v>79</v>
      </c>
      <c r="E4" s="6" t="s">
        <v>79</v>
      </c>
      <c r="F4" s="6" t="s">
        <v>79</v>
      </c>
      <c r="G4" s="7" t="s">
        <v>79</v>
      </c>
      <c r="H4" s="7" t="s">
        <v>79</v>
      </c>
      <c r="I4" s="7" t="s">
        <v>79</v>
      </c>
      <c r="J4" s="7" t="s">
        <v>79</v>
      </c>
      <c r="K4" s="7" t="s">
        <v>79</v>
      </c>
      <c r="L4" s="7"/>
      <c r="M4" s="7"/>
      <c r="N4" s="13" t="str">
        <f>IF(IF(ISNUMBER(B4),VLOOKUP($A4,List!$A$1:$B$29,2,FALSE))=FALSE,"",IF(ISNUMBER(B4),VLOOKUP($A4,List!$A$1:$B$29,2,FALSE)))</f>
        <v>Boating is my true passion in life</v>
      </c>
      <c r="O4" s="13" t="str">
        <f>IF(IF(ISNUMBER(C4),VLOOKUP($A4,List!$A$1:$B$29,2,FALSE))=FALSE,"",IF(ISNUMBER(C4),VLOOKUP($A4,List!$A$1:$B$29,2,FALSE)))</f>
        <v/>
      </c>
      <c r="P4" s="13" t="str">
        <f>IF(IF(ISNUMBER(D4),VLOOKUP($A4,List!$A$1:$B$29,2,FALSE))=FALSE,"",IF(ISNUMBER(D4),VLOOKUP($A4,List!$A$1:$B$29,2,FALSE)))</f>
        <v/>
      </c>
      <c r="Q4" s="13" t="str">
        <f>IF(IF(ISNUMBER(E4),VLOOKUP($A4,List!$A$1:$B$29,2,FALSE))=FALSE,"",IF(ISNUMBER(E4),VLOOKUP($A4,List!$A$1:$B$29,2,FALSE)))</f>
        <v/>
      </c>
      <c r="R4" s="13" t="str">
        <f>IF(IF(ISNUMBER(F4),VLOOKUP($A4,List!$A$1:$B$29,2,FALSE))=FALSE,"",IF(ISNUMBER(F4),VLOOKUP($A4,List!$A$1:$B$29,2,FALSE)))</f>
        <v/>
      </c>
      <c r="S4" s="13" t="str">
        <f>IF(IF(ISNUMBER(G4),VLOOKUP($A4,List!$A$1:$B$29,2,FALSE))=FALSE,"",IF(ISNUMBER(G4),VLOOKUP($A4,List!$A$1:$B$29,2,FALSE)))</f>
        <v/>
      </c>
      <c r="T4" s="13" t="str">
        <f>IF(IF(ISNUMBER(H4),VLOOKUP($A4,List!$A$1:$B$29,2,FALSE))=FALSE,"",IF(ISNUMBER(H4),VLOOKUP($A4,List!$A$1:$B$29,2,FALSE)))</f>
        <v/>
      </c>
      <c r="U4" s="13" t="str">
        <f>IF(IF(ISNUMBER(I4),VLOOKUP($A4,List!$A$1:$B$29,2,FALSE))=FALSE,"",IF(ISNUMBER(I4),VLOOKUP($A4,List!$A$1:$B$29,2,FALSE)))</f>
        <v/>
      </c>
      <c r="V4" s="13" t="str">
        <f>IF(IF(ISNUMBER(J4),VLOOKUP($A4,List!$A$1:$B$29,2,FALSE))=FALSE,"",IF(ISNUMBER(J4),VLOOKUP($A4,List!$A$1:$B$29,2,FALSE)))</f>
        <v/>
      </c>
      <c r="W4" s="13" t="str">
        <f>IF(IF(ISNUMBER(K4),VLOOKUP($A4,List!$A$1:$B$29,2,FALSE))=FALSE,"",IF(ISNUMBER(K4),VLOOKUP($A4,List!$A$1:$B$29,2,FALSE)))</f>
        <v/>
      </c>
    </row>
    <row r="5" spans="1:23" ht="15" thickBot="1" x14ac:dyDescent="0.35">
      <c r="A5" s="4">
        <v>23</v>
      </c>
      <c r="B5" s="5">
        <v>0.69</v>
      </c>
      <c r="C5" s="6" t="s">
        <v>79</v>
      </c>
      <c r="D5" s="6" t="s">
        <v>79</v>
      </c>
      <c r="E5" s="6" t="s">
        <v>79</v>
      </c>
      <c r="F5" s="6" t="s">
        <v>79</v>
      </c>
      <c r="G5" s="7" t="s">
        <v>79</v>
      </c>
      <c r="H5" s="7" t="s">
        <v>79</v>
      </c>
      <c r="I5" s="7" t="s">
        <v>79</v>
      </c>
      <c r="J5" s="7" t="s">
        <v>79</v>
      </c>
      <c r="K5" s="7" t="s">
        <v>79</v>
      </c>
      <c r="L5" s="7"/>
      <c r="M5" s="7"/>
      <c r="N5" s="13" t="str">
        <f>IF(IF(ISNUMBER(B5),VLOOKUP($A5,List!$A$1:$B$29,2,FALSE))=FALSE,"",IF(ISNUMBER(B5),VLOOKUP($A5,List!$A$1:$B$29,2,FALSE)))</f>
        <v>Boating allows me to excel in the sports that I am passionate about</v>
      </c>
      <c r="O5" s="13" t="str">
        <f>IF(IF(ISNUMBER(C5),VLOOKUP($A5,List!$A$1:$B$29,2,FALSE))=FALSE,"",IF(ISNUMBER(C5),VLOOKUP($A5,List!$A$1:$B$29,2,FALSE)))</f>
        <v/>
      </c>
      <c r="P5" s="13" t="str">
        <f>IF(IF(ISNUMBER(D5),VLOOKUP($A5,List!$A$1:$B$29,2,FALSE))=FALSE,"",IF(ISNUMBER(D5),VLOOKUP($A5,List!$A$1:$B$29,2,FALSE)))</f>
        <v/>
      </c>
      <c r="Q5" s="13" t="str">
        <f>IF(IF(ISNUMBER(E5),VLOOKUP($A5,List!$A$1:$B$29,2,FALSE))=FALSE,"",IF(ISNUMBER(E5),VLOOKUP($A5,List!$A$1:$B$29,2,FALSE)))</f>
        <v/>
      </c>
      <c r="R5" s="13" t="str">
        <f>IF(IF(ISNUMBER(F5),VLOOKUP($A5,List!$A$1:$B$29,2,FALSE))=FALSE,"",IF(ISNUMBER(F5),VLOOKUP($A5,List!$A$1:$B$29,2,FALSE)))</f>
        <v/>
      </c>
      <c r="S5" s="13" t="str">
        <f>IF(IF(ISNUMBER(G5),VLOOKUP($A5,List!$A$1:$B$29,2,FALSE))=FALSE,"",IF(ISNUMBER(G5),VLOOKUP($A5,List!$A$1:$B$29,2,FALSE)))</f>
        <v/>
      </c>
      <c r="T5" s="13" t="str">
        <f>IF(IF(ISNUMBER(H5),VLOOKUP($A5,List!$A$1:$B$29,2,FALSE))=FALSE,"",IF(ISNUMBER(H5),VLOOKUP($A5,List!$A$1:$B$29,2,FALSE)))</f>
        <v/>
      </c>
      <c r="U5" s="13" t="str">
        <f>IF(IF(ISNUMBER(I5),VLOOKUP($A5,List!$A$1:$B$29,2,FALSE))=FALSE,"",IF(ISNUMBER(I5),VLOOKUP($A5,List!$A$1:$B$29,2,FALSE)))</f>
        <v/>
      </c>
      <c r="V5" s="13" t="str">
        <f>IF(IF(ISNUMBER(J5),VLOOKUP($A5,List!$A$1:$B$29,2,FALSE))=FALSE,"",IF(ISNUMBER(J5),VLOOKUP($A5,List!$A$1:$B$29,2,FALSE)))</f>
        <v/>
      </c>
      <c r="W5" s="13" t="str">
        <f>IF(IF(ISNUMBER(K5),VLOOKUP($A5,List!$A$1:$B$29,2,FALSE))=FALSE,"",IF(ISNUMBER(K5),VLOOKUP($A5,List!$A$1:$B$29,2,FALSE)))</f>
        <v/>
      </c>
    </row>
    <row r="6" spans="1:23" ht="15" thickBot="1" x14ac:dyDescent="0.35">
      <c r="A6" s="4">
        <v>20</v>
      </c>
      <c r="B6" s="5">
        <v>0.67</v>
      </c>
      <c r="C6" s="6" t="s">
        <v>79</v>
      </c>
      <c r="D6" s="6" t="s">
        <v>79</v>
      </c>
      <c r="E6" s="6" t="s">
        <v>79</v>
      </c>
      <c r="F6" s="6" t="s">
        <v>79</v>
      </c>
      <c r="G6" s="7" t="s">
        <v>79</v>
      </c>
      <c r="H6" s="7" t="s">
        <v>79</v>
      </c>
      <c r="I6" s="7" t="s">
        <v>79</v>
      </c>
      <c r="J6" s="7" t="s">
        <v>79</v>
      </c>
      <c r="K6" s="7" t="s">
        <v>79</v>
      </c>
      <c r="L6" s="7"/>
      <c r="M6" s="7"/>
      <c r="N6" s="13" t="str">
        <f>IF(IF(ISNUMBER(B6),VLOOKUP($A6,List!$A$1:$B$29,2,FALSE))=FALSE,"",IF(ISNUMBER(B6),VLOOKUP($A6,List!$A$1:$B$29,2,FALSE)))</f>
        <v>When not on my boat, I often find myself doing boating related activities</v>
      </c>
      <c r="O6" s="13" t="str">
        <f>IF(IF(ISNUMBER(C6),VLOOKUP($A6,List!$A$1:$B$29,2,FALSE))=FALSE,"",IF(ISNUMBER(C6),VLOOKUP($A6,List!$A$1:$B$29,2,FALSE)))</f>
        <v/>
      </c>
      <c r="P6" s="13" t="str">
        <f>IF(IF(ISNUMBER(D6),VLOOKUP($A6,List!$A$1:$B$29,2,FALSE))=FALSE,"",IF(ISNUMBER(D6),VLOOKUP($A6,List!$A$1:$B$29,2,FALSE)))</f>
        <v/>
      </c>
      <c r="Q6" s="13" t="str">
        <f>IF(IF(ISNUMBER(E6),VLOOKUP($A6,List!$A$1:$B$29,2,FALSE))=FALSE,"",IF(ISNUMBER(E6),VLOOKUP($A6,List!$A$1:$B$29,2,FALSE)))</f>
        <v/>
      </c>
      <c r="R6" s="13" t="str">
        <f>IF(IF(ISNUMBER(F6),VLOOKUP($A6,List!$A$1:$B$29,2,FALSE))=FALSE,"",IF(ISNUMBER(F6),VLOOKUP($A6,List!$A$1:$B$29,2,FALSE)))</f>
        <v/>
      </c>
      <c r="S6" s="13" t="str">
        <f>IF(IF(ISNUMBER(G6),VLOOKUP($A6,List!$A$1:$B$29,2,FALSE))=FALSE,"",IF(ISNUMBER(G6),VLOOKUP($A6,List!$A$1:$B$29,2,FALSE)))</f>
        <v/>
      </c>
      <c r="T6" s="13" t="str">
        <f>IF(IF(ISNUMBER(H6),VLOOKUP($A6,List!$A$1:$B$29,2,FALSE))=FALSE,"",IF(ISNUMBER(H6),VLOOKUP($A6,List!$A$1:$B$29,2,FALSE)))</f>
        <v/>
      </c>
      <c r="U6" s="13" t="str">
        <f>IF(IF(ISNUMBER(I6),VLOOKUP($A6,List!$A$1:$B$29,2,FALSE))=FALSE,"",IF(ISNUMBER(I6),VLOOKUP($A6,List!$A$1:$B$29,2,FALSE)))</f>
        <v/>
      </c>
      <c r="V6" s="13" t="str">
        <f>IF(IF(ISNUMBER(J6),VLOOKUP($A6,List!$A$1:$B$29,2,FALSE))=FALSE,"",IF(ISNUMBER(J6),VLOOKUP($A6,List!$A$1:$B$29,2,FALSE)))</f>
        <v/>
      </c>
      <c r="W6" s="13" t="str">
        <f>IF(IF(ISNUMBER(K6),VLOOKUP($A6,List!$A$1:$B$29,2,FALSE))=FALSE,"",IF(ISNUMBER(K6),VLOOKUP($A6,List!$A$1:$B$29,2,FALSE)))</f>
        <v/>
      </c>
    </row>
    <row r="7" spans="1:23" ht="15" thickBot="1" x14ac:dyDescent="0.35">
      <c r="A7" s="4">
        <v>16</v>
      </c>
      <c r="B7" s="5">
        <v>0.57999999999999996</v>
      </c>
      <c r="C7" s="6" t="s">
        <v>79</v>
      </c>
      <c r="D7" s="6" t="s">
        <v>79</v>
      </c>
      <c r="E7" s="6" t="s">
        <v>79</v>
      </c>
      <c r="F7" s="6" t="s">
        <v>79</v>
      </c>
      <c r="G7" s="7" t="s">
        <v>79</v>
      </c>
      <c r="H7" s="7" t="s">
        <v>79</v>
      </c>
      <c r="I7" s="7" t="s">
        <v>79</v>
      </c>
      <c r="J7" s="7" t="s">
        <v>79</v>
      </c>
      <c r="K7" s="7" t="s">
        <v>79</v>
      </c>
      <c r="L7" s="7"/>
      <c r="M7" s="7"/>
      <c r="N7" s="13" t="str">
        <f>IF(IF(ISNUMBER(B7),VLOOKUP($A7,List!$A$1:$B$29,2,FALSE))=FALSE,"",IF(ISNUMBER(B7),VLOOKUP($A7,List!$A$1:$B$29,2,FALSE)))</f>
        <v>People tend to come to me for advice about boating</v>
      </c>
      <c r="O7" s="13" t="str">
        <f>IF(IF(ISNUMBER(C7),VLOOKUP($A7,List!$A$1:$B$29,2,FALSE))=FALSE,"",IF(ISNUMBER(C7),VLOOKUP($A7,List!$A$1:$B$29,2,FALSE)))</f>
        <v/>
      </c>
      <c r="P7" s="13" t="str">
        <f>IF(IF(ISNUMBER(D7),VLOOKUP($A7,List!$A$1:$B$29,2,FALSE))=FALSE,"",IF(ISNUMBER(D7),VLOOKUP($A7,List!$A$1:$B$29,2,FALSE)))</f>
        <v/>
      </c>
      <c r="Q7" s="13" t="str">
        <f>IF(IF(ISNUMBER(E7),VLOOKUP($A7,List!$A$1:$B$29,2,FALSE))=FALSE,"",IF(ISNUMBER(E7),VLOOKUP($A7,List!$A$1:$B$29,2,FALSE)))</f>
        <v/>
      </c>
      <c r="R7" s="13" t="str">
        <f>IF(IF(ISNUMBER(F7),VLOOKUP($A7,List!$A$1:$B$29,2,FALSE))=FALSE,"",IF(ISNUMBER(F7),VLOOKUP($A7,List!$A$1:$B$29,2,FALSE)))</f>
        <v/>
      </c>
      <c r="S7" s="13" t="str">
        <f>IF(IF(ISNUMBER(G7),VLOOKUP($A7,List!$A$1:$B$29,2,FALSE))=FALSE,"",IF(ISNUMBER(G7),VLOOKUP($A7,List!$A$1:$B$29,2,FALSE)))</f>
        <v/>
      </c>
      <c r="T7" s="13" t="str">
        <f>IF(IF(ISNUMBER(H7),VLOOKUP($A7,List!$A$1:$B$29,2,FALSE))=FALSE,"",IF(ISNUMBER(H7),VLOOKUP($A7,List!$A$1:$B$29,2,FALSE)))</f>
        <v/>
      </c>
      <c r="U7" s="13" t="str">
        <f>IF(IF(ISNUMBER(I7),VLOOKUP($A7,List!$A$1:$B$29,2,FALSE))=FALSE,"",IF(ISNUMBER(I7),VLOOKUP($A7,List!$A$1:$B$29,2,FALSE)))</f>
        <v/>
      </c>
      <c r="V7" s="13" t="str">
        <f>IF(IF(ISNUMBER(J7),VLOOKUP($A7,List!$A$1:$B$29,2,FALSE))=FALSE,"",IF(ISNUMBER(J7),VLOOKUP($A7,List!$A$1:$B$29,2,FALSE)))</f>
        <v/>
      </c>
      <c r="W7" s="13" t="str">
        <f>IF(IF(ISNUMBER(K7),VLOOKUP($A7,List!$A$1:$B$29,2,FALSE))=FALSE,"",IF(ISNUMBER(K7),VLOOKUP($A7,List!$A$1:$B$29,2,FALSE)))</f>
        <v/>
      </c>
    </row>
    <row r="8" spans="1:23" ht="15" thickBot="1" x14ac:dyDescent="0.35">
      <c r="A8" s="4">
        <v>17</v>
      </c>
      <c r="B8" s="5" t="s">
        <v>79</v>
      </c>
      <c r="C8" s="6" t="s">
        <v>79</v>
      </c>
      <c r="D8" s="6" t="s">
        <v>79</v>
      </c>
      <c r="E8" s="6" t="s">
        <v>79</v>
      </c>
      <c r="F8" s="6" t="s">
        <v>79</v>
      </c>
      <c r="G8" s="7" t="s">
        <v>79</v>
      </c>
      <c r="H8" s="7" t="s">
        <v>79</v>
      </c>
      <c r="I8" s="7" t="s">
        <v>79</v>
      </c>
      <c r="J8" s="7" t="s">
        <v>79</v>
      </c>
      <c r="K8" s="7" t="s">
        <v>79</v>
      </c>
      <c r="L8" s="7"/>
      <c r="M8" s="7"/>
      <c r="N8" s="13" t="str">
        <f>IF(IF(ISNUMBER(B8),VLOOKUP($A8,List!$A$1:$B$29,2,FALSE))=FALSE,"",IF(ISNUMBER(B8),VLOOKUP($A8,List!$A$1:$B$29,2,FALSE)))</f>
        <v/>
      </c>
      <c r="O8" s="13" t="str">
        <f>IF(IF(ISNUMBER(C8),VLOOKUP($A8,List!$A$1:$B$29,2,FALSE))=FALSE,"",IF(ISNUMBER(C8),VLOOKUP($A8,List!$A$1:$B$29,2,FALSE)))</f>
        <v/>
      </c>
      <c r="P8" s="13" t="str">
        <f>IF(IF(ISNUMBER(D8),VLOOKUP($A8,List!$A$1:$B$29,2,FALSE))=FALSE,"",IF(ISNUMBER(D8),VLOOKUP($A8,List!$A$1:$B$29,2,FALSE)))</f>
        <v/>
      </c>
      <c r="Q8" s="13" t="str">
        <f>IF(IF(ISNUMBER(E8),VLOOKUP($A8,List!$A$1:$B$29,2,FALSE))=FALSE,"",IF(ISNUMBER(E8),VLOOKUP($A8,List!$A$1:$B$29,2,FALSE)))</f>
        <v/>
      </c>
      <c r="R8" s="13" t="str">
        <f>IF(IF(ISNUMBER(F8),VLOOKUP($A8,List!$A$1:$B$29,2,FALSE))=FALSE,"",IF(ISNUMBER(F8),VLOOKUP($A8,List!$A$1:$B$29,2,FALSE)))</f>
        <v/>
      </c>
      <c r="S8" s="13" t="str">
        <f>IF(IF(ISNUMBER(G8),VLOOKUP($A8,List!$A$1:$B$29,2,FALSE))=FALSE,"",IF(ISNUMBER(G8),VLOOKUP($A8,List!$A$1:$B$29,2,FALSE)))</f>
        <v/>
      </c>
      <c r="T8" s="13" t="str">
        <f>IF(IF(ISNUMBER(H8),VLOOKUP($A8,List!$A$1:$B$29,2,FALSE))=FALSE,"",IF(ISNUMBER(H8),VLOOKUP($A8,List!$A$1:$B$29,2,FALSE)))</f>
        <v/>
      </c>
      <c r="U8" s="13" t="str">
        <f>IF(IF(ISNUMBER(I8),VLOOKUP($A8,List!$A$1:$B$29,2,FALSE))=FALSE,"",IF(ISNUMBER(I8),VLOOKUP($A8,List!$A$1:$B$29,2,FALSE)))</f>
        <v/>
      </c>
      <c r="V8" s="13" t="str">
        <f>IF(IF(ISNUMBER(J8),VLOOKUP($A8,List!$A$1:$B$29,2,FALSE))=FALSE,"",IF(ISNUMBER(J8),VLOOKUP($A8,List!$A$1:$B$29,2,FALSE)))</f>
        <v/>
      </c>
      <c r="W8" s="13" t="str">
        <f>IF(IF(ISNUMBER(K8),VLOOKUP($A8,List!$A$1:$B$29,2,FALSE))=FALSE,"",IF(ISNUMBER(K8),VLOOKUP($A8,List!$A$1:$B$29,2,FALSE)))</f>
        <v/>
      </c>
    </row>
    <row r="9" spans="1:23" ht="15" thickBot="1" x14ac:dyDescent="0.35">
      <c r="A9" s="21">
        <v>26</v>
      </c>
      <c r="B9" s="6" t="s">
        <v>79</v>
      </c>
      <c r="C9" s="6" t="s">
        <v>79</v>
      </c>
      <c r="D9" s="6" t="s">
        <v>79</v>
      </c>
      <c r="E9" s="6" t="s">
        <v>79</v>
      </c>
      <c r="F9" s="6" t="s">
        <v>79</v>
      </c>
      <c r="G9" s="7" t="s">
        <v>79</v>
      </c>
      <c r="H9" s="7" t="s">
        <v>79</v>
      </c>
      <c r="I9" s="7" t="s">
        <v>79</v>
      </c>
      <c r="J9" s="7" t="s">
        <v>79</v>
      </c>
      <c r="K9" s="7" t="s">
        <v>79</v>
      </c>
      <c r="L9" s="7"/>
      <c r="M9" s="7"/>
      <c r="N9" s="13" t="str">
        <f>IF(IF(ISNUMBER(B9),VLOOKUP($A9,List!$A$1:$B$29,2,FALSE))=FALSE,"",IF(ISNUMBER(B9),VLOOKUP($A9,List!$A$1:$B$29,2,FALSE)))</f>
        <v/>
      </c>
      <c r="O9" s="13" t="str">
        <f>IF(IF(ISNUMBER(C9),VLOOKUP($A9,List!$A$1:$B$29,2,FALSE))=FALSE,"",IF(ISNUMBER(C9),VLOOKUP($A9,List!$A$1:$B$29,2,FALSE)))</f>
        <v/>
      </c>
      <c r="P9" s="13" t="str">
        <f>IF(IF(ISNUMBER(D9),VLOOKUP($A9,List!$A$1:$B$29,2,FALSE))=FALSE,"",IF(ISNUMBER(D9),VLOOKUP($A9,List!$A$1:$B$29,2,FALSE)))</f>
        <v/>
      </c>
      <c r="Q9" s="13" t="str">
        <f>IF(IF(ISNUMBER(E9),VLOOKUP($A9,List!$A$1:$B$29,2,FALSE))=FALSE,"",IF(ISNUMBER(E9),VLOOKUP($A9,List!$A$1:$B$29,2,FALSE)))</f>
        <v/>
      </c>
      <c r="R9" s="13" t="str">
        <f>IF(IF(ISNUMBER(F9),VLOOKUP($A9,List!$A$1:$B$29,2,FALSE))=FALSE,"",IF(ISNUMBER(F9),VLOOKUP($A9,List!$A$1:$B$29,2,FALSE)))</f>
        <v/>
      </c>
      <c r="S9" s="13" t="str">
        <f>IF(IF(ISNUMBER(G9),VLOOKUP($A9,List!$A$1:$B$29,2,FALSE))=FALSE,"",IF(ISNUMBER(G9),VLOOKUP($A9,List!$A$1:$B$29,2,FALSE)))</f>
        <v/>
      </c>
      <c r="T9" s="13" t="str">
        <f>IF(IF(ISNUMBER(H9),VLOOKUP($A9,List!$A$1:$B$29,2,FALSE))=FALSE,"",IF(ISNUMBER(H9),VLOOKUP($A9,List!$A$1:$B$29,2,FALSE)))</f>
        <v/>
      </c>
      <c r="U9" s="13" t="str">
        <f>IF(IF(ISNUMBER(I9),VLOOKUP($A9,List!$A$1:$B$29,2,FALSE))=FALSE,"",IF(ISNUMBER(I9),VLOOKUP($A9,List!$A$1:$B$29,2,FALSE)))</f>
        <v/>
      </c>
      <c r="V9" s="13" t="str">
        <f>IF(IF(ISNUMBER(J9),VLOOKUP($A9,List!$A$1:$B$29,2,FALSE))=FALSE,"",IF(ISNUMBER(J9),VLOOKUP($A9,List!$A$1:$B$29,2,FALSE)))</f>
        <v/>
      </c>
      <c r="W9" s="13" t="str">
        <f>IF(IF(ISNUMBER(K9),VLOOKUP($A9,List!$A$1:$B$29,2,FALSE))=FALSE,"",IF(ISNUMBER(K9),VLOOKUP($A9,List!$A$1:$B$29,2,FALSE)))</f>
        <v/>
      </c>
    </row>
    <row r="10" spans="1:23" ht="15" thickBot="1" x14ac:dyDescent="0.35">
      <c r="A10" s="4">
        <v>22</v>
      </c>
      <c r="B10" s="6" t="s">
        <v>79</v>
      </c>
      <c r="C10" s="6">
        <v>0.51</v>
      </c>
      <c r="D10" s="6" t="s">
        <v>79</v>
      </c>
      <c r="E10" s="6" t="s">
        <v>79</v>
      </c>
      <c r="F10" s="6" t="s">
        <v>79</v>
      </c>
      <c r="G10" s="7" t="s">
        <v>79</v>
      </c>
      <c r="H10" s="7" t="s">
        <v>79</v>
      </c>
      <c r="I10" s="7" t="s">
        <v>79</v>
      </c>
      <c r="J10" s="7" t="s">
        <v>79</v>
      </c>
      <c r="K10" s="7" t="s">
        <v>79</v>
      </c>
      <c r="L10" s="7"/>
      <c r="M10" s="7"/>
      <c r="N10" s="13" t="str">
        <f>IF(IF(ISNUMBER(B10),VLOOKUP($A10,List!$A$1:$B$29,2,FALSE))=FALSE,"",IF(ISNUMBER(B10),VLOOKUP($A10,List!$A$1:$B$29,2,FALSE)))</f>
        <v/>
      </c>
      <c r="O10" s="13" t="str">
        <f>IF(IF(ISNUMBER(C10),VLOOKUP($A10,List!$A$1:$B$29,2,FALSE))=FALSE,"",IF(ISNUMBER(C10),VLOOKUP($A10,List!$A$1:$B$29,2,FALSE)))</f>
        <v>Boating helps me stay active</v>
      </c>
      <c r="P10" s="13" t="str">
        <f>IF(IF(ISNUMBER(D10),VLOOKUP($A10,List!$A$1:$B$29,2,FALSE))=FALSE,"",IF(ISNUMBER(D10),VLOOKUP($A10,List!$A$1:$B$29,2,FALSE)))</f>
        <v/>
      </c>
      <c r="Q10" s="13" t="str">
        <f>IF(IF(ISNUMBER(E10),VLOOKUP($A10,List!$A$1:$B$29,2,FALSE))=FALSE,"",IF(ISNUMBER(E10),VLOOKUP($A10,List!$A$1:$B$29,2,FALSE)))</f>
        <v/>
      </c>
      <c r="R10" s="13" t="str">
        <f>IF(IF(ISNUMBER(F10),VLOOKUP($A10,List!$A$1:$B$29,2,FALSE))=FALSE,"",IF(ISNUMBER(F10),VLOOKUP($A10,List!$A$1:$B$29,2,FALSE)))</f>
        <v/>
      </c>
      <c r="S10" s="13" t="str">
        <f>IF(IF(ISNUMBER(G10),VLOOKUP($A10,List!$A$1:$B$29,2,FALSE))=FALSE,"",IF(ISNUMBER(G10),VLOOKUP($A10,List!$A$1:$B$29,2,FALSE)))</f>
        <v/>
      </c>
      <c r="T10" s="13" t="str">
        <f>IF(IF(ISNUMBER(H10),VLOOKUP($A10,List!$A$1:$B$29,2,FALSE))=FALSE,"",IF(ISNUMBER(H10),VLOOKUP($A10,List!$A$1:$B$29,2,FALSE)))</f>
        <v/>
      </c>
      <c r="U10" s="13" t="str">
        <f>IF(IF(ISNUMBER(I10),VLOOKUP($A10,List!$A$1:$B$29,2,FALSE))=FALSE,"",IF(ISNUMBER(I10),VLOOKUP($A10,List!$A$1:$B$29,2,FALSE)))</f>
        <v/>
      </c>
      <c r="V10" s="13" t="str">
        <f>IF(IF(ISNUMBER(J10),VLOOKUP($A10,List!$A$1:$B$29,2,FALSE))=FALSE,"",IF(ISNUMBER(J10),VLOOKUP($A10,List!$A$1:$B$29,2,FALSE)))</f>
        <v/>
      </c>
      <c r="W10" s="13" t="str">
        <f>IF(IF(ISNUMBER(K10),VLOOKUP($A10,List!$A$1:$B$29,2,FALSE))=FALSE,"",IF(ISNUMBER(K10),VLOOKUP($A10,List!$A$1:$B$29,2,FALSE)))</f>
        <v/>
      </c>
    </row>
    <row r="11" spans="1:23" ht="15" thickBot="1" x14ac:dyDescent="0.35">
      <c r="A11" s="4">
        <v>12</v>
      </c>
      <c r="B11" s="6" t="s">
        <v>79</v>
      </c>
      <c r="C11" s="6" t="s">
        <v>79</v>
      </c>
      <c r="D11" s="6" t="s">
        <v>79</v>
      </c>
      <c r="E11" s="5" t="s">
        <v>79</v>
      </c>
      <c r="F11" s="6" t="s">
        <v>79</v>
      </c>
      <c r="G11" s="7" t="s">
        <v>79</v>
      </c>
      <c r="H11" s="7" t="s">
        <v>79</v>
      </c>
      <c r="I11" s="7" t="s">
        <v>79</v>
      </c>
      <c r="J11" s="7" t="s">
        <v>79</v>
      </c>
      <c r="K11" s="7" t="s">
        <v>79</v>
      </c>
      <c r="L11" s="7"/>
      <c r="M11" s="7"/>
      <c r="N11" s="13" t="str">
        <f>IF(IF(ISNUMBER(B11),VLOOKUP($A11,List!$A$1:$B$29,2,FALSE))=FALSE,"",IF(ISNUMBER(B11),VLOOKUP($A11,List!$A$1:$B$29,2,FALSE)))</f>
        <v/>
      </c>
      <c r="O11" s="13" t="str">
        <f>IF(IF(ISNUMBER(C11),VLOOKUP($A11,List!$A$1:$B$29,2,FALSE))=FALSE,"",IF(ISNUMBER(C11),VLOOKUP($A11,List!$A$1:$B$29,2,FALSE)))</f>
        <v/>
      </c>
      <c r="P11" s="13" t="str">
        <f>IF(IF(ISNUMBER(D11),VLOOKUP($A11,List!$A$1:$B$29,2,FALSE))=FALSE,"",IF(ISNUMBER(D11),VLOOKUP($A11,List!$A$1:$B$29,2,FALSE)))</f>
        <v/>
      </c>
      <c r="Q11" s="13" t="str">
        <f>IF(IF(ISNUMBER(E11),VLOOKUP($A11,List!$A$1:$B$29,2,FALSE))=FALSE,"",IF(ISNUMBER(E11),VLOOKUP($A11,List!$A$1:$B$29,2,FALSE)))</f>
        <v/>
      </c>
      <c r="R11" s="13" t="str">
        <f>IF(IF(ISNUMBER(F11),VLOOKUP($A11,List!$A$1:$B$29,2,FALSE))=FALSE,"",IF(ISNUMBER(F11),VLOOKUP($A11,List!$A$1:$B$29,2,FALSE)))</f>
        <v/>
      </c>
      <c r="S11" s="13" t="str">
        <f>IF(IF(ISNUMBER(G11),VLOOKUP($A11,List!$A$1:$B$29,2,FALSE))=FALSE,"",IF(ISNUMBER(G11),VLOOKUP($A11,List!$A$1:$B$29,2,FALSE)))</f>
        <v/>
      </c>
      <c r="T11" s="13" t="str">
        <f>IF(IF(ISNUMBER(H11),VLOOKUP($A11,List!$A$1:$B$29,2,FALSE))=FALSE,"",IF(ISNUMBER(H11),VLOOKUP($A11,List!$A$1:$B$29,2,FALSE)))</f>
        <v/>
      </c>
      <c r="U11" s="13" t="str">
        <f>IF(IF(ISNUMBER(I11),VLOOKUP($A11,List!$A$1:$B$29,2,FALSE))=FALSE,"",IF(ISNUMBER(I11),VLOOKUP($A11,List!$A$1:$B$29,2,FALSE)))</f>
        <v/>
      </c>
      <c r="V11" s="13" t="str">
        <f>IF(IF(ISNUMBER(J11),VLOOKUP($A11,List!$A$1:$B$29,2,FALSE))=FALSE,"",IF(ISNUMBER(J11),VLOOKUP($A11,List!$A$1:$B$29,2,FALSE)))</f>
        <v/>
      </c>
      <c r="W11" s="13" t="str">
        <f>IF(IF(ISNUMBER(K11),VLOOKUP($A11,List!$A$1:$B$29,2,FALSE))=FALSE,"",IF(ISNUMBER(K11),VLOOKUP($A11,List!$A$1:$B$29,2,FALSE)))</f>
        <v/>
      </c>
    </row>
    <row r="12" spans="1:23" ht="15" thickBot="1" x14ac:dyDescent="0.35">
      <c r="A12" s="4">
        <v>3</v>
      </c>
      <c r="B12" s="6" t="s">
        <v>79</v>
      </c>
      <c r="C12" s="6" t="s">
        <v>79</v>
      </c>
      <c r="D12" s="6" t="s">
        <v>79</v>
      </c>
      <c r="E12" s="5">
        <v>0.59</v>
      </c>
      <c r="F12" s="6" t="s">
        <v>79</v>
      </c>
      <c r="G12" s="7" t="s">
        <v>79</v>
      </c>
      <c r="H12" s="7" t="s">
        <v>79</v>
      </c>
      <c r="I12" s="7" t="s">
        <v>79</v>
      </c>
      <c r="J12" s="7" t="s">
        <v>79</v>
      </c>
      <c r="K12" s="7" t="s">
        <v>79</v>
      </c>
      <c r="L12" s="7"/>
      <c r="M12" s="7"/>
      <c r="N12" s="13" t="str">
        <f>IF(IF(ISNUMBER(B12),VLOOKUP($A12,List!$A$1:$B$29,2,FALSE))=FALSE,"",IF(ISNUMBER(B12),VLOOKUP($A12,List!$A$1:$B$29,2,FALSE)))</f>
        <v/>
      </c>
      <c r="O12" s="13" t="str">
        <f>IF(IF(ISNUMBER(C12),VLOOKUP($A12,List!$A$1:$B$29,2,FALSE))=FALSE,"",IF(ISNUMBER(C12),VLOOKUP($A12,List!$A$1:$B$29,2,FALSE)))</f>
        <v/>
      </c>
      <c r="P12" s="13" t="str">
        <f>IF(IF(ISNUMBER(D12),VLOOKUP($A12,List!$A$1:$B$29,2,FALSE))=FALSE,"",IF(ISNUMBER(D12),VLOOKUP($A12,List!$A$1:$B$29,2,FALSE)))</f>
        <v/>
      </c>
      <c r="Q12" s="13" t="str">
        <f>IF(IF(ISNUMBER(E12),VLOOKUP($A12,List!$A$1:$B$29,2,FALSE))=FALSE,"",IF(ISNUMBER(E12),VLOOKUP($A12,List!$A$1:$B$29,2,FALSE)))</f>
        <v>The brand of the boat I buy says a lot about who I am</v>
      </c>
      <c r="R12" s="13" t="str">
        <f>IF(IF(ISNUMBER(F12),VLOOKUP($A12,List!$A$1:$B$29,2,FALSE))=FALSE,"",IF(ISNUMBER(F12),VLOOKUP($A12,List!$A$1:$B$29,2,FALSE)))</f>
        <v/>
      </c>
      <c r="S12" s="13" t="str">
        <f>IF(IF(ISNUMBER(G12),VLOOKUP($A12,List!$A$1:$B$29,2,FALSE))=FALSE,"",IF(ISNUMBER(G12),VLOOKUP($A12,List!$A$1:$B$29,2,FALSE)))</f>
        <v/>
      </c>
      <c r="T12" s="13" t="str">
        <f>IF(IF(ISNUMBER(H12),VLOOKUP($A12,List!$A$1:$B$29,2,FALSE))=FALSE,"",IF(ISNUMBER(H12),VLOOKUP($A12,List!$A$1:$B$29,2,FALSE)))</f>
        <v/>
      </c>
      <c r="U12" s="13" t="str">
        <f>IF(IF(ISNUMBER(I12),VLOOKUP($A12,List!$A$1:$B$29,2,FALSE))=FALSE,"",IF(ISNUMBER(I12),VLOOKUP($A12,List!$A$1:$B$29,2,FALSE)))</f>
        <v/>
      </c>
      <c r="V12" s="13" t="str">
        <f>IF(IF(ISNUMBER(J12),VLOOKUP($A12,List!$A$1:$B$29,2,FALSE))=FALSE,"",IF(ISNUMBER(J12),VLOOKUP($A12,List!$A$1:$B$29,2,FALSE)))</f>
        <v/>
      </c>
      <c r="W12" s="13" t="str">
        <f>IF(IF(ISNUMBER(K12),VLOOKUP($A12,List!$A$1:$B$29,2,FALSE))=FALSE,"",IF(ISNUMBER(K12),VLOOKUP($A12,List!$A$1:$B$29,2,FALSE)))</f>
        <v/>
      </c>
    </row>
    <row r="13" spans="1:23" ht="15" thickBot="1" x14ac:dyDescent="0.35">
      <c r="A13" s="21">
        <v>5</v>
      </c>
      <c r="B13" s="6" t="s">
        <v>79</v>
      </c>
      <c r="C13" s="5" t="s">
        <v>79</v>
      </c>
      <c r="D13" s="6" t="s">
        <v>79</v>
      </c>
      <c r="E13" s="6" t="s">
        <v>79</v>
      </c>
      <c r="F13" s="6" t="s">
        <v>79</v>
      </c>
      <c r="G13" s="7" t="s">
        <v>79</v>
      </c>
      <c r="H13" s="7" t="s">
        <v>79</v>
      </c>
      <c r="I13" s="7" t="s">
        <v>79</v>
      </c>
      <c r="J13" s="7" t="s">
        <v>79</v>
      </c>
      <c r="K13" s="7" t="s">
        <v>79</v>
      </c>
      <c r="L13" s="7"/>
      <c r="M13" s="7"/>
      <c r="N13" s="13" t="str">
        <f>IF(IF(ISNUMBER(B13),VLOOKUP($A13,List!$A$1:$B$29,2,FALSE))=FALSE,"",IF(ISNUMBER(B13),VLOOKUP($A13,List!$A$1:$B$29,2,FALSE)))</f>
        <v/>
      </c>
      <c r="O13" s="13" t="str">
        <f>IF(IF(ISNUMBER(C13),VLOOKUP($A13,List!$A$1:$B$29,2,FALSE))=FALSE,"",IF(ISNUMBER(C13),VLOOKUP($A13,List!$A$1:$B$29,2,FALSE)))</f>
        <v/>
      </c>
      <c r="P13" s="13" t="str">
        <f>IF(IF(ISNUMBER(D13),VLOOKUP($A13,List!$A$1:$B$29,2,FALSE))=FALSE,"",IF(ISNUMBER(D13),VLOOKUP($A13,List!$A$1:$B$29,2,FALSE)))</f>
        <v/>
      </c>
      <c r="Q13" s="13" t="str">
        <f>IF(IF(ISNUMBER(E13),VLOOKUP($A13,List!$A$1:$B$29,2,FALSE))=FALSE,"",IF(ISNUMBER(E13),VLOOKUP($A13,List!$A$1:$B$29,2,FALSE)))</f>
        <v/>
      </c>
      <c r="R13" s="13" t="str">
        <f>IF(IF(ISNUMBER(F13),VLOOKUP($A13,List!$A$1:$B$29,2,FALSE))=FALSE,"",IF(ISNUMBER(F13),VLOOKUP($A13,List!$A$1:$B$29,2,FALSE)))</f>
        <v/>
      </c>
      <c r="S13" s="13" t="str">
        <f>IF(IF(ISNUMBER(G13),VLOOKUP($A13,List!$A$1:$B$29,2,FALSE))=FALSE,"",IF(ISNUMBER(G13),VLOOKUP($A13,List!$A$1:$B$29,2,FALSE)))</f>
        <v/>
      </c>
      <c r="T13" s="13" t="str">
        <f>IF(IF(ISNUMBER(H13),VLOOKUP($A13,List!$A$1:$B$29,2,FALSE))=FALSE,"",IF(ISNUMBER(H13),VLOOKUP($A13,List!$A$1:$B$29,2,FALSE)))</f>
        <v/>
      </c>
      <c r="U13" s="13" t="str">
        <f>IF(IF(ISNUMBER(I13),VLOOKUP($A13,List!$A$1:$B$29,2,FALSE))=FALSE,"",IF(ISNUMBER(I13),VLOOKUP($A13,List!$A$1:$B$29,2,FALSE)))</f>
        <v/>
      </c>
      <c r="V13" s="13" t="str">
        <f>IF(IF(ISNUMBER(J13),VLOOKUP($A13,List!$A$1:$B$29,2,FALSE))=FALSE,"",IF(ISNUMBER(J13),VLOOKUP($A13,List!$A$1:$B$29,2,FALSE)))</f>
        <v/>
      </c>
      <c r="W13" s="13" t="str">
        <f>IF(IF(ISNUMBER(K13),VLOOKUP($A13,List!$A$1:$B$29,2,FALSE))=FALSE,"",IF(ISNUMBER(K13),VLOOKUP($A13,List!$A$1:$B$29,2,FALSE)))</f>
        <v/>
      </c>
    </row>
    <row r="14" spans="1:23" ht="15" thickBot="1" x14ac:dyDescent="0.35">
      <c r="A14" s="4">
        <v>6</v>
      </c>
      <c r="B14" s="6" t="s">
        <v>79</v>
      </c>
      <c r="C14" s="5" t="s">
        <v>79</v>
      </c>
      <c r="D14" s="6" t="s">
        <v>79</v>
      </c>
      <c r="E14" s="6">
        <v>0.6</v>
      </c>
      <c r="F14" s="6" t="s">
        <v>79</v>
      </c>
      <c r="G14" s="7" t="s">
        <v>79</v>
      </c>
      <c r="H14" s="7" t="s">
        <v>79</v>
      </c>
      <c r="I14" s="7" t="s">
        <v>79</v>
      </c>
      <c r="J14" s="7" t="s">
        <v>79</v>
      </c>
      <c r="K14" s="7" t="s">
        <v>79</v>
      </c>
      <c r="L14" s="7"/>
      <c r="M14" s="7"/>
      <c r="N14" s="13" t="str">
        <f>IF(IF(ISNUMBER(B14),VLOOKUP($A14,List!$A$1:$B$29,2,FALSE))=FALSE,"",IF(ISNUMBER(B14),VLOOKUP($A14,List!$A$1:$B$29,2,FALSE)))</f>
        <v/>
      </c>
      <c r="O14" s="13" t="str">
        <f>IF(IF(ISNUMBER(C14),VLOOKUP($A14,List!$A$1:$B$29,2,FALSE))=FALSE,"",IF(ISNUMBER(C14),VLOOKUP($A14,List!$A$1:$B$29,2,FALSE)))</f>
        <v/>
      </c>
      <c r="P14" s="13" t="str">
        <f>IF(IF(ISNUMBER(D14),VLOOKUP($A14,List!$A$1:$B$29,2,FALSE))=FALSE,"",IF(ISNUMBER(D14),VLOOKUP($A14,List!$A$1:$B$29,2,FALSE)))</f>
        <v/>
      </c>
      <c r="Q14" s="13" t="str">
        <f>IF(IF(ISNUMBER(E14),VLOOKUP($A14,List!$A$1:$B$29,2,FALSE))=FALSE,"",IF(ISNUMBER(E14),VLOOKUP($A14,List!$A$1:$B$29,2,FALSE)))</f>
        <v>Owning a boat is a way of rewarding myself for hard work</v>
      </c>
      <c r="R14" s="13" t="str">
        <f>IF(IF(ISNUMBER(F14),VLOOKUP($A14,List!$A$1:$B$29,2,FALSE))=FALSE,"",IF(ISNUMBER(F14),VLOOKUP($A14,List!$A$1:$B$29,2,FALSE)))</f>
        <v/>
      </c>
      <c r="S14" s="13" t="str">
        <f>IF(IF(ISNUMBER(G14),VLOOKUP($A14,List!$A$1:$B$29,2,FALSE))=FALSE,"",IF(ISNUMBER(G14),VLOOKUP($A14,List!$A$1:$B$29,2,FALSE)))</f>
        <v/>
      </c>
      <c r="T14" s="13" t="str">
        <f>IF(IF(ISNUMBER(H14),VLOOKUP($A14,List!$A$1:$B$29,2,FALSE))=FALSE,"",IF(ISNUMBER(H14),VLOOKUP($A14,List!$A$1:$B$29,2,FALSE)))</f>
        <v/>
      </c>
      <c r="U14" s="13" t="str">
        <f>IF(IF(ISNUMBER(I14),VLOOKUP($A14,List!$A$1:$B$29,2,FALSE))=FALSE,"",IF(ISNUMBER(I14),VLOOKUP($A14,List!$A$1:$B$29,2,FALSE)))</f>
        <v/>
      </c>
      <c r="V14" s="13" t="str">
        <f>IF(IF(ISNUMBER(J14),VLOOKUP($A14,List!$A$1:$B$29,2,FALSE))=FALSE,"",IF(ISNUMBER(J14),VLOOKUP($A14,List!$A$1:$B$29,2,FALSE)))</f>
        <v/>
      </c>
      <c r="W14" s="13" t="str">
        <f>IF(IF(ISNUMBER(K14),VLOOKUP($A14,List!$A$1:$B$29,2,FALSE))=FALSE,"",IF(ISNUMBER(K14),VLOOKUP($A14,List!$A$1:$B$29,2,FALSE)))</f>
        <v/>
      </c>
    </row>
    <row r="15" spans="1:23" ht="15" thickBot="1" x14ac:dyDescent="0.35">
      <c r="A15" s="4">
        <v>9</v>
      </c>
      <c r="B15" s="6" t="s">
        <v>79</v>
      </c>
      <c r="C15" s="6" t="s">
        <v>79</v>
      </c>
      <c r="D15" s="6" t="s">
        <v>79</v>
      </c>
      <c r="E15" s="6">
        <v>0.74</v>
      </c>
      <c r="F15" s="6" t="s">
        <v>79</v>
      </c>
      <c r="G15" s="7" t="s">
        <v>79</v>
      </c>
      <c r="H15" s="7" t="s">
        <v>79</v>
      </c>
      <c r="I15" s="7" t="s">
        <v>79</v>
      </c>
      <c r="J15" s="7" t="s">
        <v>79</v>
      </c>
      <c r="K15" s="7" t="s">
        <v>79</v>
      </c>
      <c r="L15" s="7"/>
      <c r="M15" s="7"/>
      <c r="N15" s="13" t="str">
        <f>IF(IF(ISNUMBER(B15),VLOOKUP($A15,List!$A$1:$B$29,2,FALSE))=FALSE,"",IF(ISNUMBER(B15),VLOOKUP($A15,List!$A$1:$B$29,2,FALSE)))</f>
        <v/>
      </c>
      <c r="O15" s="13" t="str">
        <f>IF(IF(ISNUMBER(C15),VLOOKUP($A15,List!$A$1:$B$29,2,FALSE))=FALSE,"",IF(ISNUMBER(C15),VLOOKUP($A15,List!$A$1:$B$29,2,FALSE)))</f>
        <v/>
      </c>
      <c r="P15" s="13" t="str">
        <f>IF(IF(ISNUMBER(D15),VLOOKUP($A15,List!$A$1:$B$29,2,FALSE))=FALSE,"",IF(ISNUMBER(D15),VLOOKUP($A15,List!$A$1:$B$29,2,FALSE)))</f>
        <v/>
      </c>
      <c r="Q15" s="13" t="str">
        <f>IF(IF(ISNUMBER(E15),VLOOKUP($A15,List!$A$1:$B$29,2,FALSE))=FALSE,"",IF(ISNUMBER(E15),VLOOKUP($A15,List!$A$1:$B$29,2,FALSE)))</f>
        <v>I see my boat as status symbol</v>
      </c>
      <c r="R15" s="13" t="str">
        <f>IF(IF(ISNUMBER(F15),VLOOKUP($A15,List!$A$1:$B$29,2,FALSE))=FALSE,"",IF(ISNUMBER(F15),VLOOKUP($A15,List!$A$1:$B$29,2,FALSE)))</f>
        <v/>
      </c>
      <c r="S15" s="13" t="str">
        <f>IF(IF(ISNUMBER(G15),VLOOKUP($A15,List!$A$1:$B$29,2,FALSE))=FALSE,"",IF(ISNUMBER(G15),VLOOKUP($A15,List!$A$1:$B$29,2,FALSE)))</f>
        <v/>
      </c>
      <c r="T15" s="13" t="str">
        <f>IF(IF(ISNUMBER(H15),VLOOKUP($A15,List!$A$1:$B$29,2,FALSE))=FALSE,"",IF(ISNUMBER(H15),VLOOKUP($A15,List!$A$1:$B$29,2,FALSE)))</f>
        <v/>
      </c>
      <c r="U15" s="13" t="str">
        <f>IF(IF(ISNUMBER(I15),VLOOKUP($A15,List!$A$1:$B$29,2,FALSE))=FALSE,"",IF(ISNUMBER(I15),VLOOKUP($A15,List!$A$1:$B$29,2,FALSE)))</f>
        <v/>
      </c>
      <c r="V15" s="13" t="str">
        <f>IF(IF(ISNUMBER(J15),VLOOKUP($A15,List!$A$1:$B$29,2,FALSE))=FALSE,"",IF(ISNUMBER(J15),VLOOKUP($A15,List!$A$1:$B$29,2,FALSE)))</f>
        <v/>
      </c>
      <c r="W15" s="13" t="str">
        <f>IF(IF(ISNUMBER(K15),VLOOKUP($A15,List!$A$1:$B$29,2,FALSE))=FALSE,"",IF(ISNUMBER(K15),VLOOKUP($A15,List!$A$1:$B$29,2,FALSE)))</f>
        <v/>
      </c>
    </row>
    <row r="16" spans="1:23" ht="15" thickBot="1" x14ac:dyDescent="0.35">
      <c r="A16" s="4">
        <v>21</v>
      </c>
      <c r="B16" s="6" t="s">
        <v>79</v>
      </c>
      <c r="C16" s="6">
        <v>0.76</v>
      </c>
      <c r="D16" s="6" t="s">
        <v>79</v>
      </c>
      <c r="E16" s="6" t="s">
        <v>79</v>
      </c>
      <c r="F16" s="6" t="s">
        <v>79</v>
      </c>
      <c r="G16" s="7" t="s">
        <v>79</v>
      </c>
      <c r="H16" s="7" t="s">
        <v>79</v>
      </c>
      <c r="I16" s="7" t="s">
        <v>79</v>
      </c>
      <c r="J16" s="7" t="s">
        <v>79</v>
      </c>
      <c r="K16" s="7" t="s">
        <v>79</v>
      </c>
      <c r="L16" s="7"/>
      <c r="M16" s="7"/>
      <c r="N16" s="13" t="str">
        <f>IF(IF(ISNUMBER(B16),VLOOKUP($A16,List!$A$1:$B$29,2,FALSE))=FALSE,"",IF(ISNUMBER(B16),VLOOKUP($A16,List!$A$1:$B$29,2,FALSE)))</f>
        <v/>
      </c>
      <c r="O16" s="13" t="str">
        <f>IF(IF(ISNUMBER(C16),VLOOKUP($A16,List!$A$1:$B$29,2,FALSE))=FALSE,"",IF(ISNUMBER(C16),VLOOKUP($A16,List!$A$1:$B$29,2,FALSE)))</f>
        <v>Boating helps me escape from everyday life and relax</v>
      </c>
      <c r="P16" s="13" t="str">
        <f>IF(IF(ISNUMBER(D16),VLOOKUP($A16,List!$A$1:$B$29,2,FALSE))=FALSE,"",IF(ISNUMBER(D16),VLOOKUP($A16,List!$A$1:$B$29,2,FALSE)))</f>
        <v/>
      </c>
      <c r="Q16" s="13" t="str">
        <f>IF(IF(ISNUMBER(E16),VLOOKUP($A16,List!$A$1:$B$29,2,FALSE))=FALSE,"",IF(ISNUMBER(E16),VLOOKUP($A16,List!$A$1:$B$29,2,FALSE)))</f>
        <v/>
      </c>
      <c r="R16" s="13" t="str">
        <f>IF(IF(ISNUMBER(F16),VLOOKUP($A16,List!$A$1:$B$29,2,FALSE))=FALSE,"",IF(ISNUMBER(F16),VLOOKUP($A16,List!$A$1:$B$29,2,FALSE)))</f>
        <v/>
      </c>
      <c r="S16" s="13" t="str">
        <f>IF(IF(ISNUMBER(G16),VLOOKUP($A16,List!$A$1:$B$29,2,FALSE))=FALSE,"",IF(ISNUMBER(G16),VLOOKUP($A16,List!$A$1:$B$29,2,FALSE)))</f>
        <v/>
      </c>
      <c r="T16" s="13" t="str">
        <f>IF(IF(ISNUMBER(H16),VLOOKUP($A16,List!$A$1:$B$29,2,FALSE))=FALSE,"",IF(ISNUMBER(H16),VLOOKUP($A16,List!$A$1:$B$29,2,FALSE)))</f>
        <v/>
      </c>
      <c r="U16" s="13" t="str">
        <f>IF(IF(ISNUMBER(I16),VLOOKUP($A16,List!$A$1:$B$29,2,FALSE))=FALSE,"",IF(ISNUMBER(I16),VLOOKUP($A16,List!$A$1:$B$29,2,FALSE)))</f>
        <v/>
      </c>
      <c r="V16" s="13" t="str">
        <f>IF(IF(ISNUMBER(J16),VLOOKUP($A16,List!$A$1:$B$29,2,FALSE))=FALSE,"",IF(ISNUMBER(J16),VLOOKUP($A16,List!$A$1:$B$29,2,FALSE)))</f>
        <v/>
      </c>
      <c r="W16" s="13" t="str">
        <f>IF(IF(ISNUMBER(K16),VLOOKUP($A16,List!$A$1:$B$29,2,FALSE))=FALSE,"",IF(ISNUMBER(K16),VLOOKUP($A16,List!$A$1:$B$29,2,FALSE)))</f>
        <v/>
      </c>
    </row>
    <row r="17" spans="1:23" ht="15" thickBot="1" x14ac:dyDescent="0.35">
      <c r="A17" s="4">
        <v>1</v>
      </c>
      <c r="B17" s="6" t="s">
        <v>79</v>
      </c>
      <c r="C17" s="5" t="s">
        <v>79</v>
      </c>
      <c r="D17" s="6" t="s">
        <v>79</v>
      </c>
      <c r="E17" s="6" t="s">
        <v>79</v>
      </c>
      <c r="F17" s="6" t="s">
        <v>79</v>
      </c>
      <c r="G17" s="7" t="s">
        <v>79</v>
      </c>
      <c r="H17" s="7" t="s">
        <v>79</v>
      </c>
      <c r="I17" s="7" t="s">
        <v>79</v>
      </c>
      <c r="J17" s="7">
        <v>1</v>
      </c>
      <c r="K17" s="7" t="s">
        <v>79</v>
      </c>
      <c r="L17" s="7"/>
      <c r="M17" s="7"/>
      <c r="N17" s="13" t="str">
        <f>IF(IF(ISNUMBER(B17),VLOOKUP($A17,List!$A$1:$B$29,2,FALSE))=FALSE,"",IF(ISNUMBER(B17),VLOOKUP($A17,List!$A$1:$B$29,2,FALSE)))</f>
        <v/>
      </c>
      <c r="O17" s="13" t="str">
        <f>IF(IF(ISNUMBER(C17),VLOOKUP($A17,List!$A$1:$B$29,2,FALSE))=FALSE,"",IF(ISNUMBER(C17),VLOOKUP($A17,List!$A$1:$B$29,2,FALSE)))</f>
        <v/>
      </c>
      <c r="P17" s="13" t="str">
        <f>IF(IF(ISNUMBER(D17),VLOOKUP($A17,List!$A$1:$B$29,2,FALSE))=FALSE,"",IF(ISNUMBER(D17),VLOOKUP($A17,List!$A$1:$B$29,2,FALSE)))</f>
        <v/>
      </c>
      <c r="Q17" s="13" t="str">
        <f>IF(IF(ISNUMBER(E17),VLOOKUP($A17,List!$A$1:$B$29,2,FALSE))=FALSE,"",IF(ISNUMBER(E17),VLOOKUP($A17,List!$A$1:$B$29,2,FALSE)))</f>
        <v/>
      </c>
      <c r="R17" s="13" t="str">
        <f>IF(IF(ISNUMBER(F17),VLOOKUP($A17,List!$A$1:$B$29,2,FALSE))=FALSE,"",IF(ISNUMBER(F17),VLOOKUP($A17,List!$A$1:$B$29,2,FALSE)))</f>
        <v/>
      </c>
      <c r="S17" s="13" t="str">
        <f>IF(IF(ISNUMBER(G17),VLOOKUP($A17,List!$A$1:$B$29,2,FALSE))=FALSE,"",IF(ISNUMBER(G17),VLOOKUP($A17,List!$A$1:$B$29,2,FALSE)))</f>
        <v/>
      </c>
      <c r="T17" s="13" t="str">
        <f>IF(IF(ISNUMBER(H17),VLOOKUP($A17,List!$A$1:$B$29,2,FALSE))=FALSE,"",IF(ISNUMBER(H17),VLOOKUP($A17,List!$A$1:$B$29,2,FALSE)))</f>
        <v/>
      </c>
      <c r="U17" s="13" t="str">
        <f>IF(IF(ISNUMBER(I17),VLOOKUP($A17,List!$A$1:$B$29,2,FALSE))=FALSE,"",IF(ISNUMBER(I17),VLOOKUP($A17,List!$A$1:$B$29,2,FALSE)))</f>
        <v/>
      </c>
      <c r="V17" s="13" t="str">
        <f>IF(IF(ISNUMBER(J17),VLOOKUP($A17,List!$A$1:$B$29,2,FALSE))=FALSE,"",IF(ISNUMBER(J17),VLOOKUP($A17,List!$A$1:$B$29,2,FALSE)))</f>
        <v>When buying a boat, I do a lot of shopping around and visit multiple dealers</v>
      </c>
      <c r="W17" s="13" t="str">
        <f>IF(IF(ISNUMBER(K17),VLOOKUP($A17,List!$A$1:$B$29,2,FALSE))=FALSE,"",IF(ISNUMBER(K17),VLOOKUP($A17,List!$A$1:$B$29,2,FALSE)))</f>
        <v/>
      </c>
    </row>
    <row r="18" spans="1:23" ht="15" thickBot="1" x14ac:dyDescent="0.35">
      <c r="A18" s="4">
        <v>13</v>
      </c>
      <c r="B18" s="6" t="s">
        <v>79</v>
      </c>
      <c r="C18" s="6" t="s">
        <v>79</v>
      </c>
      <c r="D18" s="6">
        <v>0.82</v>
      </c>
      <c r="E18" s="5" t="s">
        <v>79</v>
      </c>
      <c r="F18" s="6" t="s">
        <v>79</v>
      </c>
      <c r="G18" s="7" t="s">
        <v>79</v>
      </c>
      <c r="H18" s="7" t="s">
        <v>79</v>
      </c>
      <c r="I18" s="7" t="s">
        <v>79</v>
      </c>
      <c r="J18" s="7" t="s">
        <v>79</v>
      </c>
      <c r="K18" s="7" t="s">
        <v>79</v>
      </c>
      <c r="L18" s="7"/>
      <c r="M18" s="7"/>
      <c r="N18" s="13" t="str">
        <f>IF(IF(ISNUMBER(B18),VLOOKUP($A18,List!$A$1:$B$29,2,FALSE))=FALSE,"",IF(ISNUMBER(B18),VLOOKUP($A18,List!$A$1:$B$29,2,FALSE)))</f>
        <v/>
      </c>
      <c r="O18" s="13" t="str">
        <f>IF(IF(ISNUMBER(C18),VLOOKUP($A18,List!$A$1:$B$29,2,FALSE))=FALSE,"",IF(ISNUMBER(C18),VLOOKUP($A18,List!$A$1:$B$29,2,FALSE)))</f>
        <v/>
      </c>
      <c r="P18" s="13" t="str">
        <f>IF(IF(ISNUMBER(D18),VLOOKUP($A18,List!$A$1:$B$29,2,FALSE))=FALSE,"",IF(ISNUMBER(D18),VLOOKUP($A18,List!$A$1:$B$29,2,FALSE)))</f>
        <v>When buying a boat, I tend to buy the latest and greatest</v>
      </c>
      <c r="Q18" s="14" t="str">
        <f>IF(IF(ISNUMBER(E18),VLOOKUP($A18,List!$A$1:$B$29,2,FALSE))=FALSE,"",IF(ISNUMBER(E18),VLOOKUP($A18,List!$A$1:$B$29,2,FALSE)))</f>
        <v/>
      </c>
      <c r="R18" s="13" t="str">
        <f>IF(IF(ISNUMBER(F18),VLOOKUP($A18,List!$A$1:$B$29,2,FALSE))=FALSE,"",IF(ISNUMBER(F18),VLOOKUP($A18,List!$A$1:$B$29,2,FALSE)))</f>
        <v/>
      </c>
      <c r="S18" s="13" t="str">
        <f>IF(IF(ISNUMBER(G18),VLOOKUP($A18,List!$A$1:$B$29,2,FALSE))=FALSE,"",IF(ISNUMBER(G18),VLOOKUP($A18,List!$A$1:$B$29,2,FALSE)))</f>
        <v/>
      </c>
      <c r="T18" s="13" t="str">
        <f>IF(IF(ISNUMBER(H18),VLOOKUP($A18,List!$A$1:$B$29,2,FALSE))=FALSE,"",IF(ISNUMBER(H18),VLOOKUP($A18,List!$A$1:$B$29,2,FALSE)))</f>
        <v/>
      </c>
      <c r="U18" s="13" t="str">
        <f>IF(IF(ISNUMBER(I18),VLOOKUP($A18,List!$A$1:$B$29,2,FALSE))=FALSE,"",IF(ISNUMBER(I18),VLOOKUP($A18,List!$A$1:$B$29,2,FALSE)))</f>
        <v/>
      </c>
      <c r="V18" s="13" t="str">
        <f>IF(IF(ISNUMBER(J18),VLOOKUP($A18,List!$A$1:$B$29,2,FALSE))=FALSE,"",IF(ISNUMBER(J18),VLOOKUP($A18,List!$A$1:$B$29,2,FALSE)))</f>
        <v/>
      </c>
      <c r="W18" s="13" t="str">
        <f>IF(IF(ISNUMBER(K18),VLOOKUP($A18,List!$A$1:$B$29,2,FALSE))=FALSE,"",IF(ISNUMBER(K18),VLOOKUP($A18,List!$A$1:$B$29,2,FALSE)))</f>
        <v/>
      </c>
    </row>
    <row r="19" spans="1:23" ht="15" thickBot="1" x14ac:dyDescent="0.35">
      <c r="A19" s="4">
        <v>25</v>
      </c>
      <c r="B19" s="6" t="s">
        <v>79</v>
      </c>
      <c r="C19" s="6" t="s">
        <v>79</v>
      </c>
      <c r="D19" s="6" t="s">
        <v>79</v>
      </c>
      <c r="E19" s="5" t="s">
        <v>79</v>
      </c>
      <c r="F19" s="6" t="s">
        <v>79</v>
      </c>
      <c r="G19" s="7" t="s">
        <v>79</v>
      </c>
      <c r="H19" s="7" t="s">
        <v>79</v>
      </c>
      <c r="I19" s="7" t="s">
        <v>79</v>
      </c>
      <c r="J19" s="7" t="s">
        <v>79</v>
      </c>
      <c r="K19" s="7" t="s">
        <v>79</v>
      </c>
      <c r="L19" s="7"/>
      <c r="M19" s="7"/>
      <c r="N19" s="13" t="str">
        <f>IF(IF(ISNUMBER(B19),VLOOKUP($A19,List!$A$1:$B$29,2,FALSE))=FALSE,"",IF(ISNUMBER(B19),VLOOKUP($A19,List!$A$1:$B$29,2,FALSE)))</f>
        <v/>
      </c>
      <c r="O19" s="13" t="str">
        <f>IF(IF(ISNUMBER(C19),VLOOKUP($A19,List!$A$1:$B$29,2,FALSE))=FALSE,"",IF(ISNUMBER(C19),VLOOKUP($A19,List!$A$1:$B$29,2,FALSE)))</f>
        <v/>
      </c>
      <c r="P19" s="13" t="str">
        <f>IF(IF(ISNUMBER(D19),VLOOKUP($A19,List!$A$1:$B$29,2,FALSE))=FALSE,"",IF(ISNUMBER(D19),VLOOKUP($A19,List!$A$1:$B$29,2,FALSE)))</f>
        <v/>
      </c>
      <c r="Q19" s="14" t="str">
        <f>IF(IF(ISNUMBER(E19),VLOOKUP($A19,List!$A$1:$B$29,2,FALSE))=FALSE,"",IF(ISNUMBER(E19),VLOOKUP($A19,List!$A$1:$B$29,2,FALSE)))</f>
        <v/>
      </c>
      <c r="R19" s="13" t="str">
        <f>IF(IF(ISNUMBER(F19),VLOOKUP($A19,List!$A$1:$B$29,2,FALSE))=FALSE,"",IF(ISNUMBER(F19),VLOOKUP($A19,List!$A$1:$B$29,2,FALSE)))</f>
        <v/>
      </c>
      <c r="S19" s="13" t="str">
        <f>IF(IF(ISNUMBER(G19),VLOOKUP($A19,List!$A$1:$B$29,2,FALSE))=FALSE,"",IF(ISNUMBER(G19),VLOOKUP($A19,List!$A$1:$B$29,2,FALSE)))</f>
        <v/>
      </c>
      <c r="T19" s="13" t="str">
        <f>IF(IF(ISNUMBER(H19),VLOOKUP($A19,List!$A$1:$B$29,2,FALSE))=FALSE,"",IF(ISNUMBER(H19),VLOOKUP($A19,List!$A$1:$B$29,2,FALSE)))</f>
        <v/>
      </c>
      <c r="U19" s="13" t="str">
        <f>IF(IF(ISNUMBER(I19),VLOOKUP($A19,List!$A$1:$B$29,2,FALSE))=FALSE,"",IF(ISNUMBER(I19),VLOOKUP($A19,List!$A$1:$B$29,2,FALSE)))</f>
        <v/>
      </c>
      <c r="V19" s="13" t="str">
        <f>IF(IF(ISNUMBER(J19),VLOOKUP($A19,List!$A$1:$B$29,2,FALSE))=FALSE,"",IF(ISNUMBER(J19),VLOOKUP($A19,List!$A$1:$B$29,2,FALSE)))</f>
        <v/>
      </c>
      <c r="W19" s="13" t="str">
        <f>IF(IF(ISNUMBER(K19),VLOOKUP($A19,List!$A$1:$B$29,2,FALSE))=FALSE,"",IF(ISNUMBER(K19),VLOOKUP($A19,List!$A$1:$B$29,2,FALSE)))</f>
        <v/>
      </c>
    </row>
    <row r="20" spans="1:23" ht="15" thickBot="1" x14ac:dyDescent="0.35">
      <c r="A20" s="4">
        <v>14</v>
      </c>
      <c r="B20" s="6" t="s">
        <v>79</v>
      </c>
      <c r="C20" s="6" t="s">
        <v>79</v>
      </c>
      <c r="D20" s="6">
        <v>0.85</v>
      </c>
      <c r="E20" s="6" t="s">
        <v>79</v>
      </c>
      <c r="F20" s="5" t="s">
        <v>79</v>
      </c>
      <c r="G20" s="7" t="s">
        <v>79</v>
      </c>
      <c r="H20" s="7" t="s">
        <v>79</v>
      </c>
      <c r="I20" s="7" t="s">
        <v>79</v>
      </c>
      <c r="J20" s="7" t="s">
        <v>79</v>
      </c>
      <c r="K20" s="7" t="s">
        <v>79</v>
      </c>
      <c r="L20" s="7"/>
      <c r="M20" s="7"/>
      <c r="N20" s="13" t="str">
        <f>IF(IF(ISNUMBER(B20),VLOOKUP($A20,List!$A$1:$B$29,2,FALSE))=FALSE,"",IF(ISNUMBER(B20),VLOOKUP($A20,List!$A$1:$B$29,2,FALSE)))</f>
        <v/>
      </c>
      <c r="O20" s="13" t="str">
        <f>IF(IF(ISNUMBER(C20),VLOOKUP($A20,List!$A$1:$B$29,2,FALSE))=FALSE,"",IF(ISNUMBER(C20),VLOOKUP($A20,List!$A$1:$B$29,2,FALSE)))</f>
        <v/>
      </c>
      <c r="P20" s="13" t="str">
        <f>IF(IF(ISNUMBER(D20),VLOOKUP($A20,List!$A$1:$B$29,2,FALSE))=FALSE,"",IF(ISNUMBER(D20),VLOOKUP($A20,List!$A$1:$B$29,2,FALSE)))</f>
        <v>When buying accessories for my boat, I tend to buy the latest and greatest</v>
      </c>
      <c r="Q20" s="13" t="str">
        <f>IF(IF(ISNUMBER(E20),VLOOKUP($A20,List!$A$1:$B$29,2,FALSE))=FALSE,"",IF(ISNUMBER(E20),VLOOKUP($A20,List!$A$1:$B$29,2,FALSE)))</f>
        <v/>
      </c>
      <c r="R20" s="13" t="str">
        <f>IF(IF(ISNUMBER(F20),VLOOKUP($A20,List!$A$1:$B$29,2,FALSE))=FALSE,"",IF(ISNUMBER(F20),VLOOKUP($A20,List!$A$1:$B$29,2,FALSE)))</f>
        <v/>
      </c>
      <c r="S20" s="13" t="str">
        <f>IF(IF(ISNUMBER(G20),VLOOKUP($A20,List!$A$1:$B$29,2,FALSE))=FALSE,"",IF(ISNUMBER(G20),VLOOKUP($A20,List!$A$1:$B$29,2,FALSE)))</f>
        <v/>
      </c>
      <c r="T20" s="13" t="str">
        <f>IF(IF(ISNUMBER(H20),VLOOKUP($A20,List!$A$1:$B$29,2,FALSE))=FALSE,"",IF(ISNUMBER(H20),VLOOKUP($A20,List!$A$1:$B$29,2,FALSE)))</f>
        <v/>
      </c>
      <c r="U20" s="13" t="str">
        <f>IF(IF(ISNUMBER(I20),VLOOKUP($A20,List!$A$1:$B$29,2,FALSE))=FALSE,"",IF(ISNUMBER(I20),VLOOKUP($A20,List!$A$1:$B$29,2,FALSE)))</f>
        <v/>
      </c>
      <c r="V20" s="13" t="str">
        <f>IF(IF(ISNUMBER(J20),VLOOKUP($A20,List!$A$1:$B$29,2,FALSE))=FALSE,"",IF(ISNUMBER(J20),VLOOKUP($A20,List!$A$1:$B$29,2,FALSE)))</f>
        <v/>
      </c>
      <c r="W20" s="13" t="str">
        <f>IF(IF(ISNUMBER(K20),VLOOKUP($A20,List!$A$1:$B$29,2,FALSE))=FALSE,"",IF(ISNUMBER(K20),VLOOKUP($A20,List!$A$1:$B$29,2,FALSE)))</f>
        <v/>
      </c>
    </row>
    <row r="21" spans="1:23" ht="15" thickBot="1" x14ac:dyDescent="0.35">
      <c r="A21" s="4">
        <v>29</v>
      </c>
      <c r="B21" s="6" t="s">
        <v>79</v>
      </c>
      <c r="C21" s="6" t="s">
        <v>79</v>
      </c>
      <c r="D21" s="6" t="s">
        <v>79</v>
      </c>
      <c r="E21" s="6" t="s">
        <v>79</v>
      </c>
      <c r="F21" s="6" t="s">
        <v>79</v>
      </c>
      <c r="G21" s="7" t="s">
        <v>79</v>
      </c>
      <c r="H21" s="7" t="s">
        <v>79</v>
      </c>
      <c r="I21" s="7" t="s">
        <v>79</v>
      </c>
      <c r="J21" s="7" t="s">
        <v>79</v>
      </c>
      <c r="K21" s="7">
        <v>0.9</v>
      </c>
      <c r="L21" s="7"/>
      <c r="M21" s="8"/>
      <c r="N21" s="13" t="str">
        <f>IF(IF(ISNUMBER(B21),VLOOKUP($A21,List!$A$1:$B$29,2,FALSE))=FALSE,"",IF(ISNUMBER(B21),VLOOKUP($A21,List!$A$1:$B$29,2,FALSE)))</f>
        <v/>
      </c>
      <c r="O21" s="13" t="str">
        <f>IF(IF(ISNUMBER(C21),VLOOKUP($A21,List!$A$1:$B$29,2,FALSE))=FALSE,"",IF(ISNUMBER(C21),VLOOKUP($A21,List!$A$1:$B$29,2,FALSE)))</f>
        <v/>
      </c>
      <c r="P21" s="13" t="str">
        <f>IF(IF(ISNUMBER(D21),VLOOKUP($A21,List!$A$1:$B$29,2,FALSE))=FALSE,"",IF(ISNUMBER(D21),VLOOKUP($A21,List!$A$1:$B$29,2,FALSE)))</f>
        <v/>
      </c>
      <c r="Q21" s="13" t="str">
        <f>IF(IF(ISNUMBER(E21),VLOOKUP($A21,List!$A$1:$B$29,2,FALSE))=FALSE,"",IF(ISNUMBER(E21),VLOOKUP($A21,List!$A$1:$B$29,2,FALSE)))</f>
        <v/>
      </c>
      <c r="R21" s="13" t="str">
        <f>IF(IF(ISNUMBER(F21),VLOOKUP($A21,List!$A$1:$B$29,2,FALSE))=FALSE,"",IF(ISNUMBER(F21),VLOOKUP($A21,List!$A$1:$B$29,2,FALSE)))</f>
        <v/>
      </c>
      <c r="S21" s="13" t="str">
        <f>IF(IF(ISNUMBER(G21),VLOOKUP($A21,List!$A$1:$B$29,2,FALSE))=FALSE,"",IF(ISNUMBER(G21),VLOOKUP($A21,List!$A$1:$B$29,2,FALSE)))</f>
        <v/>
      </c>
      <c r="T21" s="13" t="str">
        <f>IF(IF(ISNUMBER(H21),VLOOKUP($A21,List!$A$1:$B$29,2,FALSE))=FALSE,"",IF(ISNUMBER(H21),VLOOKUP($A21,List!$A$1:$B$29,2,FALSE)))</f>
        <v/>
      </c>
      <c r="U21" s="13" t="str">
        <f>IF(IF(ISNUMBER(I21),VLOOKUP($A21,List!$A$1:$B$29,2,FALSE))=FALSE,"",IF(ISNUMBER(I21),VLOOKUP($A21,List!$A$1:$B$29,2,FALSE)))</f>
        <v/>
      </c>
      <c r="V21" s="13" t="str">
        <f>IF(IF(ISNUMBER(J21),VLOOKUP($A21,List!$A$1:$B$29,2,FALSE))=FALSE,"",IF(ISNUMBER(J21),VLOOKUP($A21,List!$A$1:$B$29,2,FALSE)))</f>
        <v/>
      </c>
      <c r="W21" s="13" t="str">
        <f>IF(IF(ISNUMBER(K21),VLOOKUP($A21,List!$A$1:$B$29,2,FALSE))=FALSE,"",IF(ISNUMBER(K21),VLOOKUP($A21,List!$A$1:$B$29,2,FALSE)))</f>
        <v>Boating is one of many things I do in my spare time</v>
      </c>
    </row>
    <row r="22" spans="1:23" ht="15" thickBot="1" x14ac:dyDescent="0.35">
      <c r="A22" s="4">
        <v>18</v>
      </c>
      <c r="B22" s="6" t="s">
        <v>79</v>
      </c>
      <c r="C22" s="6">
        <v>0.78</v>
      </c>
      <c r="D22" s="6" t="s">
        <v>79</v>
      </c>
      <c r="E22" s="6" t="s">
        <v>79</v>
      </c>
      <c r="F22" s="6" t="s">
        <v>79</v>
      </c>
      <c r="G22" s="8" t="s">
        <v>79</v>
      </c>
      <c r="H22" s="7" t="s">
        <v>79</v>
      </c>
      <c r="I22" s="7" t="s">
        <v>79</v>
      </c>
      <c r="J22" s="7" t="s">
        <v>79</v>
      </c>
      <c r="K22" s="7" t="s">
        <v>79</v>
      </c>
      <c r="L22" s="7"/>
      <c r="M22" s="7"/>
      <c r="N22" s="13" t="str">
        <f>IF(IF(ISNUMBER(B22),VLOOKUP($A22,List!$A$1:$B$29,2,FALSE))=FALSE,"",IF(ISNUMBER(B22),VLOOKUP($A22,List!$A$1:$B$29,2,FALSE)))</f>
        <v/>
      </c>
      <c r="O22" s="13" t="str">
        <f>IF(IF(ISNUMBER(C22),VLOOKUP($A22,List!$A$1:$B$29,2,FALSE))=FALSE,"",IF(ISNUMBER(C22),VLOOKUP($A22,List!$A$1:$B$29,2,FALSE)))</f>
        <v>Boating gives me a feeling of adventure</v>
      </c>
      <c r="P22" s="13" t="str">
        <f>IF(IF(ISNUMBER(D22),VLOOKUP($A22,List!$A$1:$B$29,2,FALSE))=FALSE,"",IF(ISNUMBER(D22),VLOOKUP($A22,List!$A$1:$B$29,2,FALSE)))</f>
        <v/>
      </c>
      <c r="Q22" s="13" t="str">
        <f>IF(IF(ISNUMBER(E22),VLOOKUP($A22,List!$A$1:$B$29,2,FALSE))=FALSE,"",IF(ISNUMBER(E22),VLOOKUP($A22,List!$A$1:$B$29,2,FALSE)))</f>
        <v/>
      </c>
      <c r="R22" s="13" t="str">
        <f>IF(IF(ISNUMBER(F22),VLOOKUP($A22,List!$A$1:$B$29,2,FALSE))=FALSE,"",IF(ISNUMBER(F22),VLOOKUP($A22,List!$A$1:$B$29,2,FALSE)))</f>
        <v/>
      </c>
      <c r="S22" s="13" t="str">
        <f>IF(IF(ISNUMBER(G22),VLOOKUP($A22,List!$A$1:$B$29,2,FALSE))=FALSE,"",IF(ISNUMBER(G22),VLOOKUP($A22,List!$A$1:$B$29,2,FALSE)))</f>
        <v/>
      </c>
      <c r="T22" s="13" t="str">
        <f>IF(IF(ISNUMBER(H22),VLOOKUP($A22,List!$A$1:$B$29,2,FALSE))=FALSE,"",IF(ISNUMBER(H22),VLOOKUP($A22,List!$A$1:$B$29,2,FALSE)))</f>
        <v/>
      </c>
      <c r="U22" s="13" t="str">
        <f>IF(IF(ISNUMBER(I22),VLOOKUP($A22,List!$A$1:$B$29,2,FALSE))=FALSE,"",IF(ISNUMBER(I22),VLOOKUP($A22,List!$A$1:$B$29,2,FALSE)))</f>
        <v/>
      </c>
      <c r="V22" s="13" t="str">
        <f>IF(IF(ISNUMBER(J22),VLOOKUP($A22,List!$A$1:$B$29,2,FALSE))=FALSE,"",IF(ISNUMBER(J22),VLOOKUP($A22,List!$A$1:$B$29,2,FALSE)))</f>
        <v/>
      </c>
      <c r="W22" s="13" t="str">
        <f>IF(IF(ISNUMBER(K22),VLOOKUP($A22,List!$A$1:$B$29,2,FALSE))=FALSE,"",IF(ISNUMBER(K22),VLOOKUP($A22,List!$A$1:$B$29,2,FALSE)))</f>
        <v/>
      </c>
    </row>
    <row r="23" spans="1:23" ht="15" thickBot="1" x14ac:dyDescent="0.35">
      <c r="A23" s="4">
        <v>19</v>
      </c>
      <c r="B23" s="6" t="s">
        <v>79</v>
      </c>
      <c r="C23" s="6">
        <v>0.8</v>
      </c>
      <c r="D23" s="5" t="s">
        <v>79</v>
      </c>
      <c r="E23" s="6" t="s">
        <v>79</v>
      </c>
      <c r="F23" s="6" t="s">
        <v>79</v>
      </c>
      <c r="G23" s="7" t="s">
        <v>79</v>
      </c>
      <c r="H23" s="7" t="s">
        <v>79</v>
      </c>
      <c r="I23" s="7" t="s">
        <v>79</v>
      </c>
      <c r="J23" s="7" t="s">
        <v>79</v>
      </c>
      <c r="K23" s="7" t="s">
        <v>79</v>
      </c>
      <c r="L23" s="7"/>
      <c r="M23" s="7"/>
      <c r="N23" s="13" t="str">
        <f>IF(IF(ISNUMBER(B23),VLOOKUP($A23,List!$A$1:$B$29,2,FALSE))=FALSE,"",IF(ISNUMBER(B23),VLOOKUP($A23,List!$A$1:$B$29,2,FALSE)))</f>
        <v/>
      </c>
      <c r="O23" s="13" t="str">
        <f>IF(IF(ISNUMBER(C23),VLOOKUP($A23,List!$A$1:$B$29,2,FALSE))=FALSE,"",IF(ISNUMBER(C23),VLOOKUP($A23,List!$A$1:$B$29,2,FALSE)))</f>
        <v>Boating allows me to experience nature</v>
      </c>
      <c r="P23" s="13" t="str">
        <f>IF(IF(ISNUMBER(D23),VLOOKUP($A23,List!$A$1:$B$29,2,FALSE))=FALSE,"",IF(ISNUMBER(D23),VLOOKUP($A23,List!$A$1:$B$29,2,FALSE)))</f>
        <v/>
      </c>
      <c r="Q23" s="13" t="str">
        <f>IF(IF(ISNUMBER(E23),VLOOKUP($A23,List!$A$1:$B$29,2,FALSE))=FALSE,"",IF(ISNUMBER(E23),VLOOKUP($A23,List!$A$1:$B$29,2,FALSE)))</f>
        <v/>
      </c>
      <c r="R23" s="13" t="str">
        <f>IF(IF(ISNUMBER(F23),VLOOKUP($A23,List!$A$1:$B$29,2,FALSE))=FALSE,"",IF(ISNUMBER(F23),VLOOKUP($A23,List!$A$1:$B$29,2,FALSE)))</f>
        <v/>
      </c>
      <c r="S23" s="13" t="str">
        <f>IF(IF(ISNUMBER(G23),VLOOKUP($A23,List!$A$1:$B$29,2,FALSE))=FALSE,"",IF(ISNUMBER(G23),VLOOKUP($A23,List!$A$1:$B$29,2,FALSE)))</f>
        <v/>
      </c>
      <c r="T23" s="13" t="str">
        <f>IF(IF(ISNUMBER(H23),VLOOKUP($A23,List!$A$1:$B$29,2,FALSE))=FALSE,"",IF(ISNUMBER(H23),VLOOKUP($A23,List!$A$1:$B$29,2,FALSE)))</f>
        <v/>
      </c>
      <c r="U23" s="13" t="str">
        <f>IF(IF(ISNUMBER(I23),VLOOKUP($A23,List!$A$1:$B$29,2,FALSE))=FALSE,"",IF(ISNUMBER(I23),VLOOKUP($A23,List!$A$1:$B$29,2,FALSE)))</f>
        <v/>
      </c>
      <c r="V23" s="13" t="str">
        <f>IF(IF(ISNUMBER(J23),VLOOKUP($A23,List!$A$1:$B$29,2,FALSE))=FALSE,"",IF(ISNUMBER(J23),VLOOKUP($A23,List!$A$1:$B$29,2,FALSE)))</f>
        <v/>
      </c>
      <c r="W23" s="13" t="str">
        <f>IF(IF(ISNUMBER(K23),VLOOKUP($A23,List!$A$1:$B$29,2,FALSE))=FALSE,"",IF(ISNUMBER(K23),VLOOKUP($A23,List!$A$1:$B$29,2,FALSE)))</f>
        <v/>
      </c>
    </row>
    <row r="24" spans="1:23" ht="15" thickBot="1" x14ac:dyDescent="0.35">
      <c r="A24" s="4">
        <v>24</v>
      </c>
      <c r="B24" s="6" t="s">
        <v>79</v>
      </c>
      <c r="C24" s="6">
        <v>0.7</v>
      </c>
      <c r="D24" s="5" t="s">
        <v>79</v>
      </c>
      <c r="E24" s="6" t="s">
        <v>79</v>
      </c>
      <c r="F24" s="6" t="s">
        <v>79</v>
      </c>
      <c r="G24" s="7" t="s">
        <v>79</v>
      </c>
      <c r="H24" s="7" t="s">
        <v>79</v>
      </c>
      <c r="I24" s="7" t="s">
        <v>79</v>
      </c>
      <c r="J24" s="7" t="s">
        <v>79</v>
      </c>
      <c r="K24" s="7" t="s">
        <v>79</v>
      </c>
      <c r="L24" s="7"/>
      <c r="M24" s="7"/>
      <c r="N24" s="13" t="str">
        <f>IF(IF(ISNUMBER(B24),VLOOKUP($A24,List!$A$1:$B$29,2,FALSE))=FALSE,"",IF(ISNUMBER(B24),VLOOKUP($A24,List!$A$1:$B$29,2,FALSE)))</f>
        <v/>
      </c>
      <c r="O24" s="13" t="str">
        <f>IF(IF(ISNUMBER(C24),VLOOKUP($A24,List!$A$1:$B$29,2,FALSE))=FALSE,"",IF(ISNUMBER(C24),VLOOKUP($A24,List!$A$1:$B$29,2,FALSE)))</f>
        <v>Boating gives me an outlet to socialize with family/friends</v>
      </c>
      <c r="P24" s="13" t="str">
        <f>IF(IF(ISNUMBER(D24),VLOOKUP($A24,List!$A$1:$B$29,2,FALSE))=FALSE,"",IF(ISNUMBER(D24),VLOOKUP($A24,List!$A$1:$B$29,2,FALSE)))</f>
        <v/>
      </c>
      <c r="Q24" s="13" t="str">
        <f>IF(IF(ISNUMBER(E24),VLOOKUP($A24,List!$A$1:$B$29,2,FALSE))=FALSE,"",IF(ISNUMBER(E24),VLOOKUP($A24,List!$A$1:$B$29,2,FALSE)))</f>
        <v/>
      </c>
      <c r="R24" s="13" t="str">
        <f>IF(IF(ISNUMBER(F24),VLOOKUP($A24,List!$A$1:$B$29,2,FALSE))=FALSE,"",IF(ISNUMBER(F24),VLOOKUP($A24,List!$A$1:$B$29,2,FALSE)))</f>
        <v/>
      </c>
      <c r="S24" s="13" t="str">
        <f>IF(IF(ISNUMBER(G24),VLOOKUP($A24,List!$A$1:$B$29,2,FALSE))=FALSE,"",IF(ISNUMBER(G24),VLOOKUP($A24,List!$A$1:$B$29,2,FALSE)))</f>
        <v/>
      </c>
      <c r="T24" s="13" t="str">
        <f>IF(IF(ISNUMBER(H24),VLOOKUP($A24,List!$A$1:$B$29,2,FALSE))=FALSE,"",IF(ISNUMBER(H24),VLOOKUP($A24,List!$A$1:$B$29,2,FALSE)))</f>
        <v/>
      </c>
      <c r="U24" s="13" t="str">
        <f>IF(IF(ISNUMBER(I24),VLOOKUP($A24,List!$A$1:$B$29,2,FALSE))=FALSE,"",IF(ISNUMBER(I24),VLOOKUP($A24,List!$A$1:$B$29,2,FALSE)))</f>
        <v/>
      </c>
      <c r="V24" s="13" t="str">
        <f>IF(IF(ISNUMBER(J24),VLOOKUP($A24,List!$A$1:$B$29,2,FALSE))=FALSE,"",IF(ISNUMBER(J24),VLOOKUP($A24,List!$A$1:$B$29,2,FALSE)))</f>
        <v/>
      </c>
      <c r="W24" s="13" t="str">
        <f>IF(IF(ISNUMBER(K24),VLOOKUP($A24,List!$A$1:$B$29,2,FALSE))=FALSE,"",IF(ISNUMBER(K24),VLOOKUP($A24,List!$A$1:$B$29,2,FALSE)))</f>
        <v/>
      </c>
    </row>
    <row r="25" spans="1:23" ht="15" thickBot="1" x14ac:dyDescent="0.35">
      <c r="A25" s="4">
        <v>15</v>
      </c>
      <c r="B25" s="6" t="s">
        <v>79</v>
      </c>
      <c r="C25" s="6" t="s">
        <v>79</v>
      </c>
      <c r="D25" s="6">
        <v>0.68</v>
      </c>
      <c r="E25" s="6" t="s">
        <v>79</v>
      </c>
      <c r="F25" s="6" t="s">
        <v>79</v>
      </c>
      <c r="G25" s="7" t="s">
        <v>79</v>
      </c>
      <c r="H25" s="7" t="s">
        <v>79</v>
      </c>
      <c r="I25" s="7" t="s">
        <v>79</v>
      </c>
      <c r="J25" s="7" t="s">
        <v>79</v>
      </c>
      <c r="K25" s="7" t="s">
        <v>79</v>
      </c>
      <c r="L25" s="8"/>
      <c r="M25" s="7"/>
      <c r="N25" s="13" t="str">
        <f>IF(IF(ISNUMBER(B25),VLOOKUP($A25,List!$A$1:$B$29,2,FALSE))=FALSE,"",IF(ISNUMBER(B25),VLOOKUP($A25,List!$A$1:$B$29,2,FALSE)))</f>
        <v/>
      </c>
      <c r="O25" s="13" t="str">
        <f>IF(IF(ISNUMBER(C25),VLOOKUP($A25,List!$A$1:$B$29,2,FALSE))=FALSE,"",IF(ISNUMBER(C25),VLOOKUP($A25,List!$A$1:$B$29,2,FALSE)))</f>
        <v/>
      </c>
      <c r="P25" s="13" t="str">
        <f>IF(IF(ISNUMBER(D25),VLOOKUP($A25,List!$A$1:$B$29,2,FALSE))=FALSE,"",IF(ISNUMBER(D25),VLOOKUP($A25,List!$A$1:$B$29,2,FALSE)))</f>
        <v>I am serious about the technology on my boat</v>
      </c>
      <c r="Q25" s="13" t="str">
        <f>IF(IF(ISNUMBER(E25),VLOOKUP($A25,List!$A$1:$B$29,2,FALSE))=FALSE,"",IF(ISNUMBER(E25),VLOOKUP($A25,List!$A$1:$B$29,2,FALSE)))</f>
        <v/>
      </c>
      <c r="R25" s="13" t="str">
        <f>IF(IF(ISNUMBER(F25),VLOOKUP($A25,List!$A$1:$B$29,2,FALSE))=FALSE,"",IF(ISNUMBER(F25),VLOOKUP($A25,List!$A$1:$B$29,2,FALSE)))</f>
        <v/>
      </c>
      <c r="S25" s="13" t="str">
        <f>IF(IF(ISNUMBER(G25),VLOOKUP($A25,List!$A$1:$B$29,2,FALSE))=FALSE,"",IF(ISNUMBER(G25),VLOOKUP($A25,List!$A$1:$B$29,2,FALSE)))</f>
        <v/>
      </c>
      <c r="T25" s="13" t="str">
        <f>IF(IF(ISNUMBER(H25),VLOOKUP($A25,List!$A$1:$B$29,2,FALSE))=FALSE,"",IF(ISNUMBER(H25),VLOOKUP($A25,List!$A$1:$B$29,2,FALSE)))</f>
        <v/>
      </c>
      <c r="U25" s="13" t="str">
        <f>IF(IF(ISNUMBER(I25),VLOOKUP($A25,List!$A$1:$B$29,2,FALSE))=FALSE,"",IF(ISNUMBER(I25),VLOOKUP($A25,List!$A$1:$B$29,2,FALSE)))</f>
        <v/>
      </c>
      <c r="V25" s="13" t="str">
        <f>IF(IF(ISNUMBER(J25),VLOOKUP($A25,List!$A$1:$B$29,2,FALSE))=FALSE,"",IF(ISNUMBER(J25),VLOOKUP($A25,List!$A$1:$B$29,2,FALSE)))</f>
        <v/>
      </c>
      <c r="W25" s="13" t="str">
        <f>IF(IF(ISNUMBER(K25),VLOOKUP($A25,List!$A$1:$B$29,2,FALSE))=FALSE,"",IF(ISNUMBER(K25),VLOOKUP($A25,List!$A$1:$B$29,2,FALSE)))</f>
        <v/>
      </c>
    </row>
    <row r="26" spans="1:23" ht="15" thickBot="1" x14ac:dyDescent="0.35">
      <c r="A26" s="4">
        <v>8</v>
      </c>
      <c r="B26" s="6" t="s">
        <v>79</v>
      </c>
      <c r="C26" s="6" t="s">
        <v>79</v>
      </c>
      <c r="D26" s="6" t="s">
        <v>79</v>
      </c>
      <c r="E26" s="6" t="s">
        <v>79</v>
      </c>
      <c r="F26" s="6" t="s">
        <v>79</v>
      </c>
      <c r="G26" s="7" t="s">
        <v>79</v>
      </c>
      <c r="H26" s="7" t="s">
        <v>79</v>
      </c>
      <c r="I26" s="7">
        <v>1.01</v>
      </c>
      <c r="J26" s="7" t="s">
        <v>79</v>
      </c>
      <c r="K26" s="8" t="s">
        <v>79</v>
      </c>
      <c r="L26" s="7"/>
      <c r="M26" s="7"/>
      <c r="N26" s="13" t="str">
        <f>IF(IF(ISNUMBER(B26),VLOOKUP($A26,List!$A$1:$B$29,2,FALSE))=FALSE,"",IF(ISNUMBER(B26),VLOOKUP($A26,List!$A$1:$B$29,2,FALSE)))</f>
        <v/>
      </c>
      <c r="O26" s="13" t="str">
        <f>IF(IF(ISNUMBER(C26),VLOOKUP($A26,List!$A$1:$B$29,2,FALSE))=FALSE,"",IF(ISNUMBER(C26),VLOOKUP($A26,List!$A$1:$B$29,2,FALSE)))</f>
        <v/>
      </c>
      <c r="P26" s="13" t="str">
        <f>IF(IF(ISNUMBER(D26),VLOOKUP($A26,List!$A$1:$B$29,2,FALSE))=FALSE,"",IF(ISNUMBER(D26),VLOOKUP($A26,List!$A$1:$B$29,2,FALSE)))</f>
        <v/>
      </c>
      <c r="Q26" s="13" t="str">
        <f>IF(IF(ISNUMBER(E26),VLOOKUP($A26,List!$A$1:$B$29,2,FALSE))=FALSE,"",IF(ISNUMBER(E26),VLOOKUP($A26,List!$A$1:$B$29,2,FALSE)))</f>
        <v/>
      </c>
      <c r="R26" s="13" t="str">
        <f>IF(IF(ISNUMBER(F26),VLOOKUP($A26,List!$A$1:$B$29,2,FALSE))=FALSE,"",IF(ISNUMBER(F26),VLOOKUP($A26,List!$A$1:$B$29,2,FALSE)))</f>
        <v/>
      </c>
      <c r="S26" s="13" t="str">
        <f>IF(IF(ISNUMBER(G26),VLOOKUP($A26,List!$A$1:$B$29,2,FALSE))=FALSE,"",IF(ISNUMBER(G26),VLOOKUP($A26,List!$A$1:$B$29,2,FALSE)))</f>
        <v/>
      </c>
      <c r="T26" s="13" t="str">
        <f>IF(IF(ISNUMBER(H26),VLOOKUP($A26,List!$A$1:$B$29,2,FALSE))=FALSE,"",IF(ISNUMBER(H26),VLOOKUP($A26,List!$A$1:$B$29,2,FALSE)))</f>
        <v/>
      </c>
      <c r="U26" s="13" t="str">
        <f>IF(IF(ISNUMBER(I26),VLOOKUP($A26,List!$A$1:$B$29,2,FALSE))=FALSE,"",IF(ISNUMBER(I26),VLOOKUP($A26,List!$A$1:$B$29,2,FALSE)))</f>
        <v>When buying a boat, functionality is more important than style</v>
      </c>
      <c r="V26" s="13" t="str">
        <f>IF(IF(ISNUMBER(J26),VLOOKUP($A26,List!$A$1:$B$29,2,FALSE))=FALSE,"",IF(ISNUMBER(J26),VLOOKUP($A26,List!$A$1:$B$29,2,FALSE)))</f>
        <v/>
      </c>
      <c r="W26" s="13" t="str">
        <f>IF(IF(ISNUMBER(K26),VLOOKUP($A26,List!$A$1:$B$29,2,FALSE))=FALSE,"",IF(ISNUMBER(K26),VLOOKUP($A26,List!$A$1:$B$29,2,FALSE)))</f>
        <v/>
      </c>
    </row>
    <row r="27" spans="1:23" ht="15" thickBot="1" x14ac:dyDescent="0.35">
      <c r="A27" s="4">
        <v>7</v>
      </c>
      <c r="B27" s="6" t="s">
        <v>79</v>
      </c>
      <c r="C27" s="6" t="s">
        <v>79</v>
      </c>
      <c r="D27" s="6" t="s">
        <v>79</v>
      </c>
      <c r="E27" s="6">
        <v>0.81</v>
      </c>
      <c r="F27" s="6" t="s">
        <v>79</v>
      </c>
      <c r="G27" s="7" t="s">
        <v>79</v>
      </c>
      <c r="H27" s="8" t="s">
        <v>79</v>
      </c>
      <c r="I27" s="7" t="s">
        <v>79</v>
      </c>
      <c r="J27" s="7" t="s">
        <v>79</v>
      </c>
      <c r="K27" s="7" t="s">
        <v>79</v>
      </c>
      <c r="L27" s="7"/>
      <c r="M27" s="7"/>
      <c r="N27" s="13" t="str">
        <f>IF(IF(ISNUMBER(B27),VLOOKUP($A27,List!$A$1:$B$29,2,FALSE))=FALSE,"",IF(ISNUMBER(B27),VLOOKUP($A27,List!$A$1:$B$29,2,FALSE)))</f>
        <v/>
      </c>
      <c r="O27" s="13" t="str">
        <f>IF(IF(ISNUMBER(C27),VLOOKUP($A27,List!$A$1:$B$29,2,FALSE))=FALSE,"",IF(ISNUMBER(C27),VLOOKUP($A27,List!$A$1:$B$29,2,FALSE)))</f>
        <v/>
      </c>
      <c r="P27" s="13" t="str">
        <f>IF(IF(ISNUMBER(D27),VLOOKUP($A27,List!$A$1:$B$29,2,FALSE))=FALSE,"",IF(ISNUMBER(D27),VLOOKUP($A27,List!$A$1:$B$29,2,FALSE)))</f>
        <v/>
      </c>
      <c r="Q27" s="13" t="str">
        <f>IF(IF(ISNUMBER(E27),VLOOKUP($A27,List!$A$1:$B$29,2,FALSE))=FALSE,"",IF(ISNUMBER(E27),VLOOKUP($A27,List!$A$1:$B$29,2,FALSE)))</f>
        <v>Owning a boat gives me a sense of achievement</v>
      </c>
      <c r="R27" s="13" t="str">
        <f>IF(IF(ISNUMBER(F27),VLOOKUP($A27,List!$A$1:$B$29,2,FALSE))=FALSE,"",IF(ISNUMBER(F27),VLOOKUP($A27,List!$A$1:$B$29,2,FALSE)))</f>
        <v/>
      </c>
      <c r="S27" s="13" t="str">
        <f>IF(IF(ISNUMBER(G27),VLOOKUP($A27,List!$A$1:$B$29,2,FALSE))=FALSE,"",IF(ISNUMBER(G27),VLOOKUP($A27,List!$A$1:$B$29,2,FALSE)))</f>
        <v/>
      </c>
      <c r="T27" s="13" t="str">
        <f>IF(IF(ISNUMBER(H27),VLOOKUP($A27,List!$A$1:$B$29,2,FALSE))=FALSE,"",IF(ISNUMBER(H27),VLOOKUP($A27,List!$A$1:$B$29,2,FALSE)))</f>
        <v/>
      </c>
      <c r="U27" s="13" t="str">
        <f>IF(IF(ISNUMBER(I27),VLOOKUP($A27,List!$A$1:$B$29,2,FALSE))=FALSE,"",IF(ISNUMBER(I27),VLOOKUP($A27,List!$A$1:$B$29,2,FALSE)))</f>
        <v/>
      </c>
      <c r="V27" s="13" t="str">
        <f>IF(IF(ISNUMBER(J27),VLOOKUP($A27,List!$A$1:$B$29,2,FALSE))=FALSE,"",IF(ISNUMBER(J27),VLOOKUP($A27,List!$A$1:$B$29,2,FALSE)))</f>
        <v/>
      </c>
      <c r="W27" s="13" t="str">
        <f>IF(IF(ISNUMBER(K27),VLOOKUP($A27,List!$A$1:$B$29,2,FALSE))=FALSE,"",IF(ISNUMBER(K27),VLOOKUP($A27,List!$A$1:$B$29,2,FALSE)))</f>
        <v/>
      </c>
    </row>
    <row r="28" spans="1:23" ht="15" thickBot="1" x14ac:dyDescent="0.35">
      <c r="A28" s="4">
        <v>2</v>
      </c>
      <c r="B28" s="6" t="s">
        <v>79</v>
      </c>
      <c r="C28" s="6" t="s">
        <v>79</v>
      </c>
      <c r="D28" s="5" t="s">
        <v>79</v>
      </c>
      <c r="E28" s="6" t="s">
        <v>79</v>
      </c>
      <c r="F28" s="6">
        <v>-0.72</v>
      </c>
      <c r="G28" s="7" t="s">
        <v>79</v>
      </c>
      <c r="H28" s="7" t="s">
        <v>79</v>
      </c>
      <c r="I28" s="7" t="s">
        <v>79</v>
      </c>
      <c r="J28" s="7" t="s">
        <v>79</v>
      </c>
      <c r="K28" s="7" t="s">
        <v>79</v>
      </c>
      <c r="L28" s="7"/>
      <c r="M28" s="7"/>
      <c r="N28" s="13" t="str">
        <f>IF(IF(ISNUMBER(B28),VLOOKUP($A28,List!$A$1:$B$29,2,FALSE))=FALSE,"",IF(ISNUMBER(B28),VLOOKUP($A28,List!$A$1:$B$29,2,FALSE)))</f>
        <v/>
      </c>
      <c r="O28" s="13" t="str">
        <f>IF(IF(ISNUMBER(C28),VLOOKUP($A28,List!$A$1:$B$29,2,FALSE))=FALSE,"",IF(ISNUMBER(C28),VLOOKUP($A28,List!$A$1:$B$29,2,FALSE)))</f>
        <v/>
      </c>
      <c r="P28" s="13" t="str">
        <f>IF(IF(ISNUMBER(D28),VLOOKUP($A28,List!$A$1:$B$29,2,FALSE))=FALSE,"",IF(ISNUMBER(D28),VLOOKUP($A28,List!$A$1:$B$29,2,FALSE)))</f>
        <v/>
      </c>
      <c r="Q28" s="13" t="str">
        <f>IF(IF(ISNUMBER(E28),VLOOKUP($A28,List!$A$1:$B$29,2,FALSE))=FALSE,"",IF(ISNUMBER(E28),VLOOKUP($A28,List!$A$1:$B$29,2,FALSE)))</f>
        <v/>
      </c>
      <c r="R28" s="13" t="str">
        <f>IF(IF(ISNUMBER(F28),VLOOKUP($A28,List!$A$1:$B$29,2,FALSE))=FALSE,"",IF(ISNUMBER(F28),VLOOKUP($A28,List!$A$1:$B$29,2,FALSE)))</f>
        <v>When buying a bot, getting the lowest P is more important than brand</v>
      </c>
      <c r="S28" s="13" t="str">
        <f>IF(IF(ISNUMBER(G28),VLOOKUP($A28,List!$A$1:$B$29,2,FALSE))=FALSE,"",IF(ISNUMBER(G28),VLOOKUP($A28,List!$A$1:$B$29,2,FALSE)))</f>
        <v/>
      </c>
      <c r="T28" s="13" t="str">
        <f>IF(IF(ISNUMBER(H28),VLOOKUP($A28,List!$A$1:$B$29,2,FALSE))=FALSE,"",IF(ISNUMBER(H28),VLOOKUP($A28,List!$A$1:$B$29,2,FALSE)))</f>
        <v/>
      </c>
      <c r="U28" s="13" t="str">
        <f>IF(IF(ISNUMBER(I28),VLOOKUP($A28,List!$A$1:$B$29,2,FALSE))=FALSE,"",IF(ISNUMBER(I28),VLOOKUP($A28,List!$A$1:$B$29,2,FALSE)))</f>
        <v/>
      </c>
      <c r="V28" s="13" t="str">
        <f>IF(IF(ISNUMBER(J28),VLOOKUP($A28,List!$A$1:$B$29,2,FALSE))=FALSE,"",IF(ISNUMBER(J28),VLOOKUP($A28,List!$A$1:$B$29,2,FALSE)))</f>
        <v/>
      </c>
      <c r="W28" s="13" t="str">
        <f>IF(IF(ISNUMBER(K28),VLOOKUP($A28,List!$A$1:$B$29,2,FALSE))=FALSE,"",IF(ISNUMBER(K28),VLOOKUP($A28,List!$A$1:$B$29,2,FALSE)))</f>
        <v/>
      </c>
    </row>
    <row r="29" spans="1:23" ht="15" thickBot="1" x14ac:dyDescent="0.35">
      <c r="A29" s="4">
        <v>4</v>
      </c>
      <c r="B29" s="6" t="s">
        <v>79</v>
      </c>
      <c r="C29" s="6" t="s">
        <v>79</v>
      </c>
      <c r="D29" s="6" t="s">
        <v>79</v>
      </c>
      <c r="E29" s="6" t="s">
        <v>79</v>
      </c>
      <c r="F29" s="6">
        <v>0.84</v>
      </c>
      <c r="G29" s="7" t="s">
        <v>79</v>
      </c>
      <c r="H29" s="7" t="s">
        <v>79</v>
      </c>
      <c r="I29" s="7" t="s">
        <v>79</v>
      </c>
      <c r="J29" s="8" t="s">
        <v>79</v>
      </c>
      <c r="K29" s="7" t="s">
        <v>79</v>
      </c>
      <c r="L29" s="7"/>
      <c r="M29" s="7"/>
      <c r="N29" s="13" t="str">
        <f>IF(IF(ISNUMBER(B29),VLOOKUP($A29,List!$A$1:$B$29,2,FALSE))=FALSE,"",IF(ISNUMBER(B29),VLOOKUP($A29,List!$A$1:$B$29,2,FALSE)))</f>
        <v/>
      </c>
      <c r="O29" s="13" t="str">
        <f>IF(IF(ISNUMBER(C29),VLOOKUP($A29,List!$A$1:$B$29,2,FALSE))=FALSE,"",IF(ISNUMBER(C29),VLOOKUP($A29,List!$A$1:$B$29,2,FALSE)))</f>
        <v/>
      </c>
      <c r="P29" s="13" t="str">
        <f>IF(IF(ISNUMBER(D29),VLOOKUP($A29,List!$A$1:$B$29,2,FALSE))=FALSE,"",IF(ISNUMBER(D29),VLOOKUP($A29,List!$A$1:$B$29,2,FALSE)))</f>
        <v/>
      </c>
      <c r="Q29" s="13" t="str">
        <f>IF(IF(ISNUMBER(E29),VLOOKUP($A29,List!$A$1:$B$29,2,FALSE))=FALSE,"",IF(ISNUMBER(E29),VLOOKUP($A29,List!$A$1:$B$29,2,FALSE)))</f>
        <v/>
      </c>
      <c r="R29" s="13" t="str">
        <f>IF(IF(ISNUMBER(F29),VLOOKUP($A29,List!$A$1:$B$29,2,FALSE))=FALSE,"",IF(ISNUMBER(F29),VLOOKUP($A29,List!$A$1:$B$29,2,FALSE)))</f>
        <v>I only consider buying a boat from a reputable brand</v>
      </c>
      <c r="S29" s="13" t="str">
        <f>IF(IF(ISNUMBER(G29),VLOOKUP($A29,List!$A$1:$B$29,2,FALSE))=FALSE,"",IF(ISNUMBER(G29),VLOOKUP($A29,List!$A$1:$B$29,2,FALSE)))</f>
        <v/>
      </c>
      <c r="T29" s="13" t="str">
        <f>IF(IF(ISNUMBER(H29),VLOOKUP($A29,List!$A$1:$B$29,2,FALSE))=FALSE,"",IF(ISNUMBER(H29),VLOOKUP($A29,List!$A$1:$B$29,2,FALSE)))</f>
        <v/>
      </c>
      <c r="U29" s="13" t="str">
        <f>IF(IF(ISNUMBER(I29),VLOOKUP($A29,List!$A$1:$B$29,2,FALSE))=FALSE,"",IF(ISNUMBER(I29),VLOOKUP($A29,List!$A$1:$B$29,2,FALSE)))</f>
        <v/>
      </c>
      <c r="V29" s="13" t="str">
        <f>IF(IF(ISNUMBER(J29),VLOOKUP($A29,List!$A$1:$B$29,2,FALSE))=FALSE,"",IF(ISNUMBER(J29),VLOOKUP($A29,List!$A$1:$B$29,2,FALSE)))</f>
        <v/>
      </c>
      <c r="W29" s="13" t="str">
        <f>IF(IF(ISNUMBER(K29),VLOOKUP($A29,List!$A$1:$B$29,2,FALSE))=FALSE,"",IF(ISNUMBER(K29),VLOOKUP($A29,List!$A$1:$B$29,2,FALSE)))</f>
        <v/>
      </c>
    </row>
    <row r="30" spans="1:23" ht="15" thickBot="1" x14ac:dyDescent="0.35">
      <c r="A30" s="4">
        <v>10</v>
      </c>
      <c r="B30" s="6" t="s">
        <v>79</v>
      </c>
      <c r="C30" s="6" t="s">
        <v>79</v>
      </c>
      <c r="D30" s="6" t="s">
        <v>79</v>
      </c>
      <c r="E30" s="6" t="s">
        <v>79</v>
      </c>
      <c r="F30" s="5" t="s">
        <v>79</v>
      </c>
      <c r="G30" s="7" t="s">
        <v>79</v>
      </c>
      <c r="H30" s="7">
        <v>0.95</v>
      </c>
      <c r="I30" s="7" t="s">
        <v>79</v>
      </c>
      <c r="J30" s="7" t="s">
        <v>79</v>
      </c>
      <c r="K30" s="7" t="s">
        <v>79</v>
      </c>
      <c r="L30" s="7"/>
      <c r="M30" s="7"/>
      <c r="N30" s="13" t="str">
        <f>IF(IF(ISNUMBER(B30),VLOOKUP($A30,List!$A$1:$B$29,2,FALSE))=FALSE,"",IF(ISNUMBER(B30),VLOOKUP($A30,List!$A$1:$B$29,2,FALSE)))</f>
        <v/>
      </c>
      <c r="O30" s="13" t="str">
        <f>IF(IF(ISNUMBER(C30),VLOOKUP($A30,List!$A$1:$B$29,2,FALSE))=FALSE,"",IF(ISNUMBER(C30),VLOOKUP($A30,List!$A$1:$B$29,2,FALSE)))</f>
        <v/>
      </c>
      <c r="P30" s="13" t="str">
        <f>IF(IF(ISNUMBER(D30),VLOOKUP($A30,List!$A$1:$B$29,2,FALSE))=FALSE,"",IF(ISNUMBER(D30),VLOOKUP($A30,List!$A$1:$B$29,2,FALSE)))</f>
        <v/>
      </c>
      <c r="Q30" s="13" t="str">
        <f>IF(IF(ISNUMBER(E30),VLOOKUP($A30,List!$A$1:$B$29,2,FALSE))=FALSE,"",IF(ISNUMBER(E30),VLOOKUP($A30,List!$A$1:$B$29,2,FALSE)))</f>
        <v/>
      </c>
      <c r="R30" s="13" t="str">
        <f>IF(IF(ISNUMBER(F30),VLOOKUP($A30,List!$A$1:$B$29,2,FALSE))=FALSE,"",IF(ISNUMBER(F30),VLOOKUP($A30,List!$A$1:$B$29,2,FALSE)))</f>
        <v/>
      </c>
      <c r="S30" s="13" t="str">
        <f>IF(IF(ISNUMBER(G30),VLOOKUP($A30,List!$A$1:$B$29,2,FALSE))=FALSE,"",IF(ISNUMBER(G30),VLOOKUP($A30,List!$A$1:$B$29,2,FALSE)))</f>
        <v/>
      </c>
      <c r="T30" s="13" t="str">
        <f>IF(IF(ISNUMBER(H30),VLOOKUP($A30,List!$A$1:$B$29,2,FALSE))=FALSE,"",IF(ISNUMBER(H30),VLOOKUP($A30,List!$A$1:$B$29,2,FALSE)))</f>
        <v>When buying a boat, I rely more on expert opinion than my own</v>
      </c>
      <c r="U30" s="13" t="str">
        <f>IF(IF(ISNUMBER(I30),VLOOKUP($A30,List!$A$1:$B$29,2,FALSE))=FALSE,"",IF(ISNUMBER(I30),VLOOKUP($A30,List!$A$1:$B$29,2,FALSE)))</f>
        <v/>
      </c>
      <c r="V30" s="13" t="str">
        <f>IF(IF(ISNUMBER(J30),VLOOKUP($A30,List!$A$1:$B$29,2,FALSE))=FALSE,"",IF(ISNUMBER(J30),VLOOKUP($A30,List!$A$1:$B$29,2,FALSE)))</f>
        <v/>
      </c>
      <c r="W30" s="13" t="str">
        <f>IF(IF(ISNUMBER(K30),VLOOKUP($A30,List!$A$1:$B$29,2,FALSE))=FALSE,"",IF(ISNUMBER(K30),VLOOKUP($A30,List!$A$1:$B$29,2,FALSE)))</f>
        <v/>
      </c>
    </row>
    <row r="31" spans="1:23" ht="15" thickBot="1" x14ac:dyDescent="0.35">
      <c r="A31" s="4">
        <v>11</v>
      </c>
      <c r="B31" s="6" t="s">
        <v>79</v>
      </c>
      <c r="C31" s="6" t="s">
        <v>79</v>
      </c>
      <c r="D31" s="6" t="s">
        <v>79</v>
      </c>
      <c r="E31" s="6" t="s">
        <v>79</v>
      </c>
      <c r="F31" s="6" t="s">
        <v>79</v>
      </c>
      <c r="G31" s="7">
        <v>0.96</v>
      </c>
      <c r="H31" s="7" t="s">
        <v>79</v>
      </c>
      <c r="I31" s="8" t="s">
        <v>79</v>
      </c>
      <c r="J31" s="7" t="s">
        <v>79</v>
      </c>
      <c r="K31" s="7" t="s">
        <v>79</v>
      </c>
      <c r="L31" s="7"/>
      <c r="M31" s="7"/>
      <c r="N31" s="13" t="str">
        <f>IF(IF(ISNUMBER(B31),VLOOKUP($A31,List!$A$1:$B$29,2,FALSE))=FALSE,"",IF(ISNUMBER(B31),VLOOKUP($A31,List!$A$1:$B$29,2,FALSE)))</f>
        <v/>
      </c>
      <c r="O31" s="13" t="str">
        <f>IF(IF(ISNUMBER(C31),VLOOKUP($A31,List!$A$1:$B$29,2,FALSE))=FALSE,"",IF(ISNUMBER(C31),VLOOKUP($A31,List!$A$1:$B$29,2,FALSE)))</f>
        <v/>
      </c>
      <c r="P31" s="13" t="str">
        <f>IF(IF(ISNUMBER(D31),VLOOKUP($A31,List!$A$1:$B$29,2,FALSE))=FALSE,"",IF(ISNUMBER(D31),VLOOKUP($A31,List!$A$1:$B$29,2,FALSE)))</f>
        <v/>
      </c>
      <c r="Q31" s="13" t="str">
        <f>IF(IF(ISNUMBER(E31),VLOOKUP($A31,List!$A$1:$B$29,2,FALSE))=FALSE,"",IF(ISNUMBER(E31),VLOOKUP($A31,List!$A$1:$B$29,2,FALSE)))</f>
        <v/>
      </c>
      <c r="R31" s="13" t="str">
        <f>IF(IF(ISNUMBER(F31),VLOOKUP($A31,List!$A$1:$B$29,2,FALSE))=FALSE,"",IF(ISNUMBER(F31),VLOOKUP($A31,List!$A$1:$B$29,2,FALSE)))</f>
        <v/>
      </c>
      <c r="S31" s="13" t="str">
        <f>IF(IF(ISNUMBER(G31),VLOOKUP($A31,List!$A$1:$B$29,2,FALSE))=FALSE,"",IF(ISNUMBER(G31),VLOOKUP($A31,List!$A$1:$B$29,2,FALSE)))</f>
        <v>I tend to perform minor boat repairs and maintenance on my own</v>
      </c>
      <c r="T31" s="13" t="str">
        <f>IF(IF(ISNUMBER(H31),VLOOKUP($A31,List!$A$1:$B$29,2,FALSE))=FALSE,"",IF(ISNUMBER(H31),VLOOKUP($A31,List!$A$1:$B$29,2,FALSE)))</f>
        <v/>
      </c>
      <c r="U31" s="13" t="str">
        <f>IF(IF(ISNUMBER(I31),VLOOKUP($A31,List!$A$1:$B$29,2,FALSE))=FALSE,"",IF(ISNUMBER(I31),VLOOKUP($A31,List!$A$1:$B$29,2,FALSE)))</f>
        <v/>
      </c>
      <c r="V31" s="13" t="str">
        <f>IF(IF(ISNUMBER(J31),VLOOKUP($A31,List!$A$1:$B$29,2,FALSE))=FALSE,"",IF(ISNUMBER(J31),VLOOKUP($A31,List!$A$1:$B$29,2,FALSE)))</f>
        <v/>
      </c>
      <c r="W31" s="13" t="str">
        <f>IF(IF(ISNUMBER(K31),VLOOKUP($A31,List!$A$1:$B$29,2,FALSE))=FALSE,"",IF(ISNUMBER(K31),VLOOKUP($A31,List!$A$1:$B$29,2,FALSE)))</f>
        <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756B0-AD85-4D30-AA33-AEC728DB90C1}">
  <dimension ref="A1:W31"/>
  <sheetViews>
    <sheetView topLeftCell="H1" workbookViewId="0">
      <selection activeCell="S30" sqref="S30"/>
    </sheetView>
  </sheetViews>
  <sheetFormatPr defaultRowHeight="14.4" x14ac:dyDescent="0.3"/>
  <cols>
    <col min="14" max="14" width="56.44140625" bestFit="1" customWidth="1"/>
    <col min="15" max="15" width="15" customWidth="1"/>
    <col min="16" max="16" width="14.44140625" customWidth="1"/>
    <col min="17" max="17" width="8.88671875" customWidth="1"/>
    <col min="18" max="18" width="47.6640625" bestFit="1" customWidth="1"/>
    <col min="19" max="19" width="58.33203125" bestFit="1" customWidth="1"/>
    <col min="20" max="20" width="66.6640625" bestFit="1" customWidth="1"/>
    <col min="21" max="21" width="57.44140625" bestFit="1" customWidth="1"/>
    <col min="22" max="22" width="39.44140625" bestFit="1" customWidth="1"/>
  </cols>
  <sheetData>
    <row r="1" spans="1:23" ht="23.4" x14ac:dyDescent="0.45">
      <c r="A1" s="17" t="s">
        <v>122</v>
      </c>
    </row>
    <row r="2" spans="1:23" ht="15" thickBot="1" x14ac:dyDescent="0.35">
      <c r="A2" s="3" t="s">
        <v>63</v>
      </c>
      <c r="B2" s="3" t="s">
        <v>49</v>
      </c>
      <c r="C2" s="3" t="s">
        <v>50</v>
      </c>
      <c r="D2" s="3" t="s">
        <v>51</v>
      </c>
      <c r="E2" s="3" t="s">
        <v>52</v>
      </c>
      <c r="F2" s="3" t="s">
        <v>53</v>
      </c>
      <c r="G2" s="3" t="s">
        <v>54</v>
      </c>
      <c r="H2" s="3" t="s">
        <v>55</v>
      </c>
      <c r="I2" s="3" t="s">
        <v>56</v>
      </c>
      <c r="J2" s="3" t="s">
        <v>57</v>
      </c>
      <c r="K2" s="3" t="s">
        <v>58</v>
      </c>
      <c r="L2" s="3" t="s">
        <v>59</v>
      </c>
      <c r="M2" s="3" t="s">
        <v>60</v>
      </c>
      <c r="N2" s="3" t="s">
        <v>130</v>
      </c>
      <c r="O2" s="3" t="s">
        <v>128</v>
      </c>
      <c r="P2" s="3" t="s">
        <v>129</v>
      </c>
      <c r="Q2" s="3" t="s">
        <v>89</v>
      </c>
      <c r="R2" s="3" t="s">
        <v>140</v>
      </c>
      <c r="S2" s="3" t="s">
        <v>132</v>
      </c>
      <c r="T2" s="3" t="s">
        <v>135</v>
      </c>
      <c r="U2" s="3" t="s">
        <v>138</v>
      </c>
      <c r="V2" s="3" t="s">
        <v>139</v>
      </c>
    </row>
    <row r="3" spans="1:23" ht="15" thickBot="1" x14ac:dyDescent="0.35">
      <c r="A3" s="4">
        <v>13</v>
      </c>
      <c r="B3" s="5">
        <v>0.94</v>
      </c>
      <c r="C3" s="6" t="s">
        <v>79</v>
      </c>
      <c r="D3" s="6" t="s">
        <v>79</v>
      </c>
      <c r="E3" s="6" t="s">
        <v>79</v>
      </c>
      <c r="F3" s="6" t="s">
        <v>79</v>
      </c>
      <c r="G3" s="7" t="s">
        <v>79</v>
      </c>
      <c r="H3" s="7" t="s">
        <v>79</v>
      </c>
      <c r="I3" s="7" t="s">
        <v>79</v>
      </c>
      <c r="J3" s="7" t="s">
        <v>79</v>
      </c>
      <c r="K3" s="7"/>
      <c r="L3" s="7"/>
      <c r="M3" s="7"/>
      <c r="N3" s="13" t="str">
        <f>IF(IF(ISNUMBER(B3),VLOOKUP($A3,List!$A$1:$B$29,2,FALSE))=FALSE,"",IF(ISNUMBER(B3),VLOOKUP($A3,List!$A$1:$B$29,2,FALSE)))</f>
        <v>When buying a boat, I tend to buy the latest and greatest</v>
      </c>
      <c r="O3" s="13" t="str">
        <f>IF(IF(ISNUMBER(C3),VLOOKUP($A3,List!$A$1:$B$29,2,FALSE))=FALSE,"",IF(ISNUMBER(C3),VLOOKUP($A3,List!$A$1:$B$29,2,FALSE)))</f>
        <v/>
      </c>
      <c r="P3" s="13" t="str">
        <f>IF(IF(ISNUMBER(D3),VLOOKUP($A3,List!$A$1:$B$29,2,FALSE))=FALSE,"",IF(ISNUMBER(D3),VLOOKUP($A3,List!$A$1:$B$29,2,FALSE)))</f>
        <v/>
      </c>
      <c r="Q3" s="13" t="str">
        <f>IF(IF(ISNUMBER(E3),VLOOKUP($A3,List!$A$1:$B$29,2,FALSE))=FALSE,"",IF(ISNUMBER(E3),VLOOKUP($A3,List!$A$1:$B$29,2,FALSE)))</f>
        <v/>
      </c>
      <c r="R3" s="13" t="str">
        <f>IF(IF(ISNUMBER(F3),VLOOKUP($A3,List!$A$1:$B$29,2,FALSE))=FALSE,"",IF(ISNUMBER(F3),VLOOKUP($A3,List!$A$1:$B$29,2,FALSE)))</f>
        <v/>
      </c>
      <c r="S3" s="13" t="str">
        <f>IF(IF(ISNUMBER(G3),VLOOKUP($A3,List!$A$1:$B$29,2,FALSE))=FALSE,"",IF(ISNUMBER(G3),VLOOKUP($A3,List!$A$1:$B$29,2,FALSE)))</f>
        <v/>
      </c>
      <c r="T3" s="13" t="str">
        <f>IF(IF(ISNUMBER(H3),VLOOKUP($A3,List!$A$1:$B$29,2,FALSE))=FALSE,"",IF(ISNUMBER(H3),VLOOKUP($A3,List!$A$1:$B$29,2,FALSE)))</f>
        <v/>
      </c>
      <c r="U3" s="13" t="str">
        <f>IF(IF(ISNUMBER(I3),VLOOKUP($A3,List!$A$1:$B$29,2,FALSE))=FALSE,"",IF(ISNUMBER(I3),VLOOKUP($A3,List!$A$1:$B$29,2,FALSE)))</f>
        <v/>
      </c>
      <c r="V3" s="13" t="str">
        <f>IF(IF(ISNUMBER(J3),VLOOKUP($A3,List!$A$1:$B$29,2,FALSE))=FALSE,"",IF(ISNUMBER(J3),VLOOKUP($A3,List!$A$1:$B$29,2,FALSE)))</f>
        <v/>
      </c>
      <c r="W3" s="13" t="str">
        <f>IF(IF(ISNUMBER(K3),VLOOKUP($A3,List!$A$1:$B$29,2,FALSE))=FALSE,"",IF(ISNUMBER(K3),VLOOKUP($A3,List!$A$1:$B$29,2,FALSE)))</f>
        <v/>
      </c>
    </row>
    <row r="4" spans="1:23" ht="15" thickBot="1" x14ac:dyDescent="0.35">
      <c r="A4" s="4">
        <v>14</v>
      </c>
      <c r="B4" s="5">
        <v>0.89</v>
      </c>
      <c r="C4" s="6" t="s">
        <v>79</v>
      </c>
      <c r="D4" s="6" t="s">
        <v>79</v>
      </c>
      <c r="E4" s="6" t="s">
        <v>79</v>
      </c>
      <c r="F4" s="6" t="s">
        <v>79</v>
      </c>
      <c r="G4" s="7" t="s">
        <v>79</v>
      </c>
      <c r="H4" s="7" t="s">
        <v>79</v>
      </c>
      <c r="I4" s="7" t="s">
        <v>79</v>
      </c>
      <c r="J4" s="7" t="s">
        <v>79</v>
      </c>
      <c r="K4" s="7"/>
      <c r="L4" s="7"/>
      <c r="M4" s="7"/>
      <c r="N4" s="13" t="str">
        <f>IF(IF(ISNUMBER(B4),VLOOKUP($A4,List!$A$1:$B$29,2,FALSE))=FALSE,"",IF(ISNUMBER(B4),VLOOKUP($A4,List!$A$1:$B$29,2,FALSE)))</f>
        <v>When buying accessories for my boat, I tend to buy the latest and greatest</v>
      </c>
      <c r="O4" s="13" t="str">
        <f>IF(IF(ISNUMBER(C4),VLOOKUP($A4,List!$A$1:$B$29,2,FALSE))=FALSE,"",IF(ISNUMBER(C4),VLOOKUP($A4,List!$A$1:$B$29,2,FALSE)))</f>
        <v/>
      </c>
      <c r="P4" s="13" t="str">
        <f>IF(IF(ISNUMBER(D4),VLOOKUP($A4,List!$A$1:$B$29,2,FALSE))=FALSE,"",IF(ISNUMBER(D4),VLOOKUP($A4,List!$A$1:$B$29,2,FALSE)))</f>
        <v/>
      </c>
      <c r="Q4" s="13" t="str">
        <f>IF(IF(ISNUMBER(E4),VLOOKUP($A4,List!$A$1:$B$29,2,FALSE))=FALSE,"",IF(ISNUMBER(E4),VLOOKUP($A4,List!$A$1:$B$29,2,FALSE)))</f>
        <v/>
      </c>
      <c r="R4" s="13" t="str">
        <f>IF(IF(ISNUMBER(F4),VLOOKUP($A4,List!$A$1:$B$29,2,FALSE))=FALSE,"",IF(ISNUMBER(F4),VLOOKUP($A4,List!$A$1:$B$29,2,FALSE)))</f>
        <v/>
      </c>
      <c r="S4" s="13" t="str">
        <f>IF(IF(ISNUMBER(G4),VLOOKUP($A4,List!$A$1:$B$29,2,FALSE))=FALSE,"",IF(ISNUMBER(G4),VLOOKUP($A4,List!$A$1:$B$29,2,FALSE)))</f>
        <v/>
      </c>
      <c r="T4" s="13" t="str">
        <f>IF(IF(ISNUMBER(H4),VLOOKUP($A4,List!$A$1:$B$29,2,FALSE))=FALSE,"",IF(ISNUMBER(H4),VLOOKUP($A4,List!$A$1:$B$29,2,FALSE)))</f>
        <v/>
      </c>
      <c r="U4" s="13" t="str">
        <f>IF(IF(ISNUMBER(I4),VLOOKUP($A4,List!$A$1:$B$29,2,FALSE))=FALSE,"",IF(ISNUMBER(I4),VLOOKUP($A4,List!$A$1:$B$29,2,FALSE)))</f>
        <v/>
      </c>
      <c r="V4" s="13" t="str">
        <f>IF(IF(ISNUMBER(J4),VLOOKUP($A4,List!$A$1:$B$29,2,FALSE))=FALSE,"",IF(ISNUMBER(J4),VLOOKUP($A4,List!$A$1:$B$29,2,FALSE)))</f>
        <v/>
      </c>
      <c r="W4" s="13" t="str">
        <f>IF(IF(ISNUMBER(K4),VLOOKUP($A4,List!$A$1:$B$29,2,FALSE))=FALSE,"",IF(ISNUMBER(K4),VLOOKUP($A4,List!$A$1:$B$29,2,FALSE)))</f>
        <v/>
      </c>
    </row>
    <row r="5" spans="1:23" ht="15" thickBot="1" x14ac:dyDescent="0.35">
      <c r="A5" s="4">
        <v>9</v>
      </c>
      <c r="B5" s="5">
        <v>0.66</v>
      </c>
      <c r="C5" s="6" t="s">
        <v>79</v>
      </c>
      <c r="D5" s="6" t="s">
        <v>79</v>
      </c>
      <c r="E5" s="6" t="s">
        <v>79</v>
      </c>
      <c r="F5" s="6" t="s">
        <v>79</v>
      </c>
      <c r="G5" s="7" t="s">
        <v>79</v>
      </c>
      <c r="H5" s="7" t="s">
        <v>79</v>
      </c>
      <c r="I5" s="7" t="s">
        <v>79</v>
      </c>
      <c r="J5" s="7" t="s">
        <v>79</v>
      </c>
      <c r="K5" s="7"/>
      <c r="L5" s="7"/>
      <c r="M5" s="7"/>
      <c r="N5" s="13" t="str">
        <f>IF(IF(ISNUMBER(B5),VLOOKUP($A5,List!$A$1:$B$29,2,FALSE))=FALSE,"",IF(ISNUMBER(B5),VLOOKUP($A5,List!$A$1:$B$29,2,FALSE)))</f>
        <v>I see my boat as status symbol</v>
      </c>
      <c r="O5" s="13" t="str">
        <f>IF(IF(ISNUMBER(C5),VLOOKUP($A5,List!$A$1:$B$29,2,FALSE))=FALSE,"",IF(ISNUMBER(C5),VLOOKUP($A5,List!$A$1:$B$29,2,FALSE)))</f>
        <v/>
      </c>
      <c r="P5" s="13" t="str">
        <f>IF(IF(ISNUMBER(D5),VLOOKUP($A5,List!$A$1:$B$29,2,FALSE))=FALSE,"",IF(ISNUMBER(D5),VLOOKUP($A5,List!$A$1:$B$29,2,FALSE)))</f>
        <v/>
      </c>
      <c r="Q5" s="13" t="str">
        <f>IF(IF(ISNUMBER(E5),VLOOKUP($A5,List!$A$1:$B$29,2,FALSE))=FALSE,"",IF(ISNUMBER(E5),VLOOKUP($A5,List!$A$1:$B$29,2,FALSE)))</f>
        <v/>
      </c>
      <c r="R5" s="13" t="str">
        <f>IF(IF(ISNUMBER(F5),VLOOKUP($A5,List!$A$1:$B$29,2,FALSE))=FALSE,"",IF(ISNUMBER(F5),VLOOKUP($A5,List!$A$1:$B$29,2,FALSE)))</f>
        <v/>
      </c>
      <c r="S5" s="13" t="str">
        <f>IF(IF(ISNUMBER(G5),VLOOKUP($A5,List!$A$1:$B$29,2,FALSE))=FALSE,"",IF(ISNUMBER(G5),VLOOKUP($A5,List!$A$1:$B$29,2,FALSE)))</f>
        <v/>
      </c>
      <c r="T5" s="13" t="str">
        <f>IF(IF(ISNUMBER(H5),VLOOKUP($A5,List!$A$1:$B$29,2,FALSE))=FALSE,"",IF(ISNUMBER(H5),VLOOKUP($A5,List!$A$1:$B$29,2,FALSE)))</f>
        <v/>
      </c>
      <c r="U5" s="13" t="str">
        <f>IF(IF(ISNUMBER(I5),VLOOKUP($A5,List!$A$1:$B$29,2,FALSE))=FALSE,"",IF(ISNUMBER(I5),VLOOKUP($A5,List!$A$1:$B$29,2,FALSE)))</f>
        <v/>
      </c>
      <c r="V5" s="13" t="str">
        <f>IF(IF(ISNUMBER(J5),VLOOKUP($A5,List!$A$1:$B$29,2,FALSE))=FALSE,"",IF(ISNUMBER(J5),VLOOKUP($A5,List!$A$1:$B$29,2,FALSE)))</f>
        <v/>
      </c>
      <c r="W5" s="13" t="str">
        <f>IF(IF(ISNUMBER(K5),VLOOKUP($A5,List!$A$1:$B$29,2,FALSE))=FALSE,"",IF(ISNUMBER(K5),VLOOKUP($A5,List!$A$1:$B$29,2,FALSE)))</f>
        <v/>
      </c>
    </row>
    <row r="6" spans="1:23" ht="15" thickBot="1" x14ac:dyDescent="0.35">
      <c r="A6" s="4">
        <v>26</v>
      </c>
      <c r="B6" s="5">
        <v>0.6</v>
      </c>
      <c r="C6" s="6" t="s">
        <v>79</v>
      </c>
      <c r="D6" s="6" t="s">
        <v>79</v>
      </c>
      <c r="E6" s="6" t="s">
        <v>79</v>
      </c>
      <c r="F6" s="6" t="s">
        <v>79</v>
      </c>
      <c r="G6" s="7" t="s">
        <v>79</v>
      </c>
      <c r="H6" s="7" t="s">
        <v>79</v>
      </c>
      <c r="I6" s="7" t="s">
        <v>79</v>
      </c>
      <c r="J6" s="7" t="s">
        <v>79</v>
      </c>
      <c r="K6" s="7"/>
      <c r="L6" s="7"/>
      <c r="M6" s="7"/>
      <c r="N6" s="13" t="str">
        <f>IF(IF(ISNUMBER(B6),VLOOKUP($A6,List!$A$1:$B$29,2,FALSE))=FALSE,"",IF(ISNUMBER(B6),VLOOKUP($A6,List!$A$1:$B$29,2,FALSE)))</f>
        <v>Having a powerful boat is what is most important to me</v>
      </c>
      <c r="O6" s="13" t="str">
        <f>IF(IF(ISNUMBER(C6),VLOOKUP($A6,List!$A$1:$B$29,2,FALSE))=FALSE,"",IF(ISNUMBER(C6),VLOOKUP($A6,List!$A$1:$B$29,2,FALSE)))</f>
        <v/>
      </c>
      <c r="P6" s="13" t="str">
        <f>IF(IF(ISNUMBER(D6),VLOOKUP($A6,List!$A$1:$B$29,2,FALSE))=FALSE,"",IF(ISNUMBER(D6),VLOOKUP($A6,List!$A$1:$B$29,2,FALSE)))</f>
        <v/>
      </c>
      <c r="Q6" s="13" t="str">
        <f>IF(IF(ISNUMBER(E6),VLOOKUP($A6,List!$A$1:$B$29,2,FALSE))=FALSE,"",IF(ISNUMBER(E6),VLOOKUP($A6,List!$A$1:$B$29,2,FALSE)))</f>
        <v/>
      </c>
      <c r="R6" s="13" t="str">
        <f>IF(IF(ISNUMBER(F6),VLOOKUP($A6,List!$A$1:$B$29,2,FALSE))=FALSE,"",IF(ISNUMBER(F6),VLOOKUP($A6,List!$A$1:$B$29,2,FALSE)))</f>
        <v/>
      </c>
      <c r="S6" s="13" t="str">
        <f>IF(IF(ISNUMBER(G6),VLOOKUP($A6,List!$A$1:$B$29,2,FALSE))=FALSE,"",IF(ISNUMBER(G6),VLOOKUP($A6,List!$A$1:$B$29,2,FALSE)))</f>
        <v/>
      </c>
      <c r="T6" s="13" t="str">
        <f>IF(IF(ISNUMBER(H6),VLOOKUP($A6,List!$A$1:$B$29,2,FALSE))=FALSE,"",IF(ISNUMBER(H6),VLOOKUP($A6,List!$A$1:$B$29,2,FALSE)))</f>
        <v/>
      </c>
      <c r="U6" s="13" t="str">
        <f>IF(IF(ISNUMBER(I6),VLOOKUP($A6,List!$A$1:$B$29,2,FALSE))=FALSE,"",IF(ISNUMBER(I6),VLOOKUP($A6,List!$A$1:$B$29,2,FALSE)))</f>
        <v/>
      </c>
      <c r="V6" s="13" t="str">
        <f>IF(IF(ISNUMBER(J6),VLOOKUP($A6,List!$A$1:$B$29,2,FALSE))=FALSE,"",IF(ISNUMBER(J6),VLOOKUP($A6,List!$A$1:$B$29,2,FALSE)))</f>
        <v/>
      </c>
      <c r="W6" s="13" t="str">
        <f>IF(IF(ISNUMBER(K6),VLOOKUP($A6,List!$A$1:$B$29,2,FALSE))=FALSE,"",IF(ISNUMBER(K6),VLOOKUP($A6,List!$A$1:$B$29,2,FALSE)))</f>
        <v/>
      </c>
    </row>
    <row r="7" spans="1:23" ht="15" thickBot="1" x14ac:dyDescent="0.35">
      <c r="A7" s="4">
        <v>15</v>
      </c>
      <c r="B7" s="5">
        <v>0.59</v>
      </c>
      <c r="C7" s="6" t="s">
        <v>79</v>
      </c>
      <c r="D7" s="6" t="s">
        <v>79</v>
      </c>
      <c r="E7" s="6" t="s">
        <v>79</v>
      </c>
      <c r="F7" s="6" t="s">
        <v>79</v>
      </c>
      <c r="G7" s="7" t="s">
        <v>79</v>
      </c>
      <c r="H7" s="7" t="s">
        <v>79</v>
      </c>
      <c r="I7" s="7" t="s">
        <v>79</v>
      </c>
      <c r="J7" s="7" t="s">
        <v>79</v>
      </c>
      <c r="K7" s="7"/>
      <c r="L7" s="7"/>
      <c r="M7" s="7"/>
      <c r="N7" s="13" t="str">
        <f>IF(IF(ISNUMBER(B7),VLOOKUP($A7,List!$A$1:$B$29,2,FALSE))=FALSE,"",IF(ISNUMBER(B7),VLOOKUP($A7,List!$A$1:$B$29,2,FALSE)))</f>
        <v>I am serious about the technology on my boat</v>
      </c>
      <c r="O7" s="13" t="str">
        <f>IF(IF(ISNUMBER(C7),VLOOKUP($A7,List!$A$1:$B$29,2,FALSE))=FALSE,"",IF(ISNUMBER(C7),VLOOKUP($A7,List!$A$1:$B$29,2,FALSE)))</f>
        <v/>
      </c>
      <c r="P7" s="13" t="str">
        <f>IF(IF(ISNUMBER(D7),VLOOKUP($A7,List!$A$1:$B$29,2,FALSE))=FALSE,"",IF(ISNUMBER(D7),VLOOKUP($A7,List!$A$1:$B$29,2,FALSE)))</f>
        <v/>
      </c>
      <c r="Q7" s="13" t="str">
        <f>IF(IF(ISNUMBER(E7),VLOOKUP($A7,List!$A$1:$B$29,2,FALSE))=FALSE,"",IF(ISNUMBER(E7),VLOOKUP($A7,List!$A$1:$B$29,2,FALSE)))</f>
        <v/>
      </c>
      <c r="R7" s="13" t="str">
        <f>IF(IF(ISNUMBER(F7),VLOOKUP($A7,List!$A$1:$B$29,2,FALSE))=FALSE,"",IF(ISNUMBER(F7),VLOOKUP($A7,List!$A$1:$B$29,2,FALSE)))</f>
        <v/>
      </c>
      <c r="S7" s="13" t="str">
        <f>IF(IF(ISNUMBER(G7),VLOOKUP($A7,List!$A$1:$B$29,2,FALSE))=FALSE,"",IF(ISNUMBER(G7),VLOOKUP($A7,List!$A$1:$B$29,2,FALSE)))</f>
        <v/>
      </c>
      <c r="T7" s="13" t="str">
        <f>IF(IF(ISNUMBER(H7),VLOOKUP($A7,List!$A$1:$B$29,2,FALSE))=FALSE,"",IF(ISNUMBER(H7),VLOOKUP($A7,List!$A$1:$B$29,2,FALSE)))</f>
        <v/>
      </c>
      <c r="U7" s="13" t="str">
        <f>IF(IF(ISNUMBER(I7),VLOOKUP($A7,List!$A$1:$B$29,2,FALSE))=FALSE,"",IF(ISNUMBER(I7),VLOOKUP($A7,List!$A$1:$B$29,2,FALSE)))</f>
        <v/>
      </c>
      <c r="V7" s="13" t="str">
        <f>IF(IF(ISNUMBER(J7),VLOOKUP($A7,List!$A$1:$B$29,2,FALSE))=FALSE,"",IF(ISNUMBER(J7),VLOOKUP($A7,List!$A$1:$B$29,2,FALSE)))</f>
        <v/>
      </c>
      <c r="W7" s="13" t="str">
        <f>IF(IF(ISNUMBER(K7),VLOOKUP($A7,List!$A$1:$B$29,2,FALSE))=FALSE,"",IF(ISNUMBER(K7),VLOOKUP($A7,List!$A$1:$B$29,2,FALSE)))</f>
        <v/>
      </c>
    </row>
    <row r="8" spans="1:23" ht="15" thickBot="1" x14ac:dyDescent="0.35">
      <c r="A8" s="4">
        <v>3</v>
      </c>
      <c r="B8" s="5">
        <v>0.57999999999999996</v>
      </c>
      <c r="C8" s="6" t="s">
        <v>79</v>
      </c>
      <c r="D8" s="6" t="s">
        <v>79</v>
      </c>
      <c r="E8" s="6" t="s">
        <v>79</v>
      </c>
      <c r="F8" s="6" t="s">
        <v>79</v>
      </c>
      <c r="G8" s="7" t="s">
        <v>79</v>
      </c>
      <c r="H8" s="7" t="s">
        <v>79</v>
      </c>
      <c r="I8" s="7" t="s">
        <v>79</v>
      </c>
      <c r="J8" s="7" t="s">
        <v>79</v>
      </c>
      <c r="K8" s="7"/>
      <c r="L8" s="7"/>
      <c r="M8" s="7"/>
      <c r="N8" s="13" t="str">
        <f>IF(IF(ISNUMBER(B8),VLOOKUP($A8,List!$A$1:$B$29,2,FALSE))=FALSE,"",IF(ISNUMBER(B8),VLOOKUP($A8,List!$A$1:$B$29,2,FALSE)))</f>
        <v>The brand of the boat I buy says a lot about who I am</v>
      </c>
      <c r="O8" s="13" t="str">
        <f>IF(IF(ISNUMBER(C8),VLOOKUP($A8,List!$A$1:$B$29,2,FALSE))=FALSE,"",IF(ISNUMBER(C8),VLOOKUP($A8,List!$A$1:$B$29,2,FALSE)))</f>
        <v/>
      </c>
      <c r="P8" s="13" t="str">
        <f>IF(IF(ISNUMBER(D8),VLOOKUP($A8,List!$A$1:$B$29,2,FALSE))=FALSE,"",IF(ISNUMBER(D8),VLOOKUP($A8,List!$A$1:$B$29,2,FALSE)))</f>
        <v/>
      </c>
      <c r="Q8" s="13" t="str">
        <f>IF(IF(ISNUMBER(E8),VLOOKUP($A8,List!$A$1:$B$29,2,FALSE))=FALSE,"",IF(ISNUMBER(E8),VLOOKUP($A8,List!$A$1:$B$29,2,FALSE)))</f>
        <v/>
      </c>
      <c r="R8" s="13" t="str">
        <f>IF(IF(ISNUMBER(F8),VLOOKUP($A8,List!$A$1:$B$29,2,FALSE))=FALSE,"",IF(ISNUMBER(F8),VLOOKUP($A8,List!$A$1:$B$29,2,FALSE)))</f>
        <v/>
      </c>
      <c r="S8" s="13" t="str">
        <f>IF(IF(ISNUMBER(G8),VLOOKUP($A8,List!$A$1:$B$29,2,FALSE))=FALSE,"",IF(ISNUMBER(G8),VLOOKUP($A8,List!$A$1:$B$29,2,FALSE)))</f>
        <v/>
      </c>
      <c r="T8" s="13" t="str">
        <f>IF(IF(ISNUMBER(H8),VLOOKUP($A8,List!$A$1:$B$29,2,FALSE))=FALSE,"",IF(ISNUMBER(H8),VLOOKUP($A8,List!$A$1:$B$29,2,FALSE)))</f>
        <v/>
      </c>
      <c r="U8" s="13" t="str">
        <f>IF(IF(ISNUMBER(I8),VLOOKUP($A8,List!$A$1:$B$29,2,FALSE))=FALSE,"",IF(ISNUMBER(I8),VLOOKUP($A8,List!$A$1:$B$29,2,FALSE)))</f>
        <v/>
      </c>
      <c r="V8" s="13" t="str">
        <f>IF(IF(ISNUMBER(J8),VLOOKUP($A8,List!$A$1:$B$29,2,FALSE))=FALSE,"",IF(ISNUMBER(J8),VLOOKUP($A8,List!$A$1:$B$29,2,FALSE)))</f>
        <v/>
      </c>
      <c r="W8" s="13" t="str">
        <f>IF(IF(ISNUMBER(K8),VLOOKUP($A8,List!$A$1:$B$29,2,FALSE))=FALSE,"",IF(ISNUMBER(K8),VLOOKUP($A8,List!$A$1:$B$29,2,FALSE)))</f>
        <v/>
      </c>
    </row>
    <row r="9" spans="1:23" ht="15" thickBot="1" x14ac:dyDescent="0.35">
      <c r="A9" s="21">
        <v>5</v>
      </c>
      <c r="B9" s="6" t="s">
        <v>79</v>
      </c>
      <c r="C9" s="6" t="s">
        <v>79</v>
      </c>
      <c r="D9" s="6" t="s">
        <v>79</v>
      </c>
      <c r="E9" s="6" t="s">
        <v>79</v>
      </c>
      <c r="F9" s="6" t="s">
        <v>79</v>
      </c>
      <c r="G9" s="7" t="s">
        <v>79</v>
      </c>
      <c r="H9" s="7" t="s">
        <v>79</v>
      </c>
      <c r="I9" s="7" t="s">
        <v>79</v>
      </c>
      <c r="J9" s="7" t="s">
        <v>79</v>
      </c>
      <c r="K9" s="7"/>
      <c r="L9" s="7"/>
      <c r="M9" s="7"/>
      <c r="N9" s="13" t="str">
        <f>IF(IF(ISNUMBER(B9),VLOOKUP($A9,List!$A$1:$B$29,2,FALSE))=FALSE,"",IF(ISNUMBER(B9),VLOOKUP($A9,List!$A$1:$B$29,2,FALSE)))</f>
        <v/>
      </c>
      <c r="O9" s="13" t="str">
        <f>IF(IF(ISNUMBER(C9),VLOOKUP($A9,List!$A$1:$B$29,2,FALSE))=FALSE,"",IF(ISNUMBER(C9),VLOOKUP($A9,List!$A$1:$B$29,2,FALSE)))</f>
        <v/>
      </c>
      <c r="P9" s="13" t="str">
        <f>IF(IF(ISNUMBER(D9),VLOOKUP($A9,List!$A$1:$B$29,2,FALSE))=FALSE,"",IF(ISNUMBER(D9),VLOOKUP($A9,List!$A$1:$B$29,2,FALSE)))</f>
        <v/>
      </c>
      <c r="Q9" s="13" t="str">
        <f>IF(IF(ISNUMBER(E9),VLOOKUP($A9,List!$A$1:$B$29,2,FALSE))=FALSE,"",IF(ISNUMBER(E9),VLOOKUP($A9,List!$A$1:$B$29,2,FALSE)))</f>
        <v/>
      </c>
      <c r="R9" s="13" t="str">
        <f>IF(IF(ISNUMBER(F9),VLOOKUP($A9,List!$A$1:$B$29,2,FALSE))=FALSE,"",IF(ISNUMBER(F9),VLOOKUP($A9,List!$A$1:$B$29,2,FALSE)))</f>
        <v/>
      </c>
      <c r="S9" s="13" t="str">
        <f>IF(IF(ISNUMBER(G9),VLOOKUP($A9,List!$A$1:$B$29,2,FALSE))=FALSE,"",IF(ISNUMBER(G9),VLOOKUP($A9,List!$A$1:$B$29,2,FALSE)))</f>
        <v/>
      </c>
      <c r="T9" s="13" t="str">
        <f>IF(IF(ISNUMBER(H9),VLOOKUP($A9,List!$A$1:$B$29,2,FALSE))=FALSE,"",IF(ISNUMBER(H9),VLOOKUP($A9,List!$A$1:$B$29,2,FALSE)))</f>
        <v/>
      </c>
      <c r="U9" s="13" t="str">
        <f>IF(IF(ISNUMBER(I9),VLOOKUP($A9,List!$A$1:$B$29,2,FALSE))=FALSE,"",IF(ISNUMBER(I9),VLOOKUP($A9,List!$A$1:$B$29,2,FALSE)))</f>
        <v/>
      </c>
      <c r="V9" s="13" t="str">
        <f>IF(IF(ISNUMBER(J9),VLOOKUP($A9,List!$A$1:$B$29,2,FALSE))=FALSE,"",IF(ISNUMBER(J9),VLOOKUP($A9,List!$A$1:$B$29,2,FALSE)))</f>
        <v/>
      </c>
      <c r="W9" s="13" t="str">
        <f>IF(IF(ISNUMBER(K9),VLOOKUP($A9,List!$A$1:$B$29,2,FALSE))=FALSE,"",IF(ISNUMBER(K9),VLOOKUP($A9,List!$A$1:$B$29,2,FALSE)))</f>
        <v/>
      </c>
    </row>
    <row r="10" spans="1:23" ht="15" thickBot="1" x14ac:dyDescent="0.35">
      <c r="A10" s="4">
        <v>7</v>
      </c>
      <c r="B10" s="6" t="s">
        <v>79</v>
      </c>
      <c r="C10" s="6">
        <v>0.56999999999999995</v>
      </c>
      <c r="D10" s="6" t="s">
        <v>79</v>
      </c>
      <c r="E10" s="6" t="s">
        <v>79</v>
      </c>
      <c r="F10" s="6" t="s">
        <v>79</v>
      </c>
      <c r="G10" s="7" t="s">
        <v>79</v>
      </c>
      <c r="H10" s="7" t="s">
        <v>79</v>
      </c>
      <c r="I10" s="7" t="s">
        <v>79</v>
      </c>
      <c r="J10" s="7" t="s">
        <v>79</v>
      </c>
      <c r="K10" s="7"/>
      <c r="L10" s="7"/>
      <c r="M10" s="7"/>
      <c r="N10" s="13" t="str">
        <f>IF(IF(ISNUMBER(B10),VLOOKUP($A10,List!$A$1:$B$29,2,FALSE))=FALSE,"",IF(ISNUMBER(B10),VLOOKUP($A10,List!$A$1:$B$29,2,FALSE)))</f>
        <v/>
      </c>
      <c r="O10" s="13" t="str">
        <f>IF(IF(ISNUMBER(C10),VLOOKUP($A10,List!$A$1:$B$29,2,FALSE))=FALSE,"",IF(ISNUMBER(C10),VLOOKUP($A10,List!$A$1:$B$29,2,FALSE)))</f>
        <v>Owning a boat gives me a sense of achievement</v>
      </c>
      <c r="P10" s="13" t="str">
        <f>IF(IF(ISNUMBER(D10),VLOOKUP($A10,List!$A$1:$B$29,2,FALSE))=FALSE,"",IF(ISNUMBER(D10),VLOOKUP($A10,List!$A$1:$B$29,2,FALSE)))</f>
        <v/>
      </c>
      <c r="Q10" s="13" t="str">
        <f>IF(IF(ISNUMBER(E10),VLOOKUP($A10,List!$A$1:$B$29,2,FALSE))=FALSE,"",IF(ISNUMBER(E10),VLOOKUP($A10,List!$A$1:$B$29,2,FALSE)))</f>
        <v/>
      </c>
      <c r="R10" s="13" t="str">
        <f>IF(IF(ISNUMBER(F10),VLOOKUP($A10,List!$A$1:$B$29,2,FALSE))=FALSE,"",IF(ISNUMBER(F10),VLOOKUP($A10,List!$A$1:$B$29,2,FALSE)))</f>
        <v/>
      </c>
      <c r="S10" s="13" t="str">
        <f>IF(IF(ISNUMBER(G10),VLOOKUP($A10,List!$A$1:$B$29,2,FALSE))=FALSE,"",IF(ISNUMBER(G10),VLOOKUP($A10,List!$A$1:$B$29,2,FALSE)))</f>
        <v/>
      </c>
      <c r="T10" s="13" t="str">
        <f>IF(IF(ISNUMBER(H10),VLOOKUP($A10,List!$A$1:$B$29,2,FALSE))=FALSE,"",IF(ISNUMBER(H10),VLOOKUP($A10,List!$A$1:$B$29,2,FALSE)))</f>
        <v/>
      </c>
      <c r="U10" s="13" t="str">
        <f>IF(IF(ISNUMBER(I10),VLOOKUP($A10,List!$A$1:$B$29,2,FALSE))=FALSE,"",IF(ISNUMBER(I10),VLOOKUP($A10,List!$A$1:$B$29,2,FALSE)))</f>
        <v/>
      </c>
      <c r="V10" s="13" t="str">
        <f>IF(IF(ISNUMBER(J10),VLOOKUP($A10,List!$A$1:$B$29,2,FALSE))=FALSE,"",IF(ISNUMBER(J10),VLOOKUP($A10,List!$A$1:$B$29,2,FALSE)))</f>
        <v/>
      </c>
      <c r="W10" s="13" t="str">
        <f>IF(IF(ISNUMBER(K10),VLOOKUP($A10,List!$A$1:$B$29,2,FALSE))=FALSE,"",IF(ISNUMBER(K10),VLOOKUP($A10,List!$A$1:$B$29,2,FALSE)))</f>
        <v/>
      </c>
    </row>
    <row r="11" spans="1:23" ht="15" thickBot="1" x14ac:dyDescent="0.35">
      <c r="A11" s="4">
        <v>2</v>
      </c>
      <c r="B11" s="6" t="s">
        <v>79</v>
      </c>
      <c r="C11" s="6" t="s">
        <v>79</v>
      </c>
      <c r="D11" s="6" t="s">
        <v>79</v>
      </c>
      <c r="E11" s="5">
        <v>0.61</v>
      </c>
      <c r="F11" s="6" t="s">
        <v>79</v>
      </c>
      <c r="G11" s="7" t="s">
        <v>79</v>
      </c>
      <c r="H11" s="7" t="s">
        <v>79</v>
      </c>
      <c r="I11" s="7">
        <v>-0.6</v>
      </c>
      <c r="J11" s="7" t="s">
        <v>79</v>
      </c>
      <c r="K11" s="7"/>
      <c r="L11" s="7"/>
      <c r="M11" s="7"/>
      <c r="N11" s="13" t="str">
        <f>IF(IF(ISNUMBER(B11),VLOOKUP($A11,List!$A$1:$B$29,2,FALSE))=FALSE,"",IF(ISNUMBER(B11),VLOOKUP($A11,List!$A$1:$B$29,2,FALSE)))</f>
        <v/>
      </c>
      <c r="O11" s="13" t="str">
        <f>IF(IF(ISNUMBER(C11),VLOOKUP($A11,List!$A$1:$B$29,2,FALSE))=FALSE,"",IF(ISNUMBER(C11),VLOOKUP($A11,List!$A$1:$B$29,2,FALSE)))</f>
        <v/>
      </c>
      <c r="P11" s="13" t="str">
        <f>IF(IF(ISNUMBER(D11),VLOOKUP($A11,List!$A$1:$B$29,2,FALSE))=FALSE,"",IF(ISNUMBER(D11),VLOOKUP($A11,List!$A$1:$B$29,2,FALSE)))</f>
        <v/>
      </c>
      <c r="Q11" s="13" t="str">
        <f>IF(IF(ISNUMBER(E11),VLOOKUP($A11,List!$A$1:$B$29,2,FALSE))=FALSE,"",IF(ISNUMBER(E11),VLOOKUP($A11,List!$A$1:$B$29,2,FALSE)))</f>
        <v>When buying a bot, getting the lowest P is more important than brand</v>
      </c>
      <c r="R11" s="13" t="str">
        <f>IF(IF(ISNUMBER(F11),VLOOKUP($A11,List!$A$1:$B$29,2,FALSE))=FALSE,"",IF(ISNUMBER(F11),VLOOKUP($A11,List!$A$1:$B$29,2,FALSE)))</f>
        <v/>
      </c>
      <c r="S11" s="13" t="str">
        <f>IF(IF(ISNUMBER(G11),VLOOKUP($A11,List!$A$1:$B$29,2,FALSE))=FALSE,"",IF(ISNUMBER(G11),VLOOKUP($A11,List!$A$1:$B$29,2,FALSE)))</f>
        <v/>
      </c>
      <c r="T11" s="13" t="str">
        <f>IF(IF(ISNUMBER(H11),VLOOKUP($A11,List!$A$1:$B$29,2,FALSE))=FALSE,"",IF(ISNUMBER(H11),VLOOKUP($A11,List!$A$1:$B$29,2,FALSE)))</f>
        <v/>
      </c>
      <c r="U11" s="13" t="str">
        <f>IF(IF(ISNUMBER(I11),VLOOKUP($A11,List!$A$1:$B$29,2,FALSE))=FALSE,"",IF(ISNUMBER(I11),VLOOKUP($A11,List!$A$1:$B$29,2,FALSE)))</f>
        <v>When buying a bot, getting the lowest P is more important than brand</v>
      </c>
      <c r="V11" s="13" t="str">
        <f>IF(IF(ISNUMBER(J11),VLOOKUP($A11,List!$A$1:$B$29,2,FALSE))=FALSE,"",IF(ISNUMBER(J11),VLOOKUP($A11,List!$A$1:$B$29,2,FALSE)))</f>
        <v/>
      </c>
      <c r="W11" s="13" t="str">
        <f>IF(IF(ISNUMBER(K11),VLOOKUP($A11,List!$A$1:$B$29,2,FALSE))=FALSE,"",IF(ISNUMBER(K11),VLOOKUP($A11,List!$A$1:$B$29,2,FALSE)))</f>
        <v/>
      </c>
    </row>
    <row r="12" spans="1:23" ht="15" thickBot="1" x14ac:dyDescent="0.35">
      <c r="A12" s="4">
        <v>17</v>
      </c>
      <c r="B12" s="6" t="s">
        <v>79</v>
      </c>
      <c r="C12" s="6" t="s">
        <v>79</v>
      </c>
      <c r="D12" s="6" t="s">
        <v>79</v>
      </c>
      <c r="E12" s="5" t="s">
        <v>79</v>
      </c>
      <c r="F12" s="6" t="s">
        <v>79</v>
      </c>
      <c r="G12" s="7" t="s">
        <v>79</v>
      </c>
      <c r="H12" s="7" t="s">
        <v>79</v>
      </c>
      <c r="I12" s="7" t="s">
        <v>79</v>
      </c>
      <c r="J12" s="7" t="s">
        <v>79</v>
      </c>
      <c r="K12" s="7"/>
      <c r="L12" s="7"/>
      <c r="M12" s="7"/>
      <c r="N12" s="13" t="str">
        <f>IF(IF(ISNUMBER(B12),VLOOKUP($A12,List!$A$1:$B$29,2,FALSE))=FALSE,"",IF(ISNUMBER(B12),VLOOKUP($A12,List!$A$1:$B$29,2,FALSE)))</f>
        <v/>
      </c>
      <c r="O12" s="13" t="str">
        <f>IF(IF(ISNUMBER(C12),VLOOKUP($A12,List!$A$1:$B$29,2,FALSE))=FALSE,"",IF(ISNUMBER(C12),VLOOKUP($A12,List!$A$1:$B$29,2,FALSE)))</f>
        <v/>
      </c>
      <c r="P12" s="13" t="str">
        <f>IF(IF(ISNUMBER(D12),VLOOKUP($A12,List!$A$1:$B$29,2,FALSE))=FALSE,"",IF(ISNUMBER(D12),VLOOKUP($A12,List!$A$1:$B$29,2,FALSE)))</f>
        <v/>
      </c>
      <c r="Q12" s="13" t="str">
        <f>IF(IF(ISNUMBER(E12),VLOOKUP($A12,List!$A$1:$B$29,2,FALSE))=FALSE,"",IF(ISNUMBER(E12),VLOOKUP($A12,List!$A$1:$B$29,2,FALSE)))</f>
        <v/>
      </c>
      <c r="R12" s="13" t="str">
        <f>IF(IF(ISNUMBER(F12),VLOOKUP($A12,List!$A$1:$B$29,2,FALSE))=FALSE,"",IF(ISNUMBER(F12),VLOOKUP($A12,List!$A$1:$B$29,2,FALSE)))</f>
        <v/>
      </c>
      <c r="S12" s="13" t="str">
        <f>IF(IF(ISNUMBER(G12),VLOOKUP($A12,List!$A$1:$B$29,2,FALSE))=FALSE,"",IF(ISNUMBER(G12),VLOOKUP($A12,List!$A$1:$B$29,2,FALSE)))</f>
        <v/>
      </c>
      <c r="T12" s="13" t="str">
        <f>IF(IF(ISNUMBER(H12),VLOOKUP($A12,List!$A$1:$B$29,2,FALSE))=FALSE,"",IF(ISNUMBER(H12),VLOOKUP($A12,List!$A$1:$B$29,2,FALSE)))</f>
        <v/>
      </c>
      <c r="U12" s="13" t="str">
        <f>IF(IF(ISNUMBER(I12),VLOOKUP($A12,List!$A$1:$B$29,2,FALSE))=FALSE,"",IF(ISNUMBER(I12),VLOOKUP($A12,List!$A$1:$B$29,2,FALSE)))</f>
        <v/>
      </c>
      <c r="V12" s="13" t="str">
        <f>IF(IF(ISNUMBER(J12),VLOOKUP($A12,List!$A$1:$B$29,2,FALSE))=FALSE,"",IF(ISNUMBER(J12),VLOOKUP($A12,List!$A$1:$B$29,2,FALSE)))</f>
        <v/>
      </c>
      <c r="W12" s="13" t="str">
        <f>IF(IF(ISNUMBER(K12),VLOOKUP($A12,List!$A$1:$B$29,2,FALSE))=FALSE,"",IF(ISNUMBER(K12),VLOOKUP($A12,List!$A$1:$B$29,2,FALSE)))</f>
        <v/>
      </c>
    </row>
    <row r="13" spans="1:23" ht="15" thickBot="1" x14ac:dyDescent="0.35">
      <c r="A13" s="21">
        <v>25</v>
      </c>
      <c r="B13" s="6" t="s">
        <v>79</v>
      </c>
      <c r="C13" s="5" t="s">
        <v>79</v>
      </c>
      <c r="D13" s="6" t="s">
        <v>79</v>
      </c>
      <c r="E13" s="6" t="s">
        <v>79</v>
      </c>
      <c r="F13" s="6" t="s">
        <v>79</v>
      </c>
      <c r="G13" s="7" t="s">
        <v>79</v>
      </c>
      <c r="H13" s="7" t="s">
        <v>79</v>
      </c>
      <c r="I13" s="7" t="s">
        <v>79</v>
      </c>
      <c r="J13" s="7" t="s">
        <v>79</v>
      </c>
      <c r="K13" s="7"/>
      <c r="L13" s="7"/>
      <c r="M13" s="7"/>
      <c r="N13" s="13" t="str">
        <f>IF(IF(ISNUMBER(B13),VLOOKUP($A13,List!$A$1:$B$29,2,FALSE))=FALSE,"",IF(ISNUMBER(B13),VLOOKUP($A13,List!$A$1:$B$29,2,FALSE)))</f>
        <v/>
      </c>
      <c r="O13" s="13" t="str">
        <f>IF(IF(ISNUMBER(C13),VLOOKUP($A13,List!$A$1:$B$29,2,FALSE))=FALSE,"",IF(ISNUMBER(C13),VLOOKUP($A13,List!$A$1:$B$29,2,FALSE)))</f>
        <v/>
      </c>
      <c r="P13" s="13" t="str">
        <f>IF(IF(ISNUMBER(D13),VLOOKUP($A13,List!$A$1:$B$29,2,FALSE))=FALSE,"",IF(ISNUMBER(D13),VLOOKUP($A13,List!$A$1:$B$29,2,FALSE)))</f>
        <v/>
      </c>
      <c r="Q13" s="13" t="str">
        <f>IF(IF(ISNUMBER(E13),VLOOKUP($A13,List!$A$1:$B$29,2,FALSE))=FALSE,"",IF(ISNUMBER(E13),VLOOKUP($A13,List!$A$1:$B$29,2,FALSE)))</f>
        <v/>
      </c>
      <c r="R13" s="13" t="str">
        <f>IF(IF(ISNUMBER(F13),VLOOKUP($A13,List!$A$1:$B$29,2,FALSE))=FALSE,"",IF(ISNUMBER(F13),VLOOKUP($A13,List!$A$1:$B$29,2,FALSE)))</f>
        <v/>
      </c>
      <c r="S13" s="13" t="str">
        <f>IF(IF(ISNUMBER(G13),VLOOKUP($A13,List!$A$1:$B$29,2,FALSE))=FALSE,"",IF(ISNUMBER(G13),VLOOKUP($A13,List!$A$1:$B$29,2,FALSE)))</f>
        <v/>
      </c>
      <c r="T13" s="13" t="str">
        <f>IF(IF(ISNUMBER(H13),VLOOKUP($A13,List!$A$1:$B$29,2,FALSE))=FALSE,"",IF(ISNUMBER(H13),VLOOKUP($A13,List!$A$1:$B$29,2,FALSE)))</f>
        <v/>
      </c>
      <c r="U13" s="13" t="str">
        <f>IF(IF(ISNUMBER(I13),VLOOKUP($A13,List!$A$1:$B$29,2,FALSE))=FALSE,"",IF(ISNUMBER(I13),VLOOKUP($A13,List!$A$1:$B$29,2,FALSE)))</f>
        <v/>
      </c>
      <c r="V13" s="13" t="str">
        <f>IF(IF(ISNUMBER(J13),VLOOKUP($A13,List!$A$1:$B$29,2,FALSE))=FALSE,"",IF(ISNUMBER(J13),VLOOKUP($A13,List!$A$1:$B$29,2,FALSE)))</f>
        <v/>
      </c>
      <c r="W13" s="13" t="str">
        <f>IF(IF(ISNUMBER(K13),VLOOKUP($A13,List!$A$1:$B$29,2,FALSE))=FALSE,"",IF(ISNUMBER(K13),VLOOKUP($A13,List!$A$1:$B$29,2,FALSE)))</f>
        <v/>
      </c>
    </row>
    <row r="14" spans="1:23" ht="15" thickBot="1" x14ac:dyDescent="0.35">
      <c r="A14" s="4">
        <v>10</v>
      </c>
      <c r="B14" s="6" t="s">
        <v>79</v>
      </c>
      <c r="C14" s="5" t="s">
        <v>79</v>
      </c>
      <c r="D14" s="6" t="s">
        <v>79</v>
      </c>
      <c r="E14" s="6">
        <v>0.65</v>
      </c>
      <c r="F14" s="6" t="s">
        <v>79</v>
      </c>
      <c r="G14" s="7" t="s">
        <v>79</v>
      </c>
      <c r="H14" s="7" t="s">
        <v>79</v>
      </c>
      <c r="I14" s="7" t="s">
        <v>79</v>
      </c>
      <c r="J14" s="7" t="s">
        <v>79</v>
      </c>
      <c r="K14" s="7"/>
      <c r="L14" s="7"/>
      <c r="M14" s="7"/>
      <c r="N14" s="13" t="str">
        <f>IF(IF(ISNUMBER(B14),VLOOKUP($A14,List!$A$1:$B$29,2,FALSE))=FALSE,"",IF(ISNUMBER(B14),VLOOKUP($A14,List!$A$1:$B$29,2,FALSE)))</f>
        <v/>
      </c>
      <c r="O14" s="13" t="str">
        <f>IF(IF(ISNUMBER(C14),VLOOKUP($A14,List!$A$1:$B$29,2,FALSE))=FALSE,"",IF(ISNUMBER(C14),VLOOKUP($A14,List!$A$1:$B$29,2,FALSE)))</f>
        <v/>
      </c>
      <c r="P14" s="13" t="str">
        <f>IF(IF(ISNUMBER(D14),VLOOKUP($A14,List!$A$1:$B$29,2,FALSE))=FALSE,"",IF(ISNUMBER(D14),VLOOKUP($A14,List!$A$1:$B$29,2,FALSE)))</f>
        <v/>
      </c>
      <c r="Q14" s="13" t="str">
        <f>IF(IF(ISNUMBER(E14),VLOOKUP($A14,List!$A$1:$B$29,2,FALSE))=FALSE,"",IF(ISNUMBER(E14),VLOOKUP($A14,List!$A$1:$B$29,2,FALSE)))</f>
        <v>When buying a boat, I rely more on expert opinion than my own</v>
      </c>
      <c r="R14" s="13" t="str">
        <f>IF(IF(ISNUMBER(F14),VLOOKUP($A14,List!$A$1:$B$29,2,FALSE))=FALSE,"",IF(ISNUMBER(F14),VLOOKUP($A14,List!$A$1:$B$29,2,FALSE)))</f>
        <v/>
      </c>
      <c r="S14" s="13" t="str">
        <f>IF(IF(ISNUMBER(G14),VLOOKUP($A14,List!$A$1:$B$29,2,FALSE))=FALSE,"",IF(ISNUMBER(G14),VLOOKUP($A14,List!$A$1:$B$29,2,FALSE)))</f>
        <v/>
      </c>
      <c r="T14" s="13" t="str">
        <f>IF(IF(ISNUMBER(H14),VLOOKUP($A14,List!$A$1:$B$29,2,FALSE))=FALSE,"",IF(ISNUMBER(H14),VLOOKUP($A14,List!$A$1:$B$29,2,FALSE)))</f>
        <v/>
      </c>
      <c r="U14" s="13" t="str">
        <f>IF(IF(ISNUMBER(I14),VLOOKUP($A14,List!$A$1:$B$29,2,FALSE))=FALSE,"",IF(ISNUMBER(I14),VLOOKUP($A14,List!$A$1:$B$29,2,FALSE)))</f>
        <v/>
      </c>
      <c r="V14" s="13" t="str">
        <f>IF(IF(ISNUMBER(J14),VLOOKUP($A14,List!$A$1:$B$29,2,FALSE))=FALSE,"",IF(ISNUMBER(J14),VLOOKUP($A14,List!$A$1:$B$29,2,FALSE)))</f>
        <v/>
      </c>
      <c r="W14" s="13" t="str">
        <f>IF(IF(ISNUMBER(K14),VLOOKUP($A14,List!$A$1:$B$29,2,FALSE))=FALSE,"",IF(ISNUMBER(K14),VLOOKUP($A14,List!$A$1:$B$29,2,FALSE)))</f>
        <v/>
      </c>
    </row>
    <row r="15" spans="1:23" ht="15" thickBot="1" x14ac:dyDescent="0.35">
      <c r="A15" s="4">
        <v>29</v>
      </c>
      <c r="B15" s="6" t="s">
        <v>79</v>
      </c>
      <c r="C15" s="6" t="s">
        <v>79</v>
      </c>
      <c r="D15" s="6" t="s">
        <v>79</v>
      </c>
      <c r="E15" s="6" t="s">
        <v>79</v>
      </c>
      <c r="F15" s="6" t="s">
        <v>79</v>
      </c>
      <c r="G15" s="7" t="s">
        <v>79</v>
      </c>
      <c r="H15" s="7" t="s">
        <v>79</v>
      </c>
      <c r="I15" s="7" t="s">
        <v>79</v>
      </c>
      <c r="J15" s="7">
        <v>0.96</v>
      </c>
      <c r="K15" s="7"/>
      <c r="L15" s="7"/>
      <c r="M15" s="7"/>
      <c r="N15" s="13" t="str">
        <f>IF(IF(ISNUMBER(B15),VLOOKUP($A15,List!$A$1:$B$29,2,FALSE))=FALSE,"",IF(ISNUMBER(B15),VLOOKUP($A15,List!$A$1:$B$29,2,FALSE)))</f>
        <v/>
      </c>
      <c r="O15" s="13" t="str">
        <f>IF(IF(ISNUMBER(C15),VLOOKUP($A15,List!$A$1:$B$29,2,FALSE))=FALSE,"",IF(ISNUMBER(C15),VLOOKUP($A15,List!$A$1:$B$29,2,FALSE)))</f>
        <v/>
      </c>
      <c r="P15" s="13" t="str">
        <f>IF(IF(ISNUMBER(D15),VLOOKUP($A15,List!$A$1:$B$29,2,FALSE))=FALSE,"",IF(ISNUMBER(D15),VLOOKUP($A15,List!$A$1:$B$29,2,FALSE)))</f>
        <v/>
      </c>
      <c r="Q15" s="13" t="str">
        <f>IF(IF(ISNUMBER(E15),VLOOKUP($A15,List!$A$1:$B$29,2,FALSE))=FALSE,"",IF(ISNUMBER(E15),VLOOKUP($A15,List!$A$1:$B$29,2,FALSE)))</f>
        <v/>
      </c>
      <c r="R15" s="13" t="str">
        <f>IF(IF(ISNUMBER(F15),VLOOKUP($A15,List!$A$1:$B$29,2,FALSE))=FALSE,"",IF(ISNUMBER(F15),VLOOKUP($A15,List!$A$1:$B$29,2,FALSE)))</f>
        <v/>
      </c>
      <c r="S15" s="13" t="str">
        <f>IF(IF(ISNUMBER(G15),VLOOKUP($A15,List!$A$1:$B$29,2,FALSE))=FALSE,"",IF(ISNUMBER(G15),VLOOKUP($A15,List!$A$1:$B$29,2,FALSE)))</f>
        <v/>
      </c>
      <c r="T15" s="13" t="str">
        <f>IF(IF(ISNUMBER(H15),VLOOKUP($A15,List!$A$1:$B$29,2,FALSE))=FALSE,"",IF(ISNUMBER(H15),VLOOKUP($A15,List!$A$1:$B$29,2,FALSE)))</f>
        <v/>
      </c>
      <c r="U15" s="13" t="str">
        <f>IF(IF(ISNUMBER(I15),VLOOKUP($A15,List!$A$1:$B$29,2,FALSE))=FALSE,"",IF(ISNUMBER(I15),VLOOKUP($A15,List!$A$1:$B$29,2,FALSE)))</f>
        <v/>
      </c>
      <c r="V15" s="13" t="str">
        <f>IF(IF(ISNUMBER(J15),VLOOKUP($A15,List!$A$1:$B$29,2,FALSE))=FALSE,"",IF(ISNUMBER(J15),VLOOKUP($A15,List!$A$1:$B$29,2,FALSE)))</f>
        <v>Boating is one of many things I do in my spare time</v>
      </c>
      <c r="W15" s="13" t="str">
        <f>IF(IF(ISNUMBER(K15),VLOOKUP($A15,List!$A$1:$B$29,2,FALSE))=FALSE,"",IF(ISNUMBER(K15),VLOOKUP($A15,List!$A$1:$B$29,2,FALSE)))</f>
        <v/>
      </c>
    </row>
    <row r="16" spans="1:23" ht="15" thickBot="1" x14ac:dyDescent="0.35">
      <c r="A16" s="4">
        <v>16</v>
      </c>
      <c r="B16" s="6" t="s">
        <v>79</v>
      </c>
      <c r="C16" s="6" t="s">
        <v>79</v>
      </c>
      <c r="D16" s="6">
        <v>0.59</v>
      </c>
      <c r="E16" s="6" t="s">
        <v>79</v>
      </c>
      <c r="F16" s="6" t="s">
        <v>79</v>
      </c>
      <c r="G16" s="7" t="s">
        <v>79</v>
      </c>
      <c r="H16" s="7" t="s">
        <v>79</v>
      </c>
      <c r="I16" s="7" t="s">
        <v>79</v>
      </c>
      <c r="J16" s="7" t="s">
        <v>79</v>
      </c>
      <c r="K16" s="7"/>
      <c r="L16" s="7"/>
      <c r="M16" s="7"/>
      <c r="N16" s="13" t="str">
        <f>IF(IF(ISNUMBER(B16),VLOOKUP($A16,List!$A$1:$B$29,2,FALSE))=FALSE,"",IF(ISNUMBER(B16),VLOOKUP($A16,List!$A$1:$B$29,2,FALSE)))</f>
        <v/>
      </c>
      <c r="O16" s="13" t="str">
        <f>IF(IF(ISNUMBER(C16),VLOOKUP($A16,List!$A$1:$B$29,2,FALSE))=FALSE,"",IF(ISNUMBER(C16),VLOOKUP($A16,List!$A$1:$B$29,2,FALSE)))</f>
        <v/>
      </c>
      <c r="P16" s="13" t="str">
        <f>IF(IF(ISNUMBER(D16),VLOOKUP($A16,List!$A$1:$B$29,2,FALSE))=FALSE,"",IF(ISNUMBER(D16),VLOOKUP($A16,List!$A$1:$B$29,2,FALSE)))</f>
        <v>People tend to come to me for advice about boating</v>
      </c>
      <c r="Q16" s="13" t="str">
        <f>IF(IF(ISNUMBER(E16),VLOOKUP($A16,List!$A$1:$B$29,2,FALSE))=FALSE,"",IF(ISNUMBER(E16),VLOOKUP($A16,List!$A$1:$B$29,2,FALSE)))</f>
        <v/>
      </c>
      <c r="R16" s="13" t="str">
        <f>IF(IF(ISNUMBER(F16),VLOOKUP($A16,List!$A$1:$B$29,2,FALSE))=FALSE,"",IF(ISNUMBER(F16),VLOOKUP($A16,List!$A$1:$B$29,2,FALSE)))</f>
        <v/>
      </c>
      <c r="S16" s="13" t="str">
        <f>IF(IF(ISNUMBER(G16),VLOOKUP($A16,List!$A$1:$B$29,2,FALSE))=FALSE,"",IF(ISNUMBER(G16),VLOOKUP($A16,List!$A$1:$B$29,2,FALSE)))</f>
        <v/>
      </c>
      <c r="T16" s="13" t="str">
        <f>IF(IF(ISNUMBER(H16),VLOOKUP($A16,List!$A$1:$B$29,2,FALSE))=FALSE,"",IF(ISNUMBER(H16),VLOOKUP($A16,List!$A$1:$B$29,2,FALSE)))</f>
        <v/>
      </c>
      <c r="U16" s="13" t="str">
        <f>IF(IF(ISNUMBER(I16),VLOOKUP($A16,List!$A$1:$B$29,2,FALSE))=FALSE,"",IF(ISNUMBER(I16),VLOOKUP($A16,List!$A$1:$B$29,2,FALSE)))</f>
        <v/>
      </c>
      <c r="V16" s="13" t="str">
        <f>IF(IF(ISNUMBER(J16),VLOOKUP($A16,List!$A$1:$B$29,2,FALSE))=FALSE,"",IF(ISNUMBER(J16),VLOOKUP($A16,List!$A$1:$B$29,2,FALSE)))</f>
        <v/>
      </c>
      <c r="W16" s="13" t="str">
        <f>IF(IF(ISNUMBER(K16),VLOOKUP($A16,List!$A$1:$B$29,2,FALSE))=FALSE,"",IF(ISNUMBER(K16),VLOOKUP($A16,List!$A$1:$B$29,2,FALSE)))</f>
        <v/>
      </c>
    </row>
    <row r="17" spans="1:23" ht="15" thickBot="1" x14ac:dyDescent="0.35">
      <c r="A17" s="4">
        <v>4</v>
      </c>
      <c r="B17" s="6" t="s">
        <v>79</v>
      </c>
      <c r="C17" s="5" t="s">
        <v>79</v>
      </c>
      <c r="D17" s="6" t="s">
        <v>79</v>
      </c>
      <c r="E17" s="6" t="s">
        <v>79</v>
      </c>
      <c r="F17" s="6" t="s">
        <v>79</v>
      </c>
      <c r="G17" s="7" t="s">
        <v>79</v>
      </c>
      <c r="H17" s="7" t="s">
        <v>79</v>
      </c>
      <c r="I17" s="7">
        <v>0.83</v>
      </c>
      <c r="J17" s="7" t="s">
        <v>79</v>
      </c>
      <c r="K17" s="7"/>
      <c r="L17" s="7"/>
      <c r="M17" s="7"/>
      <c r="N17" s="13" t="str">
        <f>IF(IF(ISNUMBER(B17),VLOOKUP($A17,List!$A$1:$B$29,2,FALSE))=FALSE,"",IF(ISNUMBER(B17),VLOOKUP($A17,List!$A$1:$B$29,2,FALSE)))</f>
        <v/>
      </c>
      <c r="O17" s="13" t="str">
        <f>IF(IF(ISNUMBER(C17),VLOOKUP($A17,List!$A$1:$B$29,2,FALSE))=FALSE,"",IF(ISNUMBER(C17),VLOOKUP($A17,List!$A$1:$B$29,2,FALSE)))</f>
        <v/>
      </c>
      <c r="P17" s="13" t="str">
        <f>IF(IF(ISNUMBER(D17),VLOOKUP($A17,List!$A$1:$B$29,2,FALSE))=FALSE,"",IF(ISNUMBER(D17),VLOOKUP($A17,List!$A$1:$B$29,2,FALSE)))</f>
        <v/>
      </c>
      <c r="Q17" s="13" t="str">
        <f>IF(IF(ISNUMBER(E17),VLOOKUP($A17,List!$A$1:$B$29,2,FALSE))=FALSE,"",IF(ISNUMBER(E17),VLOOKUP($A17,List!$A$1:$B$29,2,FALSE)))</f>
        <v/>
      </c>
      <c r="R17" s="13" t="str">
        <f>IF(IF(ISNUMBER(F17),VLOOKUP($A17,List!$A$1:$B$29,2,FALSE))=FALSE,"",IF(ISNUMBER(F17),VLOOKUP($A17,List!$A$1:$B$29,2,FALSE)))</f>
        <v/>
      </c>
      <c r="S17" s="13" t="str">
        <f>IF(IF(ISNUMBER(G17),VLOOKUP($A17,List!$A$1:$B$29,2,FALSE))=FALSE,"",IF(ISNUMBER(G17),VLOOKUP($A17,List!$A$1:$B$29,2,FALSE)))</f>
        <v/>
      </c>
      <c r="T17" s="13" t="str">
        <f>IF(IF(ISNUMBER(H17),VLOOKUP($A17,List!$A$1:$B$29,2,FALSE))=FALSE,"",IF(ISNUMBER(H17),VLOOKUP($A17,List!$A$1:$B$29,2,FALSE)))</f>
        <v/>
      </c>
      <c r="U17" s="13" t="str">
        <f>IF(IF(ISNUMBER(I17),VLOOKUP($A17,List!$A$1:$B$29,2,FALSE))=FALSE,"",IF(ISNUMBER(I17),VLOOKUP($A17,List!$A$1:$B$29,2,FALSE)))</f>
        <v>I only consider buying a boat from a reputable brand</v>
      </c>
      <c r="V17" s="13" t="str">
        <f>IF(IF(ISNUMBER(J17),VLOOKUP($A17,List!$A$1:$B$29,2,FALSE))=FALSE,"",IF(ISNUMBER(J17),VLOOKUP($A17,List!$A$1:$B$29,2,FALSE)))</f>
        <v/>
      </c>
      <c r="W17" s="13" t="str">
        <f>IF(IF(ISNUMBER(K17),VLOOKUP($A17,List!$A$1:$B$29,2,FALSE))=FALSE,"",IF(ISNUMBER(K17),VLOOKUP($A17,List!$A$1:$B$29,2,FALSE)))</f>
        <v/>
      </c>
    </row>
    <row r="18" spans="1:23" ht="15" thickBot="1" x14ac:dyDescent="0.35">
      <c r="A18" s="4">
        <v>6</v>
      </c>
      <c r="B18" s="6" t="s">
        <v>79</v>
      </c>
      <c r="C18" s="6">
        <v>0.66</v>
      </c>
      <c r="D18" s="6" t="s">
        <v>79</v>
      </c>
      <c r="E18" s="5" t="s">
        <v>79</v>
      </c>
      <c r="F18" s="6" t="s">
        <v>79</v>
      </c>
      <c r="G18" s="7" t="s">
        <v>79</v>
      </c>
      <c r="H18" s="7" t="s">
        <v>79</v>
      </c>
      <c r="I18" s="7" t="s">
        <v>79</v>
      </c>
      <c r="J18" s="7" t="s">
        <v>79</v>
      </c>
      <c r="K18" s="7"/>
      <c r="L18" s="7"/>
      <c r="M18" s="7"/>
      <c r="N18" s="13" t="str">
        <f>IF(IF(ISNUMBER(B18),VLOOKUP($A18,List!$A$1:$B$29,2,FALSE))=FALSE,"",IF(ISNUMBER(B18),VLOOKUP($A18,List!$A$1:$B$29,2,FALSE)))</f>
        <v/>
      </c>
      <c r="O18" s="13" t="str">
        <f>IF(IF(ISNUMBER(C18),VLOOKUP($A18,List!$A$1:$B$29,2,FALSE))=FALSE,"",IF(ISNUMBER(C18),VLOOKUP($A18,List!$A$1:$B$29,2,FALSE)))</f>
        <v>Owning a boat is a way of rewarding myself for hard work</v>
      </c>
      <c r="P18" s="13" t="str">
        <f>IF(IF(ISNUMBER(D18),VLOOKUP($A18,List!$A$1:$B$29,2,FALSE))=FALSE,"",IF(ISNUMBER(D18),VLOOKUP($A18,List!$A$1:$B$29,2,FALSE)))</f>
        <v/>
      </c>
      <c r="Q18" s="14" t="str">
        <f>IF(IF(ISNUMBER(E18),VLOOKUP($A18,List!$A$1:$B$29,2,FALSE))=FALSE,"",IF(ISNUMBER(E18),VLOOKUP($A18,List!$A$1:$B$29,2,FALSE)))</f>
        <v/>
      </c>
      <c r="R18" s="13" t="str">
        <f>IF(IF(ISNUMBER(F18),VLOOKUP($A18,List!$A$1:$B$29,2,FALSE))=FALSE,"",IF(ISNUMBER(F18),VLOOKUP($A18,List!$A$1:$B$29,2,FALSE)))</f>
        <v/>
      </c>
      <c r="S18" s="13" t="str">
        <f>IF(IF(ISNUMBER(G18),VLOOKUP($A18,List!$A$1:$B$29,2,FALSE))=FALSE,"",IF(ISNUMBER(G18),VLOOKUP($A18,List!$A$1:$B$29,2,FALSE)))</f>
        <v/>
      </c>
      <c r="T18" s="13" t="str">
        <f>IF(IF(ISNUMBER(H18),VLOOKUP($A18,List!$A$1:$B$29,2,FALSE))=FALSE,"",IF(ISNUMBER(H18),VLOOKUP($A18,List!$A$1:$B$29,2,FALSE)))</f>
        <v/>
      </c>
      <c r="U18" s="13" t="str">
        <f>IF(IF(ISNUMBER(I18),VLOOKUP($A18,List!$A$1:$B$29,2,FALSE))=FALSE,"",IF(ISNUMBER(I18),VLOOKUP($A18,List!$A$1:$B$29,2,FALSE)))</f>
        <v/>
      </c>
      <c r="V18" s="13" t="str">
        <f>IF(IF(ISNUMBER(J18),VLOOKUP($A18,List!$A$1:$B$29,2,FALSE))=FALSE,"",IF(ISNUMBER(J18),VLOOKUP($A18,List!$A$1:$B$29,2,FALSE)))</f>
        <v/>
      </c>
      <c r="W18" s="13" t="str">
        <f>IF(IF(ISNUMBER(K18),VLOOKUP($A18,List!$A$1:$B$29,2,FALSE))=FALSE,"",IF(ISNUMBER(K18),VLOOKUP($A18,List!$A$1:$B$29,2,FALSE)))</f>
        <v/>
      </c>
    </row>
    <row r="19" spans="1:23" ht="15" thickBot="1" x14ac:dyDescent="0.35">
      <c r="A19" s="4">
        <v>18</v>
      </c>
      <c r="B19" s="6" t="s">
        <v>79</v>
      </c>
      <c r="C19" s="6">
        <v>0.78</v>
      </c>
      <c r="D19" s="6" t="s">
        <v>79</v>
      </c>
      <c r="E19" s="5" t="s">
        <v>79</v>
      </c>
      <c r="F19" s="6" t="s">
        <v>79</v>
      </c>
      <c r="G19" s="7" t="s">
        <v>79</v>
      </c>
      <c r="H19" s="7" t="s">
        <v>79</v>
      </c>
      <c r="I19" s="7" t="s">
        <v>79</v>
      </c>
      <c r="J19" s="7" t="s">
        <v>79</v>
      </c>
      <c r="K19" s="7"/>
      <c r="L19" s="7"/>
      <c r="M19" s="7"/>
      <c r="N19" s="13" t="str">
        <f>IF(IF(ISNUMBER(B19),VLOOKUP($A19,List!$A$1:$B$29,2,FALSE))=FALSE,"",IF(ISNUMBER(B19),VLOOKUP($A19,List!$A$1:$B$29,2,FALSE)))</f>
        <v/>
      </c>
      <c r="O19" s="13" t="str">
        <f>IF(IF(ISNUMBER(C19),VLOOKUP($A19,List!$A$1:$B$29,2,FALSE))=FALSE,"",IF(ISNUMBER(C19),VLOOKUP($A19,List!$A$1:$B$29,2,FALSE)))</f>
        <v>Boating gives me a feeling of adventure</v>
      </c>
      <c r="P19" s="13" t="str">
        <f>IF(IF(ISNUMBER(D19),VLOOKUP($A19,List!$A$1:$B$29,2,FALSE))=FALSE,"",IF(ISNUMBER(D19),VLOOKUP($A19,List!$A$1:$B$29,2,FALSE)))</f>
        <v/>
      </c>
      <c r="Q19" s="14" t="str">
        <f>IF(IF(ISNUMBER(E19),VLOOKUP($A19,List!$A$1:$B$29,2,FALSE))=FALSE,"",IF(ISNUMBER(E19),VLOOKUP($A19,List!$A$1:$B$29,2,FALSE)))</f>
        <v/>
      </c>
      <c r="R19" s="13" t="str">
        <f>IF(IF(ISNUMBER(F19),VLOOKUP($A19,List!$A$1:$B$29,2,FALSE))=FALSE,"",IF(ISNUMBER(F19),VLOOKUP($A19,List!$A$1:$B$29,2,FALSE)))</f>
        <v/>
      </c>
      <c r="S19" s="13" t="str">
        <f>IF(IF(ISNUMBER(G19),VLOOKUP($A19,List!$A$1:$B$29,2,FALSE))=FALSE,"",IF(ISNUMBER(G19),VLOOKUP($A19,List!$A$1:$B$29,2,FALSE)))</f>
        <v/>
      </c>
      <c r="T19" s="13" t="str">
        <f>IF(IF(ISNUMBER(H19),VLOOKUP($A19,List!$A$1:$B$29,2,FALSE))=FALSE,"",IF(ISNUMBER(H19),VLOOKUP($A19,List!$A$1:$B$29,2,FALSE)))</f>
        <v/>
      </c>
      <c r="U19" s="13" t="str">
        <f>IF(IF(ISNUMBER(I19),VLOOKUP($A19,List!$A$1:$B$29,2,FALSE))=FALSE,"",IF(ISNUMBER(I19),VLOOKUP($A19,List!$A$1:$B$29,2,FALSE)))</f>
        <v/>
      </c>
      <c r="V19" s="13" t="str">
        <f>IF(IF(ISNUMBER(J19),VLOOKUP($A19,List!$A$1:$B$29,2,FALSE))=FALSE,"",IF(ISNUMBER(J19),VLOOKUP($A19,List!$A$1:$B$29,2,FALSE)))</f>
        <v/>
      </c>
      <c r="W19" s="13" t="str">
        <f>IF(IF(ISNUMBER(K19),VLOOKUP($A19,List!$A$1:$B$29,2,FALSE))=FALSE,"",IF(ISNUMBER(K19),VLOOKUP($A19,List!$A$1:$B$29,2,FALSE)))</f>
        <v/>
      </c>
    </row>
    <row r="20" spans="1:23" ht="15" thickBot="1" x14ac:dyDescent="0.35">
      <c r="A20" s="4">
        <v>20</v>
      </c>
      <c r="B20" s="6" t="s">
        <v>79</v>
      </c>
      <c r="C20" s="6" t="s">
        <v>79</v>
      </c>
      <c r="D20" s="6">
        <v>0.65</v>
      </c>
      <c r="E20" s="6" t="s">
        <v>79</v>
      </c>
      <c r="F20" s="5" t="s">
        <v>79</v>
      </c>
      <c r="G20" s="7" t="s">
        <v>79</v>
      </c>
      <c r="H20" s="7" t="s">
        <v>79</v>
      </c>
      <c r="I20" s="7" t="s">
        <v>79</v>
      </c>
      <c r="J20" s="7" t="s">
        <v>79</v>
      </c>
      <c r="K20" s="7"/>
      <c r="L20" s="7"/>
      <c r="M20" s="7"/>
      <c r="N20" s="13" t="str">
        <f>IF(IF(ISNUMBER(B20),VLOOKUP($A20,List!$A$1:$B$29,2,FALSE))=FALSE,"",IF(ISNUMBER(B20),VLOOKUP($A20,List!$A$1:$B$29,2,FALSE)))</f>
        <v/>
      </c>
      <c r="O20" s="13" t="str">
        <f>IF(IF(ISNUMBER(C20),VLOOKUP($A20,List!$A$1:$B$29,2,FALSE))=FALSE,"",IF(ISNUMBER(C20),VLOOKUP($A20,List!$A$1:$B$29,2,FALSE)))</f>
        <v/>
      </c>
      <c r="P20" s="13" t="str">
        <f>IF(IF(ISNUMBER(D20),VLOOKUP($A20,List!$A$1:$B$29,2,FALSE))=FALSE,"",IF(ISNUMBER(D20),VLOOKUP($A20,List!$A$1:$B$29,2,FALSE)))</f>
        <v>When not on my boat, I often find myself doing boating related activities</v>
      </c>
      <c r="Q20" s="13" t="str">
        <f>IF(IF(ISNUMBER(E20),VLOOKUP($A20,List!$A$1:$B$29,2,FALSE))=FALSE,"",IF(ISNUMBER(E20),VLOOKUP($A20,List!$A$1:$B$29,2,FALSE)))</f>
        <v/>
      </c>
      <c r="R20" s="13" t="str">
        <f>IF(IF(ISNUMBER(F20),VLOOKUP($A20,List!$A$1:$B$29,2,FALSE))=FALSE,"",IF(ISNUMBER(F20),VLOOKUP($A20,List!$A$1:$B$29,2,FALSE)))</f>
        <v/>
      </c>
      <c r="S20" s="13" t="str">
        <f>IF(IF(ISNUMBER(G20),VLOOKUP($A20,List!$A$1:$B$29,2,FALSE))=FALSE,"",IF(ISNUMBER(G20),VLOOKUP($A20,List!$A$1:$B$29,2,FALSE)))</f>
        <v/>
      </c>
      <c r="T20" s="13" t="str">
        <f>IF(IF(ISNUMBER(H20),VLOOKUP($A20,List!$A$1:$B$29,2,FALSE))=FALSE,"",IF(ISNUMBER(H20),VLOOKUP($A20,List!$A$1:$B$29,2,FALSE)))</f>
        <v/>
      </c>
      <c r="U20" s="13" t="str">
        <f>IF(IF(ISNUMBER(I20),VLOOKUP($A20,List!$A$1:$B$29,2,FALSE))=FALSE,"",IF(ISNUMBER(I20),VLOOKUP($A20,List!$A$1:$B$29,2,FALSE)))</f>
        <v/>
      </c>
      <c r="V20" s="13" t="str">
        <f>IF(IF(ISNUMBER(J20),VLOOKUP($A20,List!$A$1:$B$29,2,FALSE))=FALSE,"",IF(ISNUMBER(J20),VLOOKUP($A20,List!$A$1:$B$29,2,FALSE)))</f>
        <v/>
      </c>
      <c r="W20" s="13" t="str">
        <f>IF(IF(ISNUMBER(K20),VLOOKUP($A20,List!$A$1:$B$29,2,FALSE))=FALSE,"",IF(ISNUMBER(K20),VLOOKUP($A20,List!$A$1:$B$29,2,FALSE)))</f>
        <v/>
      </c>
    </row>
    <row r="21" spans="1:23" ht="15" thickBot="1" x14ac:dyDescent="0.35">
      <c r="A21" s="4">
        <v>23</v>
      </c>
      <c r="B21" s="6" t="s">
        <v>79</v>
      </c>
      <c r="C21" s="6" t="s">
        <v>79</v>
      </c>
      <c r="D21" s="6">
        <v>0.64</v>
      </c>
      <c r="E21" s="6" t="s">
        <v>79</v>
      </c>
      <c r="F21" s="6" t="s">
        <v>79</v>
      </c>
      <c r="G21" s="7" t="s">
        <v>79</v>
      </c>
      <c r="H21" s="7" t="s">
        <v>79</v>
      </c>
      <c r="I21" s="7" t="s">
        <v>79</v>
      </c>
      <c r="J21" s="7" t="s">
        <v>79</v>
      </c>
      <c r="K21" s="7"/>
      <c r="L21" s="7"/>
      <c r="M21" s="8"/>
      <c r="N21" s="13" t="str">
        <f>IF(IF(ISNUMBER(B21),VLOOKUP($A21,List!$A$1:$B$29,2,FALSE))=FALSE,"",IF(ISNUMBER(B21),VLOOKUP($A21,List!$A$1:$B$29,2,FALSE)))</f>
        <v/>
      </c>
      <c r="O21" s="13" t="str">
        <f>IF(IF(ISNUMBER(C21),VLOOKUP($A21,List!$A$1:$B$29,2,FALSE))=FALSE,"",IF(ISNUMBER(C21),VLOOKUP($A21,List!$A$1:$B$29,2,FALSE)))</f>
        <v/>
      </c>
      <c r="P21" s="13" t="str">
        <f>IF(IF(ISNUMBER(D21),VLOOKUP($A21,List!$A$1:$B$29,2,FALSE))=FALSE,"",IF(ISNUMBER(D21),VLOOKUP($A21,List!$A$1:$B$29,2,FALSE)))</f>
        <v>Boating allows me to excel in the sports that I am passionate about</v>
      </c>
      <c r="Q21" s="13" t="str">
        <f>IF(IF(ISNUMBER(E21),VLOOKUP($A21,List!$A$1:$B$29,2,FALSE))=FALSE,"",IF(ISNUMBER(E21),VLOOKUP($A21,List!$A$1:$B$29,2,FALSE)))</f>
        <v/>
      </c>
      <c r="R21" s="13" t="str">
        <f>IF(IF(ISNUMBER(F21),VLOOKUP($A21,List!$A$1:$B$29,2,FALSE))=FALSE,"",IF(ISNUMBER(F21),VLOOKUP($A21,List!$A$1:$B$29,2,FALSE)))</f>
        <v/>
      </c>
      <c r="S21" s="13" t="str">
        <f>IF(IF(ISNUMBER(G21),VLOOKUP($A21,List!$A$1:$B$29,2,FALSE))=FALSE,"",IF(ISNUMBER(G21),VLOOKUP($A21,List!$A$1:$B$29,2,FALSE)))</f>
        <v/>
      </c>
      <c r="T21" s="13" t="str">
        <f>IF(IF(ISNUMBER(H21),VLOOKUP($A21,List!$A$1:$B$29,2,FALSE))=FALSE,"",IF(ISNUMBER(H21),VLOOKUP($A21,List!$A$1:$B$29,2,FALSE)))</f>
        <v/>
      </c>
      <c r="U21" s="13" t="str">
        <f>IF(IF(ISNUMBER(I21),VLOOKUP($A21,List!$A$1:$B$29,2,FALSE))=FALSE,"",IF(ISNUMBER(I21),VLOOKUP($A21,List!$A$1:$B$29,2,FALSE)))</f>
        <v/>
      </c>
      <c r="V21" s="13" t="str">
        <f>IF(IF(ISNUMBER(J21),VLOOKUP($A21,List!$A$1:$B$29,2,FALSE))=FALSE,"",IF(ISNUMBER(J21),VLOOKUP($A21,List!$A$1:$B$29,2,FALSE)))</f>
        <v/>
      </c>
      <c r="W21" s="13" t="str">
        <f>IF(IF(ISNUMBER(K21),VLOOKUP($A21,List!$A$1:$B$29,2,FALSE))=FALSE,"",IF(ISNUMBER(K21),VLOOKUP($A21,List!$A$1:$B$29,2,FALSE)))</f>
        <v/>
      </c>
    </row>
    <row r="22" spans="1:23" ht="15" thickBot="1" x14ac:dyDescent="0.35">
      <c r="A22" s="4">
        <v>24</v>
      </c>
      <c r="B22" s="6" t="s">
        <v>79</v>
      </c>
      <c r="C22" s="6">
        <v>0.64</v>
      </c>
      <c r="D22" s="6" t="s">
        <v>79</v>
      </c>
      <c r="E22" s="6" t="s">
        <v>79</v>
      </c>
      <c r="F22" s="6" t="s">
        <v>79</v>
      </c>
      <c r="G22" s="8" t="s">
        <v>79</v>
      </c>
      <c r="H22" s="7" t="s">
        <v>79</v>
      </c>
      <c r="I22" s="7" t="s">
        <v>79</v>
      </c>
      <c r="J22" s="7" t="s">
        <v>79</v>
      </c>
      <c r="K22" s="7"/>
      <c r="L22" s="7"/>
      <c r="M22" s="7"/>
      <c r="N22" s="13" t="str">
        <f>IF(IF(ISNUMBER(B22),VLOOKUP($A22,List!$A$1:$B$29,2,FALSE))=FALSE,"",IF(ISNUMBER(B22),VLOOKUP($A22,List!$A$1:$B$29,2,FALSE)))</f>
        <v/>
      </c>
      <c r="O22" s="13" t="str">
        <f>IF(IF(ISNUMBER(C22),VLOOKUP($A22,List!$A$1:$B$29,2,FALSE))=FALSE,"",IF(ISNUMBER(C22),VLOOKUP($A22,List!$A$1:$B$29,2,FALSE)))</f>
        <v>Boating gives me an outlet to socialize with family/friends</v>
      </c>
      <c r="P22" s="13" t="str">
        <f>IF(IF(ISNUMBER(D22),VLOOKUP($A22,List!$A$1:$B$29,2,FALSE))=FALSE,"",IF(ISNUMBER(D22),VLOOKUP($A22,List!$A$1:$B$29,2,FALSE)))</f>
        <v/>
      </c>
      <c r="Q22" s="13" t="str">
        <f>IF(IF(ISNUMBER(E22),VLOOKUP($A22,List!$A$1:$B$29,2,FALSE))=FALSE,"",IF(ISNUMBER(E22),VLOOKUP($A22,List!$A$1:$B$29,2,FALSE)))</f>
        <v/>
      </c>
      <c r="R22" s="13" t="str">
        <f>IF(IF(ISNUMBER(F22),VLOOKUP($A22,List!$A$1:$B$29,2,FALSE))=FALSE,"",IF(ISNUMBER(F22),VLOOKUP($A22,List!$A$1:$B$29,2,FALSE)))</f>
        <v/>
      </c>
      <c r="S22" s="13" t="str">
        <f>IF(IF(ISNUMBER(G22),VLOOKUP($A22,List!$A$1:$B$29,2,FALSE))=FALSE,"",IF(ISNUMBER(G22),VLOOKUP($A22,List!$A$1:$B$29,2,FALSE)))</f>
        <v/>
      </c>
      <c r="T22" s="13" t="str">
        <f>IF(IF(ISNUMBER(H22),VLOOKUP($A22,List!$A$1:$B$29,2,FALSE))=FALSE,"",IF(ISNUMBER(H22),VLOOKUP($A22,List!$A$1:$B$29,2,FALSE)))</f>
        <v/>
      </c>
      <c r="U22" s="13" t="str">
        <f>IF(IF(ISNUMBER(I22),VLOOKUP($A22,List!$A$1:$B$29,2,FALSE))=FALSE,"",IF(ISNUMBER(I22),VLOOKUP($A22,List!$A$1:$B$29,2,FALSE)))</f>
        <v/>
      </c>
      <c r="V22" s="13" t="str">
        <f>IF(IF(ISNUMBER(J22),VLOOKUP($A22,List!$A$1:$B$29,2,FALSE))=FALSE,"",IF(ISNUMBER(J22),VLOOKUP($A22,List!$A$1:$B$29,2,FALSE)))</f>
        <v/>
      </c>
      <c r="W22" s="13" t="str">
        <f>IF(IF(ISNUMBER(K22),VLOOKUP($A22,List!$A$1:$B$29,2,FALSE))=FALSE,"",IF(ISNUMBER(K22),VLOOKUP($A22,List!$A$1:$B$29,2,FALSE)))</f>
        <v/>
      </c>
    </row>
    <row r="23" spans="1:23" ht="15" thickBot="1" x14ac:dyDescent="0.35">
      <c r="A23" s="4">
        <v>27</v>
      </c>
      <c r="B23" s="6" t="s">
        <v>79</v>
      </c>
      <c r="C23" s="6" t="s">
        <v>79</v>
      </c>
      <c r="D23" s="5">
        <v>0.86</v>
      </c>
      <c r="E23" s="6" t="s">
        <v>79</v>
      </c>
      <c r="F23" s="6" t="s">
        <v>79</v>
      </c>
      <c r="G23" s="7" t="s">
        <v>79</v>
      </c>
      <c r="H23" s="7" t="s">
        <v>79</v>
      </c>
      <c r="I23" s="7" t="s">
        <v>79</v>
      </c>
      <c r="J23" s="7" t="s">
        <v>79</v>
      </c>
      <c r="K23" s="7"/>
      <c r="L23" s="7"/>
      <c r="M23" s="7"/>
      <c r="N23" s="13" t="str">
        <f>IF(IF(ISNUMBER(B23),VLOOKUP($A23,List!$A$1:$B$29,2,FALSE))=FALSE,"",IF(ISNUMBER(B23),VLOOKUP($A23,List!$A$1:$B$29,2,FALSE)))</f>
        <v/>
      </c>
      <c r="O23" s="13" t="str">
        <f>IF(IF(ISNUMBER(C23),VLOOKUP($A23,List!$A$1:$B$29,2,FALSE))=FALSE,"",IF(ISNUMBER(C23),VLOOKUP($A23,List!$A$1:$B$29,2,FALSE)))</f>
        <v/>
      </c>
      <c r="P23" s="13" t="str">
        <f>IF(IF(ISNUMBER(D23),VLOOKUP($A23,List!$A$1:$B$29,2,FALSE))=FALSE,"",IF(ISNUMBER(D23),VLOOKUP($A23,List!$A$1:$B$29,2,FALSE)))</f>
        <v>Boating is the number one thing I do with my spare time</v>
      </c>
      <c r="Q23" s="13" t="str">
        <f>IF(IF(ISNUMBER(E23),VLOOKUP($A23,List!$A$1:$B$29,2,FALSE))=FALSE,"",IF(ISNUMBER(E23),VLOOKUP($A23,List!$A$1:$B$29,2,FALSE)))</f>
        <v/>
      </c>
      <c r="R23" s="13" t="str">
        <f>IF(IF(ISNUMBER(F23),VLOOKUP($A23,List!$A$1:$B$29,2,FALSE))=FALSE,"",IF(ISNUMBER(F23),VLOOKUP($A23,List!$A$1:$B$29,2,FALSE)))</f>
        <v/>
      </c>
      <c r="S23" s="13" t="str">
        <f>IF(IF(ISNUMBER(G23),VLOOKUP($A23,List!$A$1:$B$29,2,FALSE))=FALSE,"",IF(ISNUMBER(G23),VLOOKUP($A23,List!$A$1:$B$29,2,FALSE)))</f>
        <v/>
      </c>
      <c r="T23" s="13" t="str">
        <f>IF(IF(ISNUMBER(H23),VLOOKUP($A23,List!$A$1:$B$29,2,FALSE))=FALSE,"",IF(ISNUMBER(H23),VLOOKUP($A23,List!$A$1:$B$29,2,FALSE)))</f>
        <v/>
      </c>
      <c r="U23" s="13" t="str">
        <f>IF(IF(ISNUMBER(I23),VLOOKUP($A23,List!$A$1:$B$29,2,FALSE))=FALSE,"",IF(ISNUMBER(I23),VLOOKUP($A23,List!$A$1:$B$29,2,FALSE)))</f>
        <v/>
      </c>
      <c r="V23" s="13" t="str">
        <f>IF(IF(ISNUMBER(J23),VLOOKUP($A23,List!$A$1:$B$29,2,FALSE))=FALSE,"",IF(ISNUMBER(J23),VLOOKUP($A23,List!$A$1:$B$29,2,FALSE)))</f>
        <v/>
      </c>
      <c r="W23" s="13" t="str">
        <f>IF(IF(ISNUMBER(K23),VLOOKUP($A23,List!$A$1:$B$29,2,FALSE))=FALSE,"",IF(ISNUMBER(K23),VLOOKUP($A23,List!$A$1:$B$29,2,FALSE)))</f>
        <v/>
      </c>
    </row>
    <row r="24" spans="1:23" ht="15" thickBot="1" x14ac:dyDescent="0.35">
      <c r="A24" s="4">
        <v>28</v>
      </c>
      <c r="B24" s="6" t="s">
        <v>79</v>
      </c>
      <c r="C24" s="6" t="s">
        <v>79</v>
      </c>
      <c r="D24" s="5">
        <v>0.82</v>
      </c>
      <c r="E24" s="6" t="s">
        <v>79</v>
      </c>
      <c r="F24" s="6" t="s">
        <v>79</v>
      </c>
      <c r="G24" s="7" t="s">
        <v>79</v>
      </c>
      <c r="H24" s="7" t="s">
        <v>79</v>
      </c>
      <c r="I24" s="7" t="s">
        <v>79</v>
      </c>
      <c r="J24" s="7" t="s">
        <v>79</v>
      </c>
      <c r="K24" s="7"/>
      <c r="L24" s="7"/>
      <c r="M24" s="7"/>
      <c r="N24" s="13" t="str">
        <f>IF(IF(ISNUMBER(B24),VLOOKUP($A24,List!$A$1:$B$29,2,FALSE))=FALSE,"",IF(ISNUMBER(B24),VLOOKUP($A24,List!$A$1:$B$29,2,FALSE)))</f>
        <v/>
      </c>
      <c r="O24" s="13" t="str">
        <f>IF(IF(ISNUMBER(C24),VLOOKUP($A24,List!$A$1:$B$29,2,FALSE))=FALSE,"",IF(ISNUMBER(C24),VLOOKUP($A24,List!$A$1:$B$29,2,FALSE)))</f>
        <v/>
      </c>
      <c r="P24" s="13" t="str">
        <f>IF(IF(ISNUMBER(D24),VLOOKUP($A24,List!$A$1:$B$29,2,FALSE))=FALSE,"",IF(ISNUMBER(D24),VLOOKUP($A24,List!$A$1:$B$29,2,FALSE)))</f>
        <v>Boating is my true passion in life</v>
      </c>
      <c r="Q24" s="13" t="str">
        <f>IF(IF(ISNUMBER(E24),VLOOKUP($A24,List!$A$1:$B$29,2,FALSE))=FALSE,"",IF(ISNUMBER(E24),VLOOKUP($A24,List!$A$1:$B$29,2,FALSE)))</f>
        <v/>
      </c>
      <c r="R24" s="13" t="str">
        <f>IF(IF(ISNUMBER(F24),VLOOKUP($A24,List!$A$1:$B$29,2,FALSE))=FALSE,"",IF(ISNUMBER(F24),VLOOKUP($A24,List!$A$1:$B$29,2,FALSE)))</f>
        <v/>
      </c>
      <c r="S24" s="13" t="str">
        <f>IF(IF(ISNUMBER(G24),VLOOKUP($A24,List!$A$1:$B$29,2,FALSE))=FALSE,"",IF(ISNUMBER(G24),VLOOKUP($A24,List!$A$1:$B$29,2,FALSE)))</f>
        <v/>
      </c>
      <c r="T24" s="13" t="str">
        <f>IF(IF(ISNUMBER(H24),VLOOKUP($A24,List!$A$1:$B$29,2,FALSE))=FALSE,"",IF(ISNUMBER(H24),VLOOKUP($A24,List!$A$1:$B$29,2,FALSE)))</f>
        <v/>
      </c>
      <c r="U24" s="13" t="str">
        <f>IF(IF(ISNUMBER(I24),VLOOKUP($A24,List!$A$1:$B$29,2,FALSE))=FALSE,"",IF(ISNUMBER(I24),VLOOKUP($A24,List!$A$1:$B$29,2,FALSE)))</f>
        <v/>
      </c>
      <c r="V24" s="13" t="str">
        <f>IF(IF(ISNUMBER(J24),VLOOKUP($A24,List!$A$1:$B$29,2,FALSE))=FALSE,"",IF(ISNUMBER(J24),VLOOKUP($A24,List!$A$1:$B$29,2,FALSE)))</f>
        <v/>
      </c>
      <c r="W24" s="13" t="str">
        <f>IF(IF(ISNUMBER(K24),VLOOKUP($A24,List!$A$1:$B$29,2,FALSE))=FALSE,"",IF(ISNUMBER(K24),VLOOKUP($A24,List!$A$1:$B$29,2,FALSE)))</f>
        <v/>
      </c>
    </row>
    <row r="25" spans="1:23" ht="15" thickBot="1" x14ac:dyDescent="0.35">
      <c r="A25" s="4">
        <v>8</v>
      </c>
      <c r="B25" s="6" t="s">
        <v>79</v>
      </c>
      <c r="C25" s="6" t="s">
        <v>79</v>
      </c>
      <c r="D25" s="6" t="s">
        <v>79</v>
      </c>
      <c r="E25" s="6" t="s">
        <v>79</v>
      </c>
      <c r="F25" s="6">
        <v>1.0900000000000001</v>
      </c>
      <c r="G25" s="7" t="s">
        <v>79</v>
      </c>
      <c r="H25" s="7" t="s">
        <v>79</v>
      </c>
      <c r="I25" s="7" t="s">
        <v>79</v>
      </c>
      <c r="J25" s="7" t="s">
        <v>79</v>
      </c>
      <c r="K25" s="7"/>
      <c r="L25" s="8"/>
      <c r="M25" s="7"/>
      <c r="N25" s="13" t="str">
        <f>IF(IF(ISNUMBER(B25),VLOOKUP($A25,List!$A$1:$B$29,2,FALSE))=FALSE,"",IF(ISNUMBER(B25),VLOOKUP($A25,List!$A$1:$B$29,2,FALSE)))</f>
        <v/>
      </c>
      <c r="O25" s="13" t="str">
        <f>IF(IF(ISNUMBER(C25),VLOOKUP($A25,List!$A$1:$B$29,2,FALSE))=FALSE,"",IF(ISNUMBER(C25),VLOOKUP($A25,List!$A$1:$B$29,2,FALSE)))</f>
        <v/>
      </c>
      <c r="P25" s="13" t="str">
        <f>IF(IF(ISNUMBER(D25),VLOOKUP($A25,List!$A$1:$B$29,2,FALSE))=FALSE,"",IF(ISNUMBER(D25),VLOOKUP($A25,List!$A$1:$B$29,2,FALSE)))</f>
        <v/>
      </c>
      <c r="Q25" s="13" t="str">
        <f>IF(IF(ISNUMBER(E25),VLOOKUP($A25,List!$A$1:$B$29,2,FALSE))=FALSE,"",IF(ISNUMBER(E25),VLOOKUP($A25,List!$A$1:$B$29,2,FALSE)))</f>
        <v/>
      </c>
      <c r="R25" s="13" t="str">
        <f>IF(IF(ISNUMBER(F25),VLOOKUP($A25,List!$A$1:$B$29,2,FALSE))=FALSE,"",IF(ISNUMBER(F25),VLOOKUP($A25,List!$A$1:$B$29,2,FALSE)))</f>
        <v>When buying a boat, functionality is more important than style</v>
      </c>
      <c r="S25" s="13" t="str">
        <f>IF(IF(ISNUMBER(G25),VLOOKUP($A25,List!$A$1:$B$29,2,FALSE))=FALSE,"",IF(ISNUMBER(G25),VLOOKUP($A25,List!$A$1:$B$29,2,FALSE)))</f>
        <v/>
      </c>
      <c r="T25" s="13" t="str">
        <f>IF(IF(ISNUMBER(H25),VLOOKUP($A25,List!$A$1:$B$29,2,FALSE))=FALSE,"",IF(ISNUMBER(H25),VLOOKUP($A25,List!$A$1:$B$29,2,FALSE)))</f>
        <v/>
      </c>
      <c r="U25" s="13" t="str">
        <f>IF(IF(ISNUMBER(I25),VLOOKUP($A25,List!$A$1:$B$29,2,FALSE))=FALSE,"",IF(ISNUMBER(I25),VLOOKUP($A25,List!$A$1:$B$29,2,FALSE)))</f>
        <v/>
      </c>
      <c r="V25" s="13" t="str">
        <f>IF(IF(ISNUMBER(J25),VLOOKUP($A25,List!$A$1:$B$29,2,FALSE))=FALSE,"",IF(ISNUMBER(J25),VLOOKUP($A25,List!$A$1:$B$29,2,FALSE)))</f>
        <v/>
      </c>
      <c r="W25" s="13" t="str">
        <f>IF(IF(ISNUMBER(K25),VLOOKUP($A25,List!$A$1:$B$29,2,FALSE))=FALSE,"",IF(ISNUMBER(K25),VLOOKUP($A25,List!$A$1:$B$29,2,FALSE)))</f>
        <v/>
      </c>
    </row>
    <row r="26" spans="1:23" ht="15" thickBot="1" x14ac:dyDescent="0.35">
      <c r="A26" s="4">
        <v>19</v>
      </c>
      <c r="B26" s="6" t="s">
        <v>79</v>
      </c>
      <c r="C26" s="6">
        <v>0.72</v>
      </c>
      <c r="D26" s="6" t="s">
        <v>79</v>
      </c>
      <c r="E26" s="6" t="s">
        <v>79</v>
      </c>
      <c r="F26" s="6" t="s">
        <v>79</v>
      </c>
      <c r="G26" s="7" t="s">
        <v>79</v>
      </c>
      <c r="H26" s="7" t="s">
        <v>79</v>
      </c>
      <c r="I26" s="7" t="s">
        <v>79</v>
      </c>
      <c r="J26" s="7" t="s">
        <v>79</v>
      </c>
      <c r="K26" s="8"/>
      <c r="L26" s="7"/>
      <c r="M26" s="7"/>
      <c r="N26" s="13" t="str">
        <f>IF(IF(ISNUMBER(B26),VLOOKUP($A26,List!$A$1:$B$29,2,FALSE))=FALSE,"",IF(ISNUMBER(B26),VLOOKUP($A26,List!$A$1:$B$29,2,FALSE)))</f>
        <v/>
      </c>
      <c r="O26" s="13" t="str">
        <f>IF(IF(ISNUMBER(C26),VLOOKUP($A26,List!$A$1:$B$29,2,FALSE))=FALSE,"",IF(ISNUMBER(C26),VLOOKUP($A26,List!$A$1:$B$29,2,FALSE)))</f>
        <v>Boating allows me to experience nature</v>
      </c>
      <c r="P26" s="13" t="str">
        <f>IF(IF(ISNUMBER(D26),VLOOKUP($A26,List!$A$1:$B$29,2,FALSE))=FALSE,"",IF(ISNUMBER(D26),VLOOKUP($A26,List!$A$1:$B$29,2,FALSE)))</f>
        <v/>
      </c>
      <c r="Q26" s="13" t="str">
        <f>IF(IF(ISNUMBER(E26),VLOOKUP($A26,List!$A$1:$B$29,2,FALSE))=FALSE,"",IF(ISNUMBER(E26),VLOOKUP($A26,List!$A$1:$B$29,2,FALSE)))</f>
        <v/>
      </c>
      <c r="R26" s="13" t="str">
        <f>IF(IF(ISNUMBER(F26),VLOOKUP($A26,List!$A$1:$B$29,2,FALSE))=FALSE,"",IF(ISNUMBER(F26),VLOOKUP($A26,List!$A$1:$B$29,2,FALSE)))</f>
        <v/>
      </c>
      <c r="S26" s="13" t="str">
        <f>IF(IF(ISNUMBER(G26),VLOOKUP($A26,List!$A$1:$B$29,2,FALSE))=FALSE,"",IF(ISNUMBER(G26),VLOOKUP($A26,List!$A$1:$B$29,2,FALSE)))</f>
        <v/>
      </c>
      <c r="T26" s="13" t="str">
        <f>IF(IF(ISNUMBER(H26),VLOOKUP($A26,List!$A$1:$B$29,2,FALSE))=FALSE,"",IF(ISNUMBER(H26),VLOOKUP($A26,List!$A$1:$B$29,2,FALSE)))</f>
        <v/>
      </c>
      <c r="U26" s="13" t="str">
        <f>IF(IF(ISNUMBER(I26),VLOOKUP($A26,List!$A$1:$B$29,2,FALSE))=FALSE,"",IF(ISNUMBER(I26),VLOOKUP($A26,List!$A$1:$B$29,2,FALSE)))</f>
        <v/>
      </c>
      <c r="V26" s="13" t="str">
        <f>IF(IF(ISNUMBER(J26),VLOOKUP($A26,List!$A$1:$B$29,2,FALSE))=FALSE,"",IF(ISNUMBER(J26),VLOOKUP($A26,List!$A$1:$B$29,2,FALSE)))</f>
        <v/>
      </c>
      <c r="W26" s="13" t="str">
        <f>IF(IF(ISNUMBER(K26),VLOOKUP($A26,List!$A$1:$B$29,2,FALSE))=FALSE,"",IF(ISNUMBER(K26),VLOOKUP($A26,List!$A$1:$B$29,2,FALSE)))</f>
        <v/>
      </c>
    </row>
    <row r="27" spans="1:23" ht="15" thickBot="1" x14ac:dyDescent="0.35">
      <c r="A27" s="4">
        <v>11</v>
      </c>
      <c r="B27" s="6" t="s">
        <v>79</v>
      </c>
      <c r="C27" s="6" t="s">
        <v>79</v>
      </c>
      <c r="D27" s="6" t="s">
        <v>79</v>
      </c>
      <c r="E27" s="6" t="s">
        <v>79</v>
      </c>
      <c r="F27" s="6" t="s">
        <v>79</v>
      </c>
      <c r="G27" s="7" t="s">
        <v>79</v>
      </c>
      <c r="H27" s="8">
        <v>0.87</v>
      </c>
      <c r="I27" s="7" t="s">
        <v>79</v>
      </c>
      <c r="J27" s="7" t="s">
        <v>79</v>
      </c>
      <c r="K27" s="7"/>
      <c r="L27" s="7"/>
      <c r="M27" s="7"/>
      <c r="N27" s="13" t="str">
        <f>IF(IF(ISNUMBER(B27),VLOOKUP($A27,List!$A$1:$B$29,2,FALSE))=FALSE,"",IF(ISNUMBER(B27),VLOOKUP($A27,List!$A$1:$B$29,2,FALSE)))</f>
        <v/>
      </c>
      <c r="O27" s="13" t="str">
        <f>IF(IF(ISNUMBER(C27),VLOOKUP($A27,List!$A$1:$B$29,2,FALSE))=FALSE,"",IF(ISNUMBER(C27),VLOOKUP($A27,List!$A$1:$B$29,2,FALSE)))</f>
        <v/>
      </c>
      <c r="P27" s="13" t="str">
        <f>IF(IF(ISNUMBER(D27),VLOOKUP($A27,List!$A$1:$B$29,2,FALSE))=FALSE,"",IF(ISNUMBER(D27),VLOOKUP($A27,List!$A$1:$B$29,2,FALSE)))</f>
        <v/>
      </c>
      <c r="Q27" s="13" t="str">
        <f>IF(IF(ISNUMBER(E27),VLOOKUP($A27,List!$A$1:$B$29,2,FALSE))=FALSE,"",IF(ISNUMBER(E27),VLOOKUP($A27,List!$A$1:$B$29,2,FALSE)))</f>
        <v/>
      </c>
      <c r="R27" s="13" t="str">
        <f>IF(IF(ISNUMBER(F27),VLOOKUP($A27,List!$A$1:$B$29,2,FALSE))=FALSE,"",IF(ISNUMBER(F27),VLOOKUP($A27,List!$A$1:$B$29,2,FALSE)))</f>
        <v/>
      </c>
      <c r="S27" s="13" t="str">
        <f>IF(IF(ISNUMBER(G27),VLOOKUP($A27,List!$A$1:$B$29,2,FALSE))=FALSE,"",IF(ISNUMBER(G27),VLOOKUP($A27,List!$A$1:$B$29,2,FALSE)))</f>
        <v/>
      </c>
      <c r="T27" s="13" t="str">
        <f>IF(IF(ISNUMBER(H27),VLOOKUP($A27,List!$A$1:$B$29,2,FALSE))=FALSE,"",IF(ISNUMBER(H27),VLOOKUP($A27,List!$A$1:$B$29,2,FALSE)))</f>
        <v>I tend to perform minor boat repairs and maintenance on my own</v>
      </c>
      <c r="U27" s="13" t="str">
        <f>IF(IF(ISNUMBER(I27),VLOOKUP($A27,List!$A$1:$B$29,2,FALSE))=FALSE,"",IF(ISNUMBER(I27),VLOOKUP($A27,List!$A$1:$B$29,2,FALSE)))</f>
        <v/>
      </c>
      <c r="V27" s="13" t="str">
        <f>IF(IF(ISNUMBER(J27),VLOOKUP($A27,List!$A$1:$B$29,2,FALSE))=FALSE,"",IF(ISNUMBER(J27),VLOOKUP($A27,List!$A$1:$B$29,2,FALSE)))</f>
        <v/>
      </c>
      <c r="W27" s="13" t="str">
        <f>IF(IF(ISNUMBER(K27),VLOOKUP($A27,List!$A$1:$B$29,2,FALSE))=FALSE,"",IF(ISNUMBER(K27),VLOOKUP($A27,List!$A$1:$B$29,2,FALSE)))</f>
        <v/>
      </c>
    </row>
    <row r="28" spans="1:23" ht="15" thickBot="1" x14ac:dyDescent="0.35">
      <c r="A28" s="4">
        <v>22</v>
      </c>
      <c r="B28" s="6" t="s">
        <v>79</v>
      </c>
      <c r="C28" s="6">
        <v>0.56000000000000005</v>
      </c>
      <c r="D28" s="5" t="s">
        <v>79</v>
      </c>
      <c r="E28" s="6" t="s">
        <v>79</v>
      </c>
      <c r="F28" s="6" t="s">
        <v>79</v>
      </c>
      <c r="G28" s="7" t="s">
        <v>79</v>
      </c>
      <c r="H28" s="7" t="s">
        <v>79</v>
      </c>
      <c r="I28" s="7" t="s">
        <v>79</v>
      </c>
      <c r="J28" s="7" t="s">
        <v>79</v>
      </c>
      <c r="K28" s="7"/>
      <c r="L28" s="7"/>
      <c r="M28" s="7"/>
      <c r="N28" s="13" t="str">
        <f>IF(IF(ISNUMBER(B28),VLOOKUP($A28,List!$A$1:$B$29,2,FALSE))=FALSE,"",IF(ISNUMBER(B28),VLOOKUP($A28,List!$A$1:$B$29,2,FALSE)))</f>
        <v/>
      </c>
      <c r="O28" s="13" t="str">
        <f>IF(IF(ISNUMBER(C28),VLOOKUP($A28,List!$A$1:$B$29,2,FALSE))=FALSE,"",IF(ISNUMBER(C28),VLOOKUP($A28,List!$A$1:$B$29,2,FALSE)))</f>
        <v>Boating helps me stay active</v>
      </c>
      <c r="P28" s="13" t="str">
        <f>IF(IF(ISNUMBER(D28),VLOOKUP($A28,List!$A$1:$B$29,2,FALSE))=FALSE,"",IF(ISNUMBER(D28),VLOOKUP($A28,List!$A$1:$B$29,2,FALSE)))</f>
        <v/>
      </c>
      <c r="Q28" s="13" t="str">
        <f>IF(IF(ISNUMBER(E28),VLOOKUP($A28,List!$A$1:$B$29,2,FALSE))=FALSE,"",IF(ISNUMBER(E28),VLOOKUP($A28,List!$A$1:$B$29,2,FALSE)))</f>
        <v/>
      </c>
      <c r="R28" s="13" t="str">
        <f>IF(IF(ISNUMBER(F28),VLOOKUP($A28,List!$A$1:$B$29,2,FALSE))=FALSE,"",IF(ISNUMBER(F28),VLOOKUP($A28,List!$A$1:$B$29,2,FALSE)))</f>
        <v/>
      </c>
      <c r="S28" s="13" t="str">
        <f>IF(IF(ISNUMBER(G28),VLOOKUP($A28,List!$A$1:$B$29,2,FALSE))=FALSE,"",IF(ISNUMBER(G28),VLOOKUP($A28,List!$A$1:$B$29,2,FALSE)))</f>
        <v/>
      </c>
      <c r="T28" s="13" t="str">
        <f>IF(IF(ISNUMBER(H28),VLOOKUP($A28,List!$A$1:$B$29,2,FALSE))=FALSE,"",IF(ISNUMBER(H28),VLOOKUP($A28,List!$A$1:$B$29,2,FALSE)))</f>
        <v/>
      </c>
      <c r="U28" s="13" t="str">
        <f>IF(IF(ISNUMBER(I28),VLOOKUP($A28,List!$A$1:$B$29,2,FALSE))=FALSE,"",IF(ISNUMBER(I28),VLOOKUP($A28,List!$A$1:$B$29,2,FALSE)))</f>
        <v/>
      </c>
      <c r="V28" s="13" t="str">
        <f>IF(IF(ISNUMBER(J28),VLOOKUP($A28,List!$A$1:$B$29,2,FALSE))=FALSE,"",IF(ISNUMBER(J28),VLOOKUP($A28,List!$A$1:$B$29,2,FALSE)))</f>
        <v/>
      </c>
      <c r="W28" s="13" t="str">
        <f>IF(IF(ISNUMBER(K28),VLOOKUP($A28,List!$A$1:$B$29,2,FALSE))=FALSE,"",IF(ISNUMBER(K28),VLOOKUP($A28,List!$A$1:$B$29,2,FALSE)))</f>
        <v/>
      </c>
    </row>
    <row r="29" spans="1:23" ht="15" thickBot="1" x14ac:dyDescent="0.35">
      <c r="A29" s="4">
        <v>21</v>
      </c>
      <c r="B29" s="6" t="s">
        <v>79</v>
      </c>
      <c r="C29" s="6">
        <v>0.8</v>
      </c>
      <c r="D29" s="6" t="s">
        <v>79</v>
      </c>
      <c r="E29" s="6" t="s">
        <v>79</v>
      </c>
      <c r="F29" s="6" t="s">
        <v>79</v>
      </c>
      <c r="G29" s="7" t="s">
        <v>79</v>
      </c>
      <c r="H29" s="7" t="s">
        <v>79</v>
      </c>
      <c r="I29" s="7" t="s">
        <v>79</v>
      </c>
      <c r="J29" s="8" t="s">
        <v>79</v>
      </c>
      <c r="K29" s="7"/>
      <c r="L29" s="7"/>
      <c r="M29" s="7"/>
      <c r="N29" s="13" t="str">
        <f>IF(IF(ISNUMBER(B29),VLOOKUP($A29,List!$A$1:$B$29,2,FALSE))=FALSE,"",IF(ISNUMBER(B29),VLOOKUP($A29,List!$A$1:$B$29,2,FALSE)))</f>
        <v/>
      </c>
      <c r="O29" s="13" t="str">
        <f>IF(IF(ISNUMBER(C29),VLOOKUP($A29,List!$A$1:$B$29,2,FALSE))=FALSE,"",IF(ISNUMBER(C29),VLOOKUP($A29,List!$A$1:$B$29,2,FALSE)))</f>
        <v>Boating helps me escape from everyday life and relax</v>
      </c>
      <c r="P29" s="13" t="str">
        <f>IF(IF(ISNUMBER(D29),VLOOKUP($A29,List!$A$1:$B$29,2,FALSE))=FALSE,"",IF(ISNUMBER(D29),VLOOKUP($A29,List!$A$1:$B$29,2,FALSE)))</f>
        <v/>
      </c>
      <c r="Q29" s="13" t="str">
        <f>IF(IF(ISNUMBER(E29),VLOOKUP($A29,List!$A$1:$B$29,2,FALSE))=FALSE,"",IF(ISNUMBER(E29),VLOOKUP($A29,List!$A$1:$B$29,2,FALSE)))</f>
        <v/>
      </c>
      <c r="R29" s="13" t="str">
        <f>IF(IF(ISNUMBER(F29),VLOOKUP($A29,List!$A$1:$B$29,2,FALSE))=FALSE,"",IF(ISNUMBER(F29),VLOOKUP($A29,List!$A$1:$B$29,2,FALSE)))</f>
        <v/>
      </c>
      <c r="S29" s="13" t="str">
        <f>IF(IF(ISNUMBER(G29),VLOOKUP($A29,List!$A$1:$B$29,2,FALSE))=FALSE,"",IF(ISNUMBER(G29),VLOOKUP($A29,List!$A$1:$B$29,2,FALSE)))</f>
        <v/>
      </c>
      <c r="T29" s="13" t="str">
        <f>IF(IF(ISNUMBER(H29),VLOOKUP($A29,List!$A$1:$B$29,2,FALSE))=FALSE,"",IF(ISNUMBER(H29),VLOOKUP($A29,List!$A$1:$B$29,2,FALSE)))</f>
        <v/>
      </c>
      <c r="U29" s="13" t="str">
        <f>IF(IF(ISNUMBER(I29),VLOOKUP($A29,List!$A$1:$B$29,2,FALSE))=FALSE,"",IF(ISNUMBER(I29),VLOOKUP($A29,List!$A$1:$B$29,2,FALSE)))</f>
        <v/>
      </c>
      <c r="V29" s="13" t="str">
        <f>IF(IF(ISNUMBER(J29),VLOOKUP($A29,List!$A$1:$B$29,2,FALSE))=FALSE,"",IF(ISNUMBER(J29),VLOOKUP($A29,List!$A$1:$B$29,2,FALSE)))</f>
        <v/>
      </c>
      <c r="W29" s="13" t="str">
        <f>IF(IF(ISNUMBER(K29),VLOOKUP($A29,List!$A$1:$B$29,2,FALSE))=FALSE,"",IF(ISNUMBER(K29),VLOOKUP($A29,List!$A$1:$B$29,2,FALSE)))</f>
        <v/>
      </c>
    </row>
    <row r="30" spans="1:23" ht="15" thickBot="1" x14ac:dyDescent="0.35">
      <c r="A30" s="4">
        <v>1</v>
      </c>
      <c r="B30" s="6" t="s">
        <v>79</v>
      </c>
      <c r="C30" s="6" t="s">
        <v>79</v>
      </c>
      <c r="D30" s="6" t="s">
        <v>79</v>
      </c>
      <c r="E30" s="6" t="s">
        <v>79</v>
      </c>
      <c r="F30" s="5" t="s">
        <v>79</v>
      </c>
      <c r="G30" s="7">
        <v>1.07</v>
      </c>
      <c r="H30" s="7" t="s">
        <v>79</v>
      </c>
      <c r="I30" s="7" t="s">
        <v>79</v>
      </c>
      <c r="J30" s="7" t="s">
        <v>79</v>
      </c>
      <c r="K30" s="7"/>
      <c r="L30" s="7"/>
      <c r="M30" s="7"/>
      <c r="N30" s="13" t="str">
        <f>IF(IF(ISNUMBER(B30),VLOOKUP($A30,List!$A$1:$B$29,2,FALSE))=FALSE,"",IF(ISNUMBER(B30),VLOOKUP($A30,List!$A$1:$B$29,2,FALSE)))</f>
        <v/>
      </c>
      <c r="O30" s="13" t="str">
        <f>IF(IF(ISNUMBER(C30),VLOOKUP($A30,List!$A$1:$B$29,2,FALSE))=FALSE,"",IF(ISNUMBER(C30),VLOOKUP($A30,List!$A$1:$B$29,2,FALSE)))</f>
        <v/>
      </c>
      <c r="P30" s="13" t="str">
        <f>IF(IF(ISNUMBER(D30),VLOOKUP($A30,List!$A$1:$B$29,2,FALSE))=FALSE,"",IF(ISNUMBER(D30),VLOOKUP($A30,List!$A$1:$B$29,2,FALSE)))</f>
        <v/>
      </c>
      <c r="Q30" s="13" t="str">
        <f>IF(IF(ISNUMBER(E30),VLOOKUP($A30,List!$A$1:$B$29,2,FALSE))=FALSE,"",IF(ISNUMBER(E30),VLOOKUP($A30,List!$A$1:$B$29,2,FALSE)))</f>
        <v/>
      </c>
      <c r="R30" s="13" t="str">
        <f>IF(IF(ISNUMBER(F30),VLOOKUP($A30,List!$A$1:$B$29,2,FALSE))=FALSE,"",IF(ISNUMBER(F30),VLOOKUP($A30,List!$A$1:$B$29,2,FALSE)))</f>
        <v/>
      </c>
      <c r="S30" s="13" t="str">
        <f>IF(IF(ISNUMBER(G30),VLOOKUP($A30,List!$A$1:$B$29,2,FALSE))=FALSE,"",IF(ISNUMBER(G30),VLOOKUP($A30,List!$A$1:$B$29,2,FALSE)))</f>
        <v>When buying a boat, I do a lot of shopping around and visit multiple dealers</v>
      </c>
      <c r="T30" s="13" t="str">
        <f>IF(IF(ISNUMBER(H30),VLOOKUP($A30,List!$A$1:$B$29,2,FALSE))=FALSE,"",IF(ISNUMBER(H30),VLOOKUP($A30,List!$A$1:$B$29,2,FALSE)))</f>
        <v/>
      </c>
      <c r="U30" s="13" t="str">
        <f>IF(IF(ISNUMBER(I30),VLOOKUP($A30,List!$A$1:$B$29,2,FALSE))=FALSE,"",IF(ISNUMBER(I30),VLOOKUP($A30,List!$A$1:$B$29,2,FALSE)))</f>
        <v/>
      </c>
      <c r="V30" s="13" t="str">
        <f>IF(IF(ISNUMBER(J30),VLOOKUP($A30,List!$A$1:$B$29,2,FALSE))=FALSE,"",IF(ISNUMBER(J30),VLOOKUP($A30,List!$A$1:$B$29,2,FALSE)))</f>
        <v/>
      </c>
      <c r="W30" s="13" t="str">
        <f>IF(IF(ISNUMBER(K30),VLOOKUP($A30,List!$A$1:$B$29,2,FALSE))=FALSE,"",IF(ISNUMBER(K30),VLOOKUP($A30,List!$A$1:$B$29,2,FALSE)))</f>
        <v/>
      </c>
    </row>
    <row r="31" spans="1:23" ht="15" thickBot="1" x14ac:dyDescent="0.35">
      <c r="A31" s="4">
        <v>12</v>
      </c>
      <c r="B31" s="6" t="s">
        <v>79</v>
      </c>
      <c r="C31" s="6" t="s">
        <v>79</v>
      </c>
      <c r="D31" s="6" t="s">
        <v>79</v>
      </c>
      <c r="E31" s="6">
        <v>0.82</v>
      </c>
      <c r="F31" s="6" t="s">
        <v>79</v>
      </c>
      <c r="G31" s="7" t="s">
        <v>79</v>
      </c>
      <c r="H31" s="7" t="s">
        <v>79</v>
      </c>
      <c r="I31" s="8" t="s">
        <v>79</v>
      </c>
      <c r="J31" s="7" t="s">
        <v>79</v>
      </c>
      <c r="K31" s="7"/>
      <c r="L31" s="7"/>
      <c r="M31" s="7"/>
      <c r="N31" s="13" t="str">
        <f>IF(IF(ISNUMBER(B31),VLOOKUP($A31,List!$A$1:$B$29,2,FALSE))=FALSE,"",IF(ISNUMBER(B31),VLOOKUP($A31,List!$A$1:$B$29,2,FALSE)))</f>
        <v/>
      </c>
      <c r="O31" s="13" t="str">
        <f>IF(IF(ISNUMBER(C31),VLOOKUP($A31,List!$A$1:$B$29,2,FALSE))=FALSE,"",IF(ISNUMBER(C31),VLOOKUP($A31,List!$A$1:$B$29,2,FALSE)))</f>
        <v/>
      </c>
      <c r="P31" s="13" t="str">
        <f>IF(IF(ISNUMBER(D31),VLOOKUP($A31,List!$A$1:$B$29,2,FALSE))=FALSE,"",IF(ISNUMBER(D31),VLOOKUP($A31,List!$A$1:$B$29,2,FALSE)))</f>
        <v/>
      </c>
      <c r="Q31" s="13" t="str">
        <f>IF(IF(ISNUMBER(E31),VLOOKUP($A31,List!$A$1:$B$29,2,FALSE))=FALSE,"",IF(ISNUMBER(E31),VLOOKUP($A31,List!$A$1:$B$29,2,FALSE)))</f>
        <v>When it comes to boating, I tend to prefer a basic boat with little to no frills</v>
      </c>
      <c r="R31" s="13" t="str">
        <f>IF(IF(ISNUMBER(F31),VLOOKUP($A31,List!$A$1:$B$29,2,FALSE))=FALSE,"",IF(ISNUMBER(F31),VLOOKUP($A31,List!$A$1:$B$29,2,FALSE)))</f>
        <v/>
      </c>
      <c r="S31" s="13" t="str">
        <f>IF(IF(ISNUMBER(G31),VLOOKUP($A31,List!$A$1:$B$29,2,FALSE))=FALSE,"",IF(ISNUMBER(G31),VLOOKUP($A31,List!$A$1:$B$29,2,FALSE)))</f>
        <v/>
      </c>
      <c r="T31" s="13" t="str">
        <f>IF(IF(ISNUMBER(H31),VLOOKUP($A31,List!$A$1:$B$29,2,FALSE))=FALSE,"",IF(ISNUMBER(H31),VLOOKUP($A31,List!$A$1:$B$29,2,FALSE)))</f>
        <v/>
      </c>
      <c r="U31" s="13" t="str">
        <f>IF(IF(ISNUMBER(I31),VLOOKUP($A31,List!$A$1:$B$29,2,FALSE))=FALSE,"",IF(ISNUMBER(I31),VLOOKUP($A31,List!$A$1:$B$29,2,FALSE)))</f>
        <v/>
      </c>
      <c r="V31" s="13" t="str">
        <f>IF(IF(ISNUMBER(J31),VLOOKUP($A31,List!$A$1:$B$29,2,FALSE))=FALSE,"",IF(ISNUMBER(J31),VLOOKUP($A31,List!$A$1:$B$29,2,FALSE)))</f>
        <v/>
      </c>
      <c r="W31" s="13" t="str">
        <f>IF(IF(ISNUMBER(K31),VLOOKUP($A31,List!$A$1:$B$29,2,FALSE))=FALSE,"",IF(ISNUMBER(K31),VLOOKUP($A31,List!$A$1:$B$29,2,FALSE)))</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Eigenvalue varimax</vt:lpstr>
      <vt:lpstr>Eigenvalue quatimax</vt:lpstr>
      <vt:lpstr>Eigenvalue proxmax</vt:lpstr>
      <vt:lpstr>Eigenvalue oblimin</vt:lpstr>
      <vt:lpstr>Eigenvalue simplimax</vt:lpstr>
      <vt:lpstr>Eigenvalue cluster</vt:lpstr>
      <vt:lpstr>Eigenvalue none</vt:lpstr>
      <vt:lpstr>Sheet2</vt:lpstr>
      <vt:lpstr>Variance - 70%</vt:lpstr>
      <vt:lpstr>List</vt:lpstr>
      <vt:lpstr>Manual - 7 factors</vt:lpstr>
      <vt:lpstr>ClusterProfileRatios_6_seg</vt:lpstr>
      <vt:lpstr>ClusterProfileRatios_5_seg</vt:lpstr>
      <vt:lpstr>Sheet1</vt:lpstr>
      <vt:lpstr>ClusterProfileRatios_5_seg (2)</vt:lpstr>
      <vt:lpstr>ClusterProfileRatios_5_seg (3)</vt:lpstr>
      <vt:lpstr>ClusterProfileRatios_5_seg (4)</vt:lpstr>
      <vt:lpstr>ClusterProfileRatios_5_seg (5)</vt:lpstr>
      <vt:lpstr>ClusterProfileRatios_5_seg (6)</vt:lpstr>
      <vt:lpstr>ClusterProfileRatios_5_seg (7)</vt:lpstr>
      <vt:lpstr>ClusterProfileRatios_4</vt:lpstr>
      <vt:lpstr>ClusterProfileRatios_4 (2)</vt:lpstr>
      <vt:lpstr>ClusterProfileRatios_6_seg (2)</vt:lpstr>
      <vt:lpstr>ClusterProfileRatios_6_seg (3)</vt:lpstr>
      <vt:lpstr>ClusterProfileRatios_6_seg (4)</vt:lpstr>
      <vt:lpstr>Manual - 10 factors</vt:lpstr>
      <vt:lpstr>Manual - 9 factors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Ricardo</dc:creator>
  <cp:lastModifiedBy>Miroslav Sala</cp:lastModifiedBy>
  <dcterms:created xsi:type="dcterms:W3CDTF">2018-02-10T11:30:07Z</dcterms:created>
  <dcterms:modified xsi:type="dcterms:W3CDTF">2018-02-12T09:23:47Z</dcterms:modified>
</cp:coreProperties>
</file>