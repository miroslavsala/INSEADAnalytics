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 Ferreira\Desktop\INSEAD 18J\P3\Data Science for Business\Assignment 3 - Boats\"/>
    </mc:Choice>
  </mc:AlternateContent>
  <bookViews>
    <workbookView xWindow="984" yWindow="0" windowWidth="15528" windowHeight="5412" firstSheet="3" activeTab="9"/>
  </bookViews>
  <sheets>
    <sheet name="List" sheetId="1" r:id="rId1"/>
    <sheet name="Eigenvalue varimax" sheetId="2" r:id="rId2"/>
    <sheet name="Eigenvalue quatimax" sheetId="3" r:id="rId3"/>
    <sheet name="Eigenvalue proxmax" sheetId="4" r:id="rId4"/>
    <sheet name="Eigenvalue oblimin" sheetId="5" r:id="rId5"/>
    <sheet name="Eigenvalue simplimax" sheetId="6" r:id="rId6"/>
    <sheet name="Eigenvalue cluster" sheetId="7" r:id="rId7"/>
    <sheet name="Eigenvalue none" sheetId="8" r:id="rId8"/>
    <sheet name="Sheet2" sheetId="10" r:id="rId9"/>
    <sheet name="Variance - 70%" sheetId="9" r:id="rId10"/>
  </sheets>
  <calcPr calcId="171027"/>
  <pivotCaches>
    <pivotCache cacheId="5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0" i="9" l="1"/>
  <c r="X30" i="9"/>
  <c r="W30" i="9"/>
  <c r="V30" i="9"/>
  <c r="T30" i="9"/>
  <c r="S30" i="9"/>
  <c r="R30" i="9"/>
  <c r="Q30" i="9"/>
  <c r="P30" i="9"/>
  <c r="O30" i="9"/>
  <c r="N30" i="9"/>
  <c r="Y29" i="9"/>
  <c r="X29" i="9"/>
  <c r="W29" i="9"/>
  <c r="V29" i="9"/>
  <c r="U29" i="9"/>
  <c r="T29" i="9"/>
  <c r="S29" i="9"/>
  <c r="Q29" i="9"/>
  <c r="P29" i="9"/>
  <c r="O29" i="9"/>
  <c r="N29" i="9"/>
  <c r="Y28" i="9"/>
  <c r="X28" i="9"/>
  <c r="W28" i="9"/>
  <c r="U28" i="9"/>
  <c r="T28" i="9"/>
  <c r="S28" i="9"/>
  <c r="R28" i="9"/>
  <c r="Q28" i="9"/>
  <c r="P28" i="9"/>
  <c r="O28" i="9"/>
  <c r="N28" i="9"/>
  <c r="Y27" i="9"/>
  <c r="X27" i="9"/>
  <c r="W27" i="9"/>
  <c r="V27" i="9"/>
  <c r="U27" i="9"/>
  <c r="T27" i="9"/>
  <c r="S27" i="9"/>
  <c r="R27" i="9"/>
  <c r="Q27" i="9"/>
  <c r="O27" i="9"/>
  <c r="N27" i="9"/>
  <c r="Y26" i="9"/>
  <c r="X26" i="9"/>
  <c r="W26" i="9"/>
  <c r="V26" i="9"/>
  <c r="U26" i="9"/>
  <c r="S26" i="9"/>
  <c r="R26" i="9"/>
  <c r="Q26" i="9"/>
  <c r="P26" i="9"/>
  <c r="O26" i="9"/>
  <c r="N26" i="9"/>
  <c r="Y25" i="9"/>
  <c r="X25" i="9"/>
  <c r="V25" i="9"/>
  <c r="U25" i="9"/>
  <c r="T25" i="9"/>
  <c r="S25" i="9"/>
  <c r="R25" i="9"/>
  <c r="Q25" i="9"/>
  <c r="P25" i="9"/>
  <c r="O25" i="9"/>
  <c r="N25" i="9"/>
  <c r="Y24" i="9"/>
  <c r="W24" i="9"/>
  <c r="V24" i="9"/>
  <c r="U24" i="9"/>
  <c r="T24" i="9"/>
  <c r="S24" i="9"/>
  <c r="R24" i="9"/>
  <c r="Q24" i="9"/>
  <c r="P24" i="9"/>
  <c r="O24" i="9"/>
  <c r="N24" i="9"/>
  <c r="Y23" i="9"/>
  <c r="X23" i="9"/>
  <c r="W23" i="9"/>
  <c r="V23" i="9"/>
  <c r="U23" i="9"/>
  <c r="T23" i="9"/>
  <c r="S23" i="9"/>
  <c r="R23" i="9"/>
  <c r="Q23" i="9"/>
  <c r="O23" i="9"/>
  <c r="N23" i="9"/>
  <c r="Y22" i="9"/>
  <c r="X22" i="9"/>
  <c r="W22" i="9"/>
  <c r="V22" i="9"/>
  <c r="U22" i="9"/>
  <c r="T22" i="9"/>
  <c r="S22" i="9"/>
  <c r="R22" i="9"/>
  <c r="Q22" i="9"/>
  <c r="O22" i="9"/>
  <c r="N22" i="9"/>
  <c r="Y21" i="9"/>
  <c r="X21" i="9"/>
  <c r="W21" i="9"/>
  <c r="V21" i="9"/>
  <c r="U21" i="9"/>
  <c r="T21" i="9"/>
  <c r="R21" i="9"/>
  <c r="Q21" i="9"/>
  <c r="P21" i="9"/>
  <c r="O21" i="9"/>
  <c r="N21" i="9"/>
  <c r="X20" i="9"/>
  <c r="W20" i="9"/>
  <c r="V20" i="9"/>
  <c r="U20" i="9"/>
  <c r="T20" i="9"/>
  <c r="S20" i="9"/>
  <c r="R20" i="9"/>
  <c r="Q20" i="9"/>
  <c r="P20" i="9"/>
  <c r="O20" i="9"/>
  <c r="N20" i="9"/>
  <c r="Y19" i="9"/>
  <c r="X19" i="9"/>
  <c r="W19" i="9"/>
  <c r="V19" i="9"/>
  <c r="U19" i="9"/>
  <c r="T19" i="9"/>
  <c r="S19" i="9"/>
  <c r="Q19" i="9"/>
  <c r="P19" i="9"/>
  <c r="O19" i="9"/>
  <c r="N19" i="9"/>
  <c r="Y18" i="9"/>
  <c r="X18" i="9"/>
  <c r="W18" i="9"/>
  <c r="V18" i="9"/>
  <c r="U18" i="9"/>
  <c r="T18" i="9"/>
  <c r="S18" i="9"/>
  <c r="R18" i="9"/>
  <c r="P18" i="9"/>
  <c r="O18" i="9"/>
  <c r="N18" i="9"/>
  <c r="Y17" i="9"/>
  <c r="X17" i="9"/>
  <c r="W17" i="9"/>
  <c r="V17" i="9"/>
  <c r="U17" i="9"/>
  <c r="T17" i="9"/>
  <c r="S17" i="9"/>
  <c r="R17" i="9"/>
  <c r="P17" i="9"/>
  <c r="O17" i="9"/>
  <c r="N17" i="9"/>
  <c r="Y16" i="9"/>
  <c r="X16" i="9"/>
  <c r="W16" i="9"/>
  <c r="V16" i="9"/>
  <c r="U16" i="9"/>
  <c r="T16" i="9"/>
  <c r="S16" i="9"/>
  <c r="R16" i="9"/>
  <c r="Q16" i="9"/>
  <c r="P16" i="9"/>
  <c r="N16" i="9"/>
  <c r="Y15" i="9"/>
  <c r="X15" i="9"/>
  <c r="W15" i="9"/>
  <c r="V15" i="9"/>
  <c r="U15" i="9"/>
  <c r="T15" i="9"/>
  <c r="S15" i="9"/>
  <c r="R15" i="9"/>
  <c r="Q15" i="9"/>
  <c r="P15" i="9"/>
  <c r="O15" i="9"/>
  <c r="N15" i="9"/>
  <c r="Y14" i="9"/>
  <c r="X14" i="9"/>
  <c r="W14" i="9"/>
  <c r="V14" i="9"/>
  <c r="U14" i="9"/>
  <c r="T14" i="9"/>
  <c r="S14" i="9"/>
  <c r="R14" i="9"/>
  <c r="Q14" i="9"/>
  <c r="P14" i="9"/>
  <c r="O14" i="9"/>
  <c r="N14" i="9"/>
  <c r="Y13" i="9"/>
  <c r="X13" i="9"/>
  <c r="W13" i="9"/>
  <c r="V13" i="9"/>
  <c r="U13" i="9"/>
  <c r="T13" i="9"/>
  <c r="S13" i="9"/>
  <c r="R13" i="9"/>
  <c r="Q13" i="9"/>
  <c r="P13" i="9"/>
  <c r="N13" i="9"/>
  <c r="Y12" i="9"/>
  <c r="X12" i="9"/>
  <c r="W12" i="9"/>
  <c r="V12" i="9"/>
  <c r="U12" i="9"/>
  <c r="T12" i="9"/>
  <c r="S12" i="9"/>
  <c r="R12" i="9"/>
  <c r="Q12" i="9"/>
  <c r="P12" i="9"/>
  <c r="N12" i="9"/>
  <c r="Y11" i="9"/>
  <c r="X11" i="9"/>
  <c r="W11" i="9"/>
  <c r="V11" i="9"/>
  <c r="U11" i="9"/>
  <c r="T11" i="9"/>
  <c r="S11" i="9"/>
  <c r="R11" i="9"/>
  <c r="P11" i="9"/>
  <c r="O11" i="9"/>
  <c r="N11" i="9"/>
  <c r="Y10" i="9"/>
  <c r="X10" i="9"/>
  <c r="W10" i="9"/>
  <c r="V10" i="9"/>
  <c r="U10" i="9"/>
  <c r="T10" i="9"/>
  <c r="S10" i="9"/>
  <c r="R10" i="9"/>
  <c r="P10" i="9"/>
  <c r="O10" i="9"/>
  <c r="N10" i="9"/>
  <c r="Y9" i="9"/>
  <c r="X9" i="9"/>
  <c r="W9" i="9"/>
  <c r="V9" i="9"/>
  <c r="U9" i="9"/>
  <c r="T9" i="9"/>
  <c r="S9" i="9"/>
  <c r="R9" i="9"/>
  <c r="Q9" i="9"/>
  <c r="P9" i="9"/>
  <c r="O9" i="9"/>
  <c r="N9" i="9"/>
  <c r="Y8" i="9"/>
  <c r="X8" i="9"/>
  <c r="W8" i="9"/>
  <c r="V8" i="9"/>
  <c r="U8" i="9"/>
  <c r="T8" i="9"/>
  <c r="S8" i="9"/>
  <c r="R8" i="9"/>
  <c r="Q8" i="9"/>
  <c r="P8" i="9"/>
  <c r="O8" i="9"/>
  <c r="N8" i="9"/>
  <c r="Y7" i="9"/>
  <c r="X7" i="9"/>
  <c r="W7" i="9"/>
  <c r="V7" i="9"/>
  <c r="U7" i="9"/>
  <c r="T7" i="9"/>
  <c r="S7" i="9"/>
  <c r="R7" i="9"/>
  <c r="Q7" i="9"/>
  <c r="P7" i="9"/>
  <c r="O7" i="9"/>
  <c r="Y6" i="9"/>
  <c r="X6" i="9"/>
  <c r="W6" i="9"/>
  <c r="V6" i="9"/>
  <c r="U6" i="9"/>
  <c r="T6" i="9"/>
  <c r="S6" i="9"/>
  <c r="R6" i="9"/>
  <c r="Q6" i="9"/>
  <c r="P6" i="9"/>
  <c r="O6" i="9"/>
  <c r="Y5" i="9"/>
  <c r="X5" i="9"/>
  <c r="W5" i="9"/>
  <c r="V5" i="9"/>
  <c r="U5" i="9"/>
  <c r="T5" i="9"/>
  <c r="S5" i="9"/>
  <c r="R5" i="9"/>
  <c r="Q5" i="9"/>
  <c r="P5" i="9"/>
  <c r="O5" i="9"/>
  <c r="Y4" i="9"/>
  <c r="X4" i="9"/>
  <c r="W4" i="9"/>
  <c r="V4" i="9"/>
  <c r="U4" i="9"/>
  <c r="T4" i="9"/>
  <c r="S4" i="9"/>
  <c r="R4" i="9"/>
  <c r="Q4" i="9"/>
  <c r="P4" i="9"/>
  <c r="O4" i="9"/>
  <c r="Y3" i="9"/>
  <c r="X3" i="9"/>
  <c r="W3" i="9"/>
  <c r="V3" i="9"/>
  <c r="U3" i="9"/>
  <c r="T3" i="9"/>
  <c r="S3" i="9"/>
  <c r="R3" i="9"/>
  <c r="Q3" i="9"/>
  <c r="P3" i="9"/>
  <c r="O3" i="9"/>
  <c r="Y2" i="9"/>
  <c r="X2" i="9"/>
  <c r="W2" i="9"/>
  <c r="V2" i="9"/>
  <c r="U2" i="9"/>
  <c r="T2" i="9"/>
  <c r="S2" i="9"/>
  <c r="R2" i="9"/>
  <c r="Q2" i="9"/>
  <c r="P2" i="9"/>
  <c r="O2" i="9"/>
  <c r="N2" i="9"/>
  <c r="Y20" i="9" l="1"/>
  <c r="AC48" i="9" s="1"/>
  <c r="AD48" i="9" s="1"/>
  <c r="N3" i="9"/>
  <c r="N4" i="9" s="1"/>
  <c r="N5" i="9" s="1"/>
  <c r="V28" i="9"/>
  <c r="AC39" i="9" s="1"/>
  <c r="AD39" i="9" s="1"/>
  <c r="S21" i="9"/>
  <c r="AC30" i="9" s="1"/>
  <c r="AD30" i="9" s="1"/>
  <c r="W25" i="9"/>
  <c r="AC42" i="9" s="1"/>
  <c r="AD42" i="9" s="1"/>
  <c r="U30" i="9"/>
  <c r="AC36" i="9" s="1"/>
  <c r="AD36" i="9" s="1"/>
  <c r="T26" i="9"/>
  <c r="AC33" i="9" s="1"/>
  <c r="AD33" i="9" s="1"/>
  <c r="X24" i="9"/>
  <c r="AC45" i="9" s="1"/>
  <c r="AD45" i="9" s="1"/>
  <c r="AC2" i="9"/>
  <c r="AD2" i="9" s="1"/>
  <c r="R19" i="9"/>
  <c r="R29" i="9" s="1"/>
  <c r="O12" i="9"/>
  <c r="P22" i="9"/>
  <c r="AC15" i="9" s="1"/>
  <c r="AD15" i="9" s="1"/>
  <c r="Q10" i="9"/>
  <c r="B30" i="8"/>
  <c r="B13" i="8"/>
  <c r="B14" i="8"/>
  <c r="B15" i="8"/>
  <c r="B16" i="8"/>
  <c r="B17" i="8"/>
  <c r="B18" i="8"/>
  <c r="B19" i="8"/>
  <c r="B35" i="8"/>
  <c r="B34" i="8"/>
  <c r="B29" i="8"/>
  <c r="B28" i="8"/>
  <c r="B24" i="8"/>
  <c r="B23" i="8"/>
  <c r="B12" i="8"/>
  <c r="B11" i="8"/>
  <c r="B10" i="8"/>
  <c r="B9" i="8"/>
  <c r="B8" i="8"/>
  <c r="B7" i="8"/>
  <c r="B6" i="8"/>
  <c r="B5" i="8"/>
  <c r="B4" i="8"/>
  <c r="B3" i="8"/>
  <c r="B2" i="8"/>
  <c r="B21" i="7"/>
  <c r="B20" i="7"/>
  <c r="B19" i="7"/>
  <c r="B37" i="7"/>
  <c r="B32" i="7"/>
  <c r="B31" i="7"/>
  <c r="B36" i="7"/>
  <c r="B30" i="7"/>
  <c r="B26" i="7"/>
  <c r="B25" i="7"/>
  <c r="B18" i="7"/>
  <c r="B17" i="7"/>
  <c r="B16" i="7"/>
  <c r="B12" i="7"/>
  <c r="B11" i="7"/>
  <c r="B10" i="7"/>
  <c r="B9" i="7"/>
  <c r="B8" i="7"/>
  <c r="B7" i="7"/>
  <c r="B6" i="7"/>
  <c r="B5" i="7"/>
  <c r="B4" i="7"/>
  <c r="B3" i="7"/>
  <c r="B2" i="7"/>
  <c r="B37" i="6"/>
  <c r="B25" i="6"/>
  <c r="B34" i="6"/>
  <c r="B30" i="6"/>
  <c r="B29" i="6"/>
  <c r="B24" i="6"/>
  <c r="B23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22" i="5"/>
  <c r="B28" i="5"/>
  <c r="B35" i="5"/>
  <c r="B34" i="5"/>
  <c r="B33" i="5"/>
  <c r="B32" i="5"/>
  <c r="B27" i="5"/>
  <c r="B26" i="5"/>
  <c r="B21" i="5"/>
  <c r="B20" i="5"/>
  <c r="B19" i="5"/>
  <c r="B18" i="5"/>
  <c r="B14" i="5"/>
  <c r="B13" i="5"/>
  <c r="B12" i="5"/>
  <c r="B8" i="5"/>
  <c r="B7" i="5"/>
  <c r="B6" i="5"/>
  <c r="B5" i="5"/>
  <c r="B4" i="5"/>
  <c r="B3" i="5"/>
  <c r="B2" i="5"/>
  <c r="B19" i="4"/>
  <c r="B18" i="4"/>
  <c r="B17" i="4"/>
  <c r="B16" i="4"/>
  <c r="B15" i="4"/>
  <c r="B26" i="4"/>
  <c r="B39" i="4"/>
  <c r="B36" i="4"/>
  <c r="B37" i="4"/>
  <c r="B38" i="4"/>
  <c r="B32" i="4"/>
  <c r="B31" i="4"/>
  <c r="B25" i="4"/>
  <c r="B24" i="4"/>
  <c r="B23" i="4"/>
  <c r="B14" i="4"/>
  <c r="B13" i="4"/>
  <c r="B9" i="4"/>
  <c r="B8" i="4"/>
  <c r="B7" i="4"/>
  <c r="B6" i="4"/>
  <c r="B5" i="4"/>
  <c r="B4" i="4"/>
  <c r="B3" i="4"/>
  <c r="B2" i="4"/>
  <c r="B13" i="3"/>
  <c r="B14" i="3"/>
  <c r="B15" i="3"/>
  <c r="B16" i="3"/>
  <c r="B17" i="3"/>
  <c r="B18" i="3"/>
  <c r="B19" i="3"/>
  <c r="B35" i="3"/>
  <c r="B34" i="3"/>
  <c r="B30" i="3"/>
  <c r="B29" i="3"/>
  <c r="B28" i="3"/>
  <c r="B24" i="3"/>
  <c r="B23" i="3"/>
  <c r="B12" i="3"/>
  <c r="B11" i="3"/>
  <c r="B10" i="3"/>
  <c r="B9" i="3"/>
  <c r="B8" i="3"/>
  <c r="B7" i="3"/>
  <c r="B6" i="3"/>
  <c r="B5" i="3"/>
  <c r="B4" i="3"/>
  <c r="B3" i="3"/>
  <c r="B2" i="3"/>
  <c r="B26" i="2"/>
  <c r="B40" i="2"/>
  <c r="B39" i="2"/>
  <c r="B38" i="2"/>
  <c r="B33" i="2"/>
  <c r="B34" i="2"/>
  <c r="B32" i="2"/>
  <c r="B27" i="2"/>
  <c r="B28" i="2"/>
  <c r="B18" i="2"/>
  <c r="B19" i="2"/>
  <c r="B20" i="2"/>
  <c r="B21" i="2"/>
  <c r="B22" i="2"/>
  <c r="B17" i="2"/>
  <c r="B16" i="2"/>
  <c r="B3" i="2"/>
  <c r="B4" i="2"/>
  <c r="B5" i="2"/>
  <c r="B6" i="2"/>
  <c r="B7" i="2"/>
  <c r="B8" i="2"/>
  <c r="B9" i="2"/>
  <c r="B10" i="2"/>
  <c r="B11" i="2"/>
  <c r="B12" i="2"/>
  <c r="B2" i="2"/>
  <c r="AC26" i="9" l="1"/>
  <c r="AD26" i="9" s="1"/>
  <c r="AC27" i="9"/>
  <c r="AD27" i="9" s="1"/>
  <c r="P23" i="9"/>
  <c r="AC20" i="9"/>
  <c r="AD20" i="9" s="1"/>
  <c r="AC5" i="9"/>
  <c r="AD5" i="9" s="1"/>
  <c r="AC10" i="9"/>
  <c r="AD10" i="9" s="1"/>
  <c r="AC3" i="9"/>
  <c r="AD3" i="9" s="1"/>
  <c r="AC4" i="9"/>
  <c r="AD4" i="9" s="1"/>
  <c r="N6" i="9"/>
  <c r="N7" i="9" s="1"/>
  <c r="Q11" i="9"/>
  <c r="Q17" i="9" s="1"/>
  <c r="O13" i="9"/>
  <c r="O16" i="9" s="1"/>
  <c r="AC6" i="9" l="1"/>
  <c r="AD6" i="9" s="1"/>
  <c r="AC22" i="9"/>
  <c r="AD22" i="9" s="1"/>
  <c r="P27" i="9"/>
  <c r="AC21" i="9"/>
  <c r="AD21" i="9" s="1"/>
  <c r="AC7" i="9"/>
  <c r="AD7" i="9" s="1"/>
  <c r="AC12" i="9"/>
  <c r="AD12" i="9" s="1"/>
  <c r="AC16" i="9"/>
  <c r="AD16" i="9" s="1"/>
  <c r="AC11" i="9"/>
  <c r="AD11" i="9" s="1"/>
  <c r="Q18" i="9"/>
  <c r="AC17" i="9" l="1"/>
  <c r="AD17" i="9" s="1"/>
  <c r="AC23" i="9"/>
  <c r="AD23" i="9" s="1"/>
</calcChain>
</file>

<file path=xl/sharedStrings.xml><?xml version="1.0" encoding="utf-8"?>
<sst xmlns="http://schemas.openxmlformats.org/spreadsheetml/2006/main" count="173" uniqueCount="100">
  <si>
    <t>When buying a boat, I do a lot of shopping around and visit multiple dealers</t>
  </si>
  <si>
    <t>When buying a bot, getting the lowest P is more important than brand</t>
  </si>
  <si>
    <t>The brand of the boat I buy says a lot about who I am</t>
  </si>
  <si>
    <t>I only consider buying a boat from a reputable brand</t>
  </si>
  <si>
    <t>I am willing to pay a premium for a brand with a reputation for high quality</t>
  </si>
  <si>
    <t>Owning a boat is a way of rewarding myself for hard work</t>
  </si>
  <si>
    <t>Owning a boat gives me a sense of achievement</t>
  </si>
  <si>
    <t>When buying a boat, functionality is more important than style</t>
  </si>
  <si>
    <t>I see my boat as status symbol</t>
  </si>
  <si>
    <t>When buying a boat, I rely more on expert opinion than my own</t>
  </si>
  <si>
    <t>I tend to perform minor boat repairs and maintenance on my own</t>
  </si>
  <si>
    <t>When it comes to boating, I tend to prefer a basic boat with little to no frills</t>
  </si>
  <si>
    <t>When buying accessories for my boat, I tend to buy the latest and greatest</t>
  </si>
  <si>
    <t>When buying a boat, I tend to buy the latest and greatest</t>
  </si>
  <si>
    <t>I am serious about the technology on my boat</t>
  </si>
  <si>
    <t>People tend to come to me for advice about boating</t>
  </si>
  <si>
    <t>I consider myself more knowledgeable about boating than the rest of my boating peers</t>
  </si>
  <si>
    <t>Boating gives me a feeling of adventure</t>
  </si>
  <si>
    <t>Boating allows me to experience nature</t>
  </si>
  <si>
    <t>When not on my boat, I often find myself doing boating related activities</t>
  </si>
  <si>
    <t>Boating helps me escape from everyday life and relax</t>
  </si>
  <si>
    <t>Boating helps me stay active</t>
  </si>
  <si>
    <t>Boating allows me to excel in the sports that I am passionate about</t>
  </si>
  <si>
    <t>Boating gives me an outlet to socialize with family/friends</t>
  </si>
  <si>
    <t>Being in charge of my boat is what is most important to me</t>
  </si>
  <si>
    <t>Having a powerful boat is what is most important to me</t>
  </si>
  <si>
    <t>Boating is the number one thing I do with my spare time</t>
  </si>
  <si>
    <t>Boating is my true passion in life</t>
  </si>
  <si>
    <t>Boating is one of many things I do in my spare time</t>
  </si>
  <si>
    <t>Component 4 - Experts</t>
  </si>
  <si>
    <t>Component 5 - Price conscious</t>
  </si>
  <si>
    <t>Component 1 - Early birds/crazy about boats/ experts</t>
  </si>
  <si>
    <t>Component 2 - Getting away with boat</t>
  </si>
  <si>
    <t>Component 3 - brand lovers</t>
  </si>
  <si>
    <t xml:space="preserve">Component 1 - </t>
  </si>
  <si>
    <t>Component 3 - price conscious</t>
  </si>
  <si>
    <t xml:space="preserve">Component 4 - </t>
  </si>
  <si>
    <t xml:space="preserve">Component 3 - </t>
  </si>
  <si>
    <t>Component 4 - Brand/Quality</t>
  </si>
  <si>
    <t>Component 1 - Getting away with boat</t>
  </si>
  <si>
    <t>Component 2 - Expert</t>
  </si>
  <si>
    <t>Component 3 - High quality + brand</t>
  </si>
  <si>
    <t>Component 4 - Status</t>
  </si>
  <si>
    <t xml:space="preserve">Component 5 - </t>
  </si>
  <si>
    <t>Component 5 - Expertise</t>
  </si>
  <si>
    <t>Component 4 - Price conscious</t>
  </si>
  <si>
    <t>Component 3 - Brand</t>
  </si>
  <si>
    <t>Component 3 - Price conscious</t>
  </si>
  <si>
    <t>Component 4 - Expertise</t>
  </si>
  <si>
    <t>Comp.1</t>
  </si>
  <si>
    <t>Comp.2</t>
  </si>
  <si>
    <t>Comp.3</t>
  </si>
  <si>
    <t>Comp.4</t>
  </si>
  <si>
    <t>Comp.5</t>
  </si>
  <si>
    <t>Comp.6</t>
  </si>
  <si>
    <t>Comp.7</t>
  </si>
  <si>
    <t>Comp.8</t>
  </si>
  <si>
    <t>Comp.9</t>
  </si>
  <si>
    <t>Comp.10</t>
  </si>
  <si>
    <t>Comp.11</t>
  </si>
  <si>
    <t>Comp.12</t>
  </si>
  <si>
    <t>Component 4</t>
  </si>
  <si>
    <t>Component 5</t>
  </si>
  <si>
    <t>Component 6</t>
  </si>
  <si>
    <t>Component 7</t>
  </si>
  <si>
    <t>Component 8</t>
  </si>
  <si>
    <t>Component 9</t>
  </si>
  <si>
    <t>Component 10</t>
  </si>
  <si>
    <t>Component 11</t>
  </si>
  <si>
    <t>Component 12</t>
  </si>
  <si>
    <t>Component 1 - Boat lover</t>
  </si>
  <si>
    <t>Component 2 - Early adopter</t>
  </si>
  <si>
    <t>RANKComp.1</t>
  </si>
  <si>
    <t>RANKComp.2</t>
  </si>
  <si>
    <t>RANKComp.3</t>
  </si>
  <si>
    <t>RANKComp.4</t>
  </si>
  <si>
    <t>RANKComp.5</t>
  </si>
  <si>
    <t>RANKComp.6</t>
  </si>
  <si>
    <t>RANKComp.7</t>
  </si>
  <si>
    <t>RANKComp.8</t>
  </si>
  <si>
    <t>RANKComp.9</t>
  </si>
  <si>
    <t>RANKComp.10</t>
  </si>
  <si>
    <t>RANKComp.11</t>
  </si>
  <si>
    <t>RANKComp.12</t>
  </si>
  <si>
    <t>QUESTION</t>
  </si>
  <si>
    <t>METHOD</t>
  </si>
  <si>
    <t>VARIANCE - VARIMAX - 70%</t>
  </si>
  <si>
    <t>Sum of RANKComp.1</t>
  </si>
  <si>
    <t>Grand Total</t>
  </si>
  <si>
    <t>Sum of RANKComp.2</t>
  </si>
  <si>
    <t>Sum of RANKComp.3</t>
  </si>
  <si>
    <t>Sum of RANKComp.4</t>
  </si>
  <si>
    <t>Sum of RANKComp.5</t>
  </si>
  <si>
    <t>Sum of RANKComp.6</t>
  </si>
  <si>
    <t>Sum of RANKComp.7</t>
  </si>
  <si>
    <t>Sum of RANKComp.8</t>
  </si>
  <si>
    <t>Sum of RANKComp.9</t>
  </si>
  <si>
    <t>Sum of RANKComp.10</t>
  </si>
  <si>
    <t>Sum of RANKComp.11</t>
  </si>
  <si>
    <t>Sum of RANKComp.12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</si>
</sst>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000000"/>
      <name val="Segoe UI"/>
      <family val="2"/>
    </font>
    <font>
      <sz val="7"/>
      <color theme="1"/>
      <name val="Segoe UI"/>
      <family val="2"/>
    </font>
    <font>
      <i/>
      <sz val="7"/>
      <color rgb="FFB0B0B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0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ardo Ferreira" refreshedDate="43142.462715856484" createdVersion="6" refreshedVersion="6" minRefreshableVersion="3" recordCount="29">
  <cacheSource type="worksheet">
    <worksheetSource ref="A1:Z30" sheet="Variance - 70%"/>
  </cacheSource>
  <cacheFields count="26">
    <cacheField name="QUESTION" numFmtId="0">
      <sharedItems containsSemiMixedTypes="0" containsString="0" containsNumber="1" containsInteger="1" minValue="1" maxValue="29" count="29">
        <n v="27"/>
        <n v="28"/>
        <n v="20"/>
        <n v="16"/>
        <n v="23"/>
        <n v="17"/>
        <n v="26"/>
        <n v="22"/>
        <n v="3"/>
        <n v="9"/>
        <n v="13"/>
        <n v="14"/>
        <n v="5"/>
        <n v="25"/>
        <n v="15"/>
        <n v="6"/>
        <n v="7"/>
        <n v="12"/>
        <n v="24"/>
        <n v="11"/>
        <n v="18"/>
        <n v="21"/>
        <n v="29"/>
        <n v="1"/>
        <n v="4"/>
        <n v="19"/>
        <n v="8"/>
        <n v="2"/>
        <n v="10"/>
      </sharedItems>
    </cacheField>
    <cacheField name="Comp.1" numFmtId="0">
      <sharedItems containsString="0" containsBlank="1" containsNumber="1" minValue="0.56000000000000005" maxValue="0.76"/>
    </cacheField>
    <cacheField name="Comp.2" numFmtId="0">
      <sharedItems containsString="0" containsBlank="1" containsNumber="1" minValue="0.63" maxValue="0.75"/>
    </cacheField>
    <cacheField name="Comp.3" numFmtId="0">
      <sharedItems containsString="0" containsBlank="1" containsNumber="1" minValue="0.56999999999999995" maxValue="0.83"/>
    </cacheField>
    <cacheField name="Comp.4" numFmtId="0">
      <sharedItems containsString="0" containsBlank="1" containsNumber="1" minValue="0.55000000000000004" maxValue="0.74"/>
    </cacheField>
    <cacheField name="Comp.5" numFmtId="0">
      <sharedItems containsString="0" containsBlank="1" containsNumber="1" minValue="0.63" maxValue="0.83"/>
    </cacheField>
    <cacheField name="Comp.6" numFmtId="0">
      <sharedItems containsString="0" containsBlank="1" containsNumber="1" minValue="0.88" maxValue="0.88"/>
    </cacheField>
    <cacheField name="Comp.7" numFmtId="0">
      <sharedItems containsString="0" containsBlank="1" containsNumber="1" minValue="0.84" maxValue="0.84"/>
    </cacheField>
    <cacheField name="Comp.8" numFmtId="0">
      <sharedItems containsString="0" containsBlank="1" containsNumber="1" minValue="0.92" maxValue="0.92"/>
    </cacheField>
    <cacheField name="Comp.9" numFmtId="0">
      <sharedItems containsString="0" containsBlank="1" containsNumber="1" minValue="0.95" maxValue="0.95"/>
    </cacheField>
    <cacheField name="Comp.10" numFmtId="0">
      <sharedItems containsString="0" containsBlank="1" containsNumber="1" minValue="0.94" maxValue="0.94"/>
    </cacheField>
    <cacheField name="Comp.11" numFmtId="0">
      <sharedItems containsString="0" containsBlank="1" containsNumber="1" minValue="0.9" maxValue="0.9"/>
    </cacheField>
    <cacheField name="Comp.12" numFmtId="0">
      <sharedItems containsString="0" containsBlank="1" containsNumber="1" minValue="0.77" maxValue="0.77"/>
    </cacheField>
    <cacheField name="RANKComp.1" numFmtId="0">
      <sharedItems containsSemiMixedTypes="0" containsString="0" containsNumber="1" containsInteger="1" minValue="0" maxValue="6" count="7">
        <n v="1"/>
        <n v="2"/>
        <n v="3"/>
        <n v="4"/>
        <n v="5"/>
        <n v="6"/>
        <n v="0"/>
      </sharedItems>
    </cacheField>
    <cacheField name="RANKComp.2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RANKComp.3" numFmtId="0">
      <sharedItems containsSemiMixedTypes="0" containsString="0" containsNumber="1" containsInteger="1" minValue="0" maxValue="3"/>
    </cacheField>
    <cacheField name="RANKComp.4" numFmtId="0">
      <sharedItems containsSemiMixedTypes="0" containsString="0" containsNumber="1" containsInteger="1" minValue="0" maxValue="4"/>
    </cacheField>
    <cacheField name="RANKComp.5" numFmtId="0">
      <sharedItems containsSemiMixedTypes="0" containsString="0" containsNumber="1" containsInteger="1" minValue="0" maxValue="2"/>
    </cacheField>
    <cacheField name="RANKComp.6" numFmtId="0">
      <sharedItems containsSemiMixedTypes="0" containsString="0" containsNumber="1" containsInteger="1" minValue="0" maxValue="1"/>
    </cacheField>
    <cacheField name="RANKComp.7" numFmtId="0">
      <sharedItems containsSemiMixedTypes="0" containsString="0" containsNumber="1" containsInteger="1" minValue="0" maxValue="1"/>
    </cacheField>
    <cacheField name="RANKComp.8" numFmtId="0">
      <sharedItems containsSemiMixedTypes="0" containsString="0" containsNumber="1" containsInteger="1" minValue="0" maxValue="1"/>
    </cacheField>
    <cacheField name="RANKComp.9" numFmtId="0">
      <sharedItems containsSemiMixedTypes="0" containsString="0" containsNumber="1" containsInteger="1" minValue="0" maxValue="1"/>
    </cacheField>
    <cacheField name="RANKComp.10" numFmtId="0">
      <sharedItems containsSemiMixedTypes="0" containsString="0" containsNumber="1" containsInteger="1" minValue="0" maxValue="1"/>
    </cacheField>
    <cacheField name="RANKComp.11" numFmtId="0">
      <sharedItems containsSemiMixedTypes="0" containsString="0" containsNumber="1" containsInteger="1" minValue="0" maxValue="1"/>
    </cacheField>
    <cacheField name="RANKComp.12" numFmtId="0">
      <sharedItems containsSemiMixedTypes="0" containsString="0" containsNumber="1" containsInteger="1" minValue="0" maxValue="1"/>
    </cacheField>
    <cacheField name="METHOD" numFmtId="0">
      <sharedItems count="1">
        <s v="VARIANCE - VARIMAX - 7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n v="0.76"/>
    <m/>
    <m/>
    <m/>
    <m/>
    <m/>
    <m/>
    <m/>
    <m/>
    <m/>
    <m/>
    <m/>
    <x v="0"/>
    <x v="0"/>
    <n v="0"/>
    <n v="0"/>
    <n v="0"/>
    <n v="0"/>
    <n v="0"/>
    <n v="0"/>
    <n v="0"/>
    <n v="0"/>
    <n v="0"/>
    <n v="0"/>
    <x v="0"/>
  </r>
  <r>
    <x v="1"/>
    <n v="0.75"/>
    <m/>
    <m/>
    <m/>
    <m/>
    <m/>
    <m/>
    <m/>
    <m/>
    <m/>
    <m/>
    <m/>
    <x v="1"/>
    <x v="0"/>
    <n v="0"/>
    <n v="0"/>
    <n v="0"/>
    <n v="0"/>
    <n v="0"/>
    <n v="0"/>
    <n v="0"/>
    <n v="0"/>
    <n v="0"/>
    <n v="0"/>
    <x v="0"/>
  </r>
  <r>
    <x v="2"/>
    <n v="0.64"/>
    <m/>
    <m/>
    <m/>
    <m/>
    <m/>
    <m/>
    <m/>
    <m/>
    <m/>
    <m/>
    <m/>
    <x v="2"/>
    <x v="0"/>
    <n v="0"/>
    <n v="0"/>
    <n v="0"/>
    <n v="0"/>
    <n v="0"/>
    <n v="0"/>
    <n v="0"/>
    <n v="0"/>
    <n v="0"/>
    <n v="0"/>
    <x v="0"/>
  </r>
  <r>
    <x v="3"/>
    <n v="0.63"/>
    <m/>
    <m/>
    <m/>
    <m/>
    <m/>
    <m/>
    <m/>
    <m/>
    <m/>
    <m/>
    <m/>
    <x v="3"/>
    <x v="0"/>
    <n v="0"/>
    <n v="0"/>
    <n v="0"/>
    <n v="0"/>
    <n v="0"/>
    <n v="0"/>
    <n v="0"/>
    <n v="0"/>
    <n v="0"/>
    <n v="0"/>
    <x v="0"/>
  </r>
  <r>
    <x v="4"/>
    <n v="0.57999999999999996"/>
    <m/>
    <m/>
    <m/>
    <m/>
    <m/>
    <m/>
    <m/>
    <m/>
    <m/>
    <m/>
    <m/>
    <x v="4"/>
    <x v="0"/>
    <n v="0"/>
    <n v="0"/>
    <n v="0"/>
    <n v="0"/>
    <n v="0"/>
    <n v="0"/>
    <n v="0"/>
    <n v="0"/>
    <n v="0"/>
    <n v="0"/>
    <x v="0"/>
  </r>
  <r>
    <x v="5"/>
    <n v="0.56000000000000005"/>
    <m/>
    <m/>
    <m/>
    <m/>
    <m/>
    <m/>
    <m/>
    <m/>
    <m/>
    <m/>
    <m/>
    <x v="5"/>
    <x v="0"/>
    <n v="0"/>
    <n v="0"/>
    <n v="0"/>
    <n v="0"/>
    <n v="0"/>
    <n v="0"/>
    <n v="0"/>
    <n v="0"/>
    <n v="0"/>
    <n v="0"/>
    <x v="0"/>
  </r>
  <r>
    <x v="6"/>
    <m/>
    <m/>
    <m/>
    <m/>
    <m/>
    <m/>
    <m/>
    <m/>
    <m/>
    <m/>
    <m/>
    <m/>
    <x v="6"/>
    <x v="0"/>
    <n v="0"/>
    <n v="0"/>
    <n v="0"/>
    <n v="0"/>
    <n v="0"/>
    <n v="0"/>
    <n v="0"/>
    <n v="0"/>
    <n v="0"/>
    <n v="0"/>
    <x v="0"/>
  </r>
  <r>
    <x v="7"/>
    <m/>
    <m/>
    <m/>
    <m/>
    <m/>
    <m/>
    <m/>
    <m/>
    <m/>
    <m/>
    <m/>
    <m/>
    <x v="6"/>
    <x v="0"/>
    <n v="0"/>
    <n v="0"/>
    <n v="0"/>
    <n v="0"/>
    <n v="0"/>
    <n v="0"/>
    <n v="0"/>
    <n v="0"/>
    <n v="0"/>
    <n v="0"/>
    <x v="0"/>
  </r>
  <r>
    <x v="8"/>
    <m/>
    <m/>
    <m/>
    <n v="0.55000000000000004"/>
    <m/>
    <m/>
    <m/>
    <m/>
    <m/>
    <m/>
    <m/>
    <m/>
    <x v="6"/>
    <x v="0"/>
    <n v="0"/>
    <n v="1"/>
    <n v="0"/>
    <n v="0"/>
    <n v="0"/>
    <n v="0"/>
    <n v="0"/>
    <n v="0"/>
    <n v="0"/>
    <n v="0"/>
    <x v="0"/>
  </r>
  <r>
    <x v="9"/>
    <m/>
    <m/>
    <m/>
    <n v="0.64"/>
    <m/>
    <m/>
    <m/>
    <m/>
    <m/>
    <m/>
    <m/>
    <m/>
    <x v="6"/>
    <x v="0"/>
    <n v="0"/>
    <n v="2"/>
    <n v="0"/>
    <n v="0"/>
    <n v="0"/>
    <n v="0"/>
    <n v="0"/>
    <n v="0"/>
    <n v="0"/>
    <n v="0"/>
    <x v="0"/>
  </r>
  <r>
    <x v="10"/>
    <m/>
    <n v="0.75"/>
    <m/>
    <m/>
    <m/>
    <m/>
    <m/>
    <m/>
    <m/>
    <m/>
    <m/>
    <m/>
    <x v="6"/>
    <x v="1"/>
    <n v="0"/>
    <n v="0"/>
    <n v="0"/>
    <n v="0"/>
    <n v="0"/>
    <n v="0"/>
    <n v="0"/>
    <n v="0"/>
    <n v="0"/>
    <n v="0"/>
    <x v="0"/>
  </r>
  <r>
    <x v="11"/>
    <m/>
    <n v="0.75"/>
    <m/>
    <m/>
    <m/>
    <m/>
    <m/>
    <m/>
    <m/>
    <m/>
    <m/>
    <m/>
    <x v="6"/>
    <x v="2"/>
    <n v="0"/>
    <n v="0"/>
    <n v="0"/>
    <n v="0"/>
    <n v="0"/>
    <n v="0"/>
    <n v="0"/>
    <n v="0"/>
    <n v="0"/>
    <n v="0"/>
    <x v="0"/>
  </r>
  <r>
    <x v="12"/>
    <m/>
    <m/>
    <m/>
    <m/>
    <m/>
    <m/>
    <m/>
    <m/>
    <m/>
    <m/>
    <m/>
    <m/>
    <x v="6"/>
    <x v="0"/>
    <n v="0"/>
    <n v="0"/>
    <n v="0"/>
    <n v="0"/>
    <n v="0"/>
    <n v="0"/>
    <n v="0"/>
    <n v="0"/>
    <n v="0"/>
    <n v="0"/>
    <x v="0"/>
  </r>
  <r>
    <x v="13"/>
    <m/>
    <m/>
    <m/>
    <m/>
    <m/>
    <m/>
    <m/>
    <m/>
    <m/>
    <m/>
    <m/>
    <m/>
    <x v="6"/>
    <x v="0"/>
    <n v="0"/>
    <n v="0"/>
    <n v="0"/>
    <n v="0"/>
    <n v="0"/>
    <n v="0"/>
    <n v="0"/>
    <n v="0"/>
    <n v="0"/>
    <n v="0"/>
    <x v="0"/>
  </r>
  <r>
    <x v="14"/>
    <m/>
    <n v="0.63"/>
    <m/>
    <m/>
    <m/>
    <m/>
    <m/>
    <m/>
    <m/>
    <m/>
    <m/>
    <m/>
    <x v="6"/>
    <x v="3"/>
    <n v="0"/>
    <n v="0"/>
    <n v="0"/>
    <n v="0"/>
    <n v="0"/>
    <n v="0"/>
    <n v="0"/>
    <n v="0"/>
    <n v="0"/>
    <n v="0"/>
    <x v="0"/>
  </r>
  <r>
    <x v="15"/>
    <m/>
    <m/>
    <m/>
    <n v="0.62"/>
    <m/>
    <m/>
    <m/>
    <m/>
    <m/>
    <m/>
    <m/>
    <m/>
    <x v="6"/>
    <x v="0"/>
    <n v="0"/>
    <n v="3"/>
    <n v="0"/>
    <n v="0"/>
    <n v="0"/>
    <n v="0"/>
    <n v="0"/>
    <n v="0"/>
    <n v="0"/>
    <n v="0"/>
    <x v="0"/>
  </r>
  <r>
    <x v="16"/>
    <m/>
    <m/>
    <m/>
    <n v="0.74"/>
    <m/>
    <m/>
    <m/>
    <m/>
    <m/>
    <m/>
    <m/>
    <m/>
    <x v="6"/>
    <x v="0"/>
    <n v="0"/>
    <n v="4"/>
    <n v="0"/>
    <n v="0"/>
    <n v="0"/>
    <n v="0"/>
    <n v="0"/>
    <n v="0"/>
    <n v="0"/>
    <n v="0"/>
    <x v="0"/>
  </r>
  <r>
    <x v="17"/>
    <m/>
    <m/>
    <m/>
    <m/>
    <n v="0.63"/>
    <m/>
    <m/>
    <m/>
    <m/>
    <m/>
    <m/>
    <m/>
    <x v="6"/>
    <x v="0"/>
    <n v="0"/>
    <n v="0"/>
    <n v="1"/>
    <n v="0"/>
    <n v="0"/>
    <n v="0"/>
    <n v="0"/>
    <n v="0"/>
    <n v="0"/>
    <n v="0"/>
    <x v="0"/>
  </r>
  <r>
    <x v="18"/>
    <m/>
    <m/>
    <m/>
    <m/>
    <m/>
    <m/>
    <m/>
    <m/>
    <m/>
    <m/>
    <m/>
    <n v="0.77"/>
    <x v="6"/>
    <x v="0"/>
    <n v="0"/>
    <n v="0"/>
    <n v="0"/>
    <n v="0"/>
    <n v="0"/>
    <n v="0"/>
    <n v="0"/>
    <n v="0"/>
    <n v="0"/>
    <n v="1"/>
    <x v="0"/>
  </r>
  <r>
    <x v="19"/>
    <m/>
    <m/>
    <m/>
    <m/>
    <m/>
    <n v="0.88"/>
    <m/>
    <m/>
    <m/>
    <m/>
    <m/>
    <m/>
    <x v="6"/>
    <x v="0"/>
    <n v="0"/>
    <n v="0"/>
    <n v="0"/>
    <n v="1"/>
    <n v="0"/>
    <n v="0"/>
    <n v="0"/>
    <n v="0"/>
    <n v="0"/>
    <n v="0"/>
    <x v="0"/>
  </r>
  <r>
    <x v="20"/>
    <m/>
    <m/>
    <n v="0.72"/>
    <m/>
    <m/>
    <m/>
    <m/>
    <m/>
    <m/>
    <m/>
    <m/>
    <m/>
    <x v="6"/>
    <x v="0"/>
    <n v="1"/>
    <n v="0"/>
    <n v="0"/>
    <n v="0"/>
    <n v="0"/>
    <n v="0"/>
    <n v="0"/>
    <n v="0"/>
    <n v="0"/>
    <n v="0"/>
    <x v="0"/>
  </r>
  <r>
    <x v="21"/>
    <m/>
    <m/>
    <n v="0.56999999999999995"/>
    <m/>
    <m/>
    <m/>
    <m/>
    <m/>
    <m/>
    <m/>
    <m/>
    <m/>
    <x v="6"/>
    <x v="0"/>
    <n v="2"/>
    <n v="0"/>
    <n v="0"/>
    <n v="0"/>
    <n v="0"/>
    <n v="0"/>
    <n v="0"/>
    <n v="0"/>
    <n v="0"/>
    <n v="0"/>
    <x v="0"/>
  </r>
  <r>
    <x v="22"/>
    <m/>
    <m/>
    <m/>
    <m/>
    <m/>
    <m/>
    <m/>
    <m/>
    <m/>
    <m/>
    <n v="0.9"/>
    <m/>
    <x v="6"/>
    <x v="0"/>
    <n v="0"/>
    <n v="0"/>
    <n v="0"/>
    <n v="0"/>
    <n v="0"/>
    <n v="0"/>
    <n v="0"/>
    <n v="0"/>
    <n v="1"/>
    <n v="0"/>
    <x v="0"/>
  </r>
  <r>
    <x v="23"/>
    <m/>
    <m/>
    <m/>
    <m/>
    <m/>
    <m/>
    <m/>
    <m/>
    <m/>
    <n v="0.94"/>
    <m/>
    <m/>
    <x v="6"/>
    <x v="0"/>
    <n v="0"/>
    <n v="0"/>
    <n v="0"/>
    <n v="0"/>
    <n v="0"/>
    <n v="0"/>
    <n v="0"/>
    <n v="1"/>
    <n v="0"/>
    <n v="0"/>
    <x v="0"/>
  </r>
  <r>
    <x v="24"/>
    <m/>
    <m/>
    <m/>
    <m/>
    <m/>
    <m/>
    <n v="0.84"/>
    <m/>
    <m/>
    <m/>
    <m/>
    <m/>
    <x v="6"/>
    <x v="0"/>
    <n v="0"/>
    <n v="0"/>
    <n v="0"/>
    <n v="0"/>
    <n v="1"/>
    <n v="0"/>
    <n v="0"/>
    <n v="0"/>
    <n v="0"/>
    <n v="0"/>
    <x v="0"/>
  </r>
  <r>
    <x v="25"/>
    <m/>
    <m/>
    <n v="0.83"/>
    <m/>
    <m/>
    <m/>
    <m/>
    <m/>
    <m/>
    <m/>
    <m/>
    <m/>
    <x v="6"/>
    <x v="0"/>
    <n v="3"/>
    <n v="0"/>
    <n v="0"/>
    <n v="0"/>
    <n v="0"/>
    <n v="0"/>
    <n v="0"/>
    <n v="0"/>
    <n v="0"/>
    <n v="0"/>
    <x v="0"/>
  </r>
  <r>
    <x v="26"/>
    <m/>
    <m/>
    <m/>
    <m/>
    <m/>
    <m/>
    <m/>
    <m/>
    <n v="0.95"/>
    <m/>
    <m/>
    <m/>
    <x v="6"/>
    <x v="0"/>
    <n v="0"/>
    <n v="0"/>
    <n v="0"/>
    <n v="0"/>
    <n v="0"/>
    <n v="0"/>
    <n v="1"/>
    <n v="0"/>
    <n v="0"/>
    <n v="0"/>
    <x v="0"/>
  </r>
  <r>
    <x v="27"/>
    <m/>
    <m/>
    <m/>
    <m/>
    <n v="0.83"/>
    <m/>
    <m/>
    <m/>
    <m/>
    <m/>
    <m/>
    <m/>
    <x v="6"/>
    <x v="0"/>
    <n v="0"/>
    <n v="0"/>
    <n v="2"/>
    <n v="0"/>
    <n v="0"/>
    <n v="0"/>
    <n v="0"/>
    <n v="0"/>
    <n v="0"/>
    <n v="0"/>
    <x v="0"/>
  </r>
  <r>
    <x v="28"/>
    <m/>
    <m/>
    <m/>
    <m/>
    <m/>
    <m/>
    <m/>
    <n v="0.92"/>
    <m/>
    <m/>
    <m/>
    <m/>
    <x v="6"/>
    <x v="0"/>
    <n v="0"/>
    <n v="0"/>
    <n v="0"/>
    <n v="0"/>
    <n v="0"/>
    <n v="1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N33" firstHeaderRow="0" firstDataRow="1" firstDataCol="2"/>
  <pivotFields count="26">
    <pivotField axis="axisRow" compact="0" outline="0" subtotalTop="0" showAll="0">
      <items count="30">
        <item x="23"/>
        <item x="27"/>
        <item x="8"/>
        <item x="24"/>
        <item x="12"/>
        <item x="15"/>
        <item x="16"/>
        <item x="26"/>
        <item x="9"/>
        <item x="28"/>
        <item x="19"/>
        <item x="17"/>
        <item x="10"/>
        <item x="11"/>
        <item x="14"/>
        <item x="3"/>
        <item x="5"/>
        <item x="20"/>
        <item x="25"/>
        <item x="2"/>
        <item x="21"/>
        <item x="7"/>
        <item x="4"/>
        <item x="18"/>
        <item x="13"/>
        <item x="6"/>
        <item x="0"/>
        <item x="1"/>
        <item x="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8">
        <item x="6"/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5"/>
    <field x="0"/>
  </rowFields>
  <rowItems count="3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RANKComp.1" fld="13" baseField="0" baseItem="0"/>
    <dataField name="Sum of RANKComp.2" fld="14" baseField="0" baseItem="0"/>
    <dataField name="Sum of RANKComp.3" fld="15" baseField="0" baseItem="0"/>
    <dataField name="Sum of RANKComp.4" fld="16" baseField="0" baseItem="0"/>
    <dataField name="Sum of RANKComp.5" fld="17" baseField="0" baseItem="0"/>
    <dataField name="Sum of RANKComp.6" fld="18" baseField="0" baseItem="0"/>
    <dataField name="Sum of RANKComp.7" fld="19" baseField="0" baseItem="0"/>
    <dataField name="Sum of RANKComp.8" fld="20" baseField="0" baseItem="0"/>
    <dataField name="Sum of RANKComp.9" fld="21" baseField="0" baseItem="0"/>
    <dataField name="Sum of RANKComp.10" fld="22" baseField="0" baseItem="0"/>
    <dataField name="Sum of RANKComp.11" fld="23" baseField="0" baseItem="0"/>
    <dataField name="Sum of RANKComp.12" fld="24" baseField="0" baseItem="0"/>
  </dataFields>
  <conditionalFormats count="1">
    <conditionalFormat priority="1">
      <pivotAreas count="2">
        <pivotArea type="data" collapsedLevelsAreSubtotals="1" fieldPosition="0">
          <references count="2">
            <reference field="0" count="2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  <reference field="25" count="1" selected="0">
              <x v="0"/>
            </reference>
          </references>
        </pivotArea>
        <pivotArea type="data" grandRow="1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1" sqref="B1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  <c r="B6" t="s">
        <v>5</v>
      </c>
    </row>
    <row r="7" spans="1:2" x14ac:dyDescent="0.3">
      <c r="A7">
        <v>7</v>
      </c>
      <c r="B7" t="s">
        <v>6</v>
      </c>
    </row>
    <row r="8" spans="1:2" x14ac:dyDescent="0.3">
      <c r="A8">
        <v>8</v>
      </c>
      <c r="B8" t="s">
        <v>7</v>
      </c>
    </row>
    <row r="9" spans="1:2" x14ac:dyDescent="0.3">
      <c r="A9">
        <v>9</v>
      </c>
      <c r="B9" t="s">
        <v>8</v>
      </c>
    </row>
    <row r="10" spans="1:2" x14ac:dyDescent="0.3">
      <c r="A10">
        <v>10</v>
      </c>
      <c r="B10" t="s">
        <v>9</v>
      </c>
    </row>
    <row r="11" spans="1:2" x14ac:dyDescent="0.3">
      <c r="A11">
        <v>11</v>
      </c>
      <c r="B11" t="s">
        <v>10</v>
      </c>
    </row>
    <row r="12" spans="1:2" x14ac:dyDescent="0.3">
      <c r="A12">
        <v>12</v>
      </c>
      <c r="B12" t="s">
        <v>11</v>
      </c>
    </row>
    <row r="13" spans="1:2" x14ac:dyDescent="0.3">
      <c r="A13">
        <v>13</v>
      </c>
      <c r="B13" t="s">
        <v>13</v>
      </c>
    </row>
    <row r="14" spans="1:2" x14ac:dyDescent="0.3">
      <c r="A14">
        <v>14</v>
      </c>
      <c r="B14" t="s">
        <v>12</v>
      </c>
    </row>
    <row r="15" spans="1:2" x14ac:dyDescent="0.3">
      <c r="A15">
        <v>15</v>
      </c>
      <c r="B15" t="s">
        <v>14</v>
      </c>
    </row>
    <row r="16" spans="1:2" x14ac:dyDescent="0.3">
      <c r="A16">
        <v>16</v>
      </c>
      <c r="B16" t="s">
        <v>15</v>
      </c>
    </row>
    <row r="17" spans="1:2" x14ac:dyDescent="0.3">
      <c r="A17">
        <v>17</v>
      </c>
      <c r="B17" t="s">
        <v>16</v>
      </c>
    </row>
    <row r="18" spans="1:2" x14ac:dyDescent="0.3">
      <c r="A18">
        <v>18</v>
      </c>
      <c r="B18" t="s">
        <v>17</v>
      </c>
    </row>
    <row r="19" spans="1:2" x14ac:dyDescent="0.3">
      <c r="A19">
        <v>19</v>
      </c>
      <c r="B19" t="s">
        <v>18</v>
      </c>
    </row>
    <row r="20" spans="1:2" x14ac:dyDescent="0.3">
      <c r="A20">
        <v>20</v>
      </c>
      <c r="B20" t="s">
        <v>19</v>
      </c>
    </row>
    <row r="21" spans="1:2" x14ac:dyDescent="0.3">
      <c r="A21">
        <v>21</v>
      </c>
      <c r="B21" t="s">
        <v>20</v>
      </c>
    </row>
    <row r="22" spans="1:2" x14ac:dyDescent="0.3">
      <c r="A22">
        <v>22</v>
      </c>
      <c r="B22" t="s">
        <v>21</v>
      </c>
    </row>
    <row r="23" spans="1:2" x14ac:dyDescent="0.3">
      <c r="A23">
        <v>23</v>
      </c>
      <c r="B23" t="s">
        <v>22</v>
      </c>
    </row>
    <row r="24" spans="1:2" x14ac:dyDescent="0.3">
      <c r="A24">
        <v>24</v>
      </c>
      <c r="B24" t="s">
        <v>23</v>
      </c>
    </row>
    <row r="25" spans="1:2" x14ac:dyDescent="0.3">
      <c r="A25">
        <v>25</v>
      </c>
      <c r="B25" t="s">
        <v>24</v>
      </c>
    </row>
    <row r="26" spans="1:2" x14ac:dyDescent="0.3">
      <c r="A26">
        <v>26</v>
      </c>
      <c r="B26" t="s">
        <v>25</v>
      </c>
    </row>
    <row r="27" spans="1:2" x14ac:dyDescent="0.3">
      <c r="A27">
        <v>27</v>
      </c>
      <c r="B27" t="s">
        <v>26</v>
      </c>
    </row>
    <row r="28" spans="1:2" x14ac:dyDescent="0.3">
      <c r="A28">
        <v>28</v>
      </c>
      <c r="B28" t="s">
        <v>27</v>
      </c>
    </row>
    <row r="29" spans="1:2" x14ac:dyDescent="0.3">
      <c r="A29">
        <v>29</v>
      </c>
      <c r="B2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opLeftCell="A4" workbookViewId="0">
      <selection activeCell="B48" sqref="B48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31</v>
      </c>
    </row>
    <row r="2" spans="1:2" x14ac:dyDescent="0.3">
      <c r="A2">
        <v>9</v>
      </c>
      <c r="B2" t="str">
        <f>+VLOOKUP(A2,List!$A$1:$B$29,2,FALSE)</f>
        <v>I see my boat as status symbol</v>
      </c>
    </row>
    <row r="3" spans="1:2" x14ac:dyDescent="0.3">
      <c r="A3">
        <v>26</v>
      </c>
      <c r="B3" t="str">
        <f>+VLOOKUP(A3,List!$A$1:$B$29,2,FALSE)</f>
        <v>Having a powerful boat is what is most important to me</v>
      </c>
    </row>
    <row r="4" spans="1:2" x14ac:dyDescent="0.3">
      <c r="A4">
        <v>3</v>
      </c>
      <c r="B4" t="str">
        <f>+VLOOKUP(A4,List!$A$1:$B$29,2,FALSE)</f>
        <v>The brand of the boat I buy says a lot about who I am</v>
      </c>
    </row>
    <row r="5" spans="1:2" x14ac:dyDescent="0.3">
      <c r="A5">
        <v>13</v>
      </c>
      <c r="B5" t="str">
        <f>+VLOOKUP(A5,List!$A$1:$B$29,2,FALSE)</f>
        <v>When buying a boat, I tend to buy the latest and greatest</v>
      </c>
    </row>
    <row r="6" spans="1:2" x14ac:dyDescent="0.3">
      <c r="A6">
        <v>27</v>
      </c>
      <c r="B6" t="str">
        <f>+VLOOKUP(A6,List!$A$1:$B$29,2,FALSE)</f>
        <v>Boating is the number one thing I do with my spare time</v>
      </c>
    </row>
    <row r="7" spans="1:2" x14ac:dyDescent="0.3">
      <c r="A7">
        <v>28</v>
      </c>
      <c r="B7" t="str">
        <f>+VLOOKUP(A7,List!$A$1:$B$29,2,FALSE)</f>
        <v>Boating is my true passion in life</v>
      </c>
    </row>
    <row r="8" spans="1:2" x14ac:dyDescent="0.3">
      <c r="A8">
        <v>14</v>
      </c>
      <c r="B8" t="str">
        <f>+VLOOKUP(A8,List!$A$1:$B$29,2,FALSE)</f>
        <v>When buying accessories for my boat, I tend to buy the latest and greatest</v>
      </c>
    </row>
    <row r="9" spans="1:2" x14ac:dyDescent="0.3">
      <c r="A9">
        <v>16</v>
      </c>
      <c r="B9" t="str">
        <f>+VLOOKUP(A9,List!$A$1:$B$29,2,FALSE)</f>
        <v>People tend to come to me for advice about boating</v>
      </c>
    </row>
    <row r="10" spans="1:2" x14ac:dyDescent="0.3">
      <c r="A10">
        <v>7</v>
      </c>
      <c r="B10" t="str">
        <f>+VLOOKUP(A10,List!$A$1:$B$29,2,FALSE)</f>
        <v>Owning a boat gives me a sense of achievement</v>
      </c>
    </row>
    <row r="11" spans="1:2" x14ac:dyDescent="0.3">
      <c r="A11">
        <v>17</v>
      </c>
      <c r="B11" t="str">
        <f>+VLOOKUP(A11,List!$A$1:$B$29,2,FALSE)</f>
        <v>I consider myself more knowledgeable about boating than the rest of my boating peers</v>
      </c>
    </row>
    <row r="12" spans="1:2" x14ac:dyDescent="0.3">
      <c r="A12">
        <v>20</v>
      </c>
      <c r="B12" t="str">
        <f>+VLOOKUP(A12,List!$A$1:$B$29,2,FALSE)</f>
        <v>When not on my boat, I often find myself doing boating related activities</v>
      </c>
    </row>
    <row r="15" spans="1:2" x14ac:dyDescent="0.3">
      <c r="B15" s="1" t="s">
        <v>32</v>
      </c>
    </row>
    <row r="16" spans="1:2" x14ac:dyDescent="0.3">
      <c r="A16">
        <v>7</v>
      </c>
      <c r="B16" t="str">
        <f>+VLOOKUP(A16,List!$A$1:$B$29,2,FALSE)</f>
        <v>Owning a boat gives me a sense of achievement</v>
      </c>
    </row>
    <row r="17" spans="1:2" x14ac:dyDescent="0.3">
      <c r="A17">
        <v>6</v>
      </c>
      <c r="B17" t="str">
        <f>+VLOOKUP(A17,List!$A$1:$B$29,2,FALSE)</f>
        <v>Owning a boat is a way of rewarding myself for hard work</v>
      </c>
    </row>
    <row r="18" spans="1:2" x14ac:dyDescent="0.3">
      <c r="A18">
        <v>22</v>
      </c>
      <c r="B18" t="str">
        <f>+VLOOKUP(A18,List!$A$1:$B$29,2,FALSE)</f>
        <v>Boating helps me stay active</v>
      </c>
    </row>
    <row r="19" spans="1:2" x14ac:dyDescent="0.3">
      <c r="A19">
        <v>18</v>
      </c>
      <c r="B19" t="str">
        <f>+VLOOKUP(A19,List!$A$1:$B$29,2,FALSE)</f>
        <v>Boating gives me a feeling of adventure</v>
      </c>
    </row>
    <row r="20" spans="1:2" x14ac:dyDescent="0.3">
      <c r="A20">
        <v>24</v>
      </c>
      <c r="B20" t="str">
        <f>+VLOOKUP(A20,List!$A$1:$B$29,2,FALSE)</f>
        <v>Boating gives me an outlet to socialize with family/friends</v>
      </c>
    </row>
    <row r="21" spans="1:2" x14ac:dyDescent="0.3">
      <c r="A21">
        <v>21</v>
      </c>
      <c r="B21" t="str">
        <f>+VLOOKUP(A21,List!$A$1:$B$29,2,FALSE)</f>
        <v>Boating helps me escape from everyday life and relax</v>
      </c>
    </row>
    <row r="22" spans="1:2" x14ac:dyDescent="0.3">
      <c r="A22">
        <v>19</v>
      </c>
      <c r="B22" t="str">
        <f>+VLOOKUP(A22,List!$A$1:$B$29,2,FALSE)</f>
        <v>Boating allows me to experience nature</v>
      </c>
    </row>
    <row r="25" spans="1:2" x14ac:dyDescent="0.3">
      <c r="B25" s="1" t="s">
        <v>33</v>
      </c>
    </row>
    <row r="26" spans="1:2" x14ac:dyDescent="0.3">
      <c r="A26">
        <v>5</v>
      </c>
      <c r="B26" t="str">
        <f>+VLOOKUP(A26,List!$A$1:$B$29,2,FALSE)</f>
        <v>I am willing to pay a premium for a brand with a reputation for high quality</v>
      </c>
    </row>
    <row r="27" spans="1:2" x14ac:dyDescent="0.3">
      <c r="A27">
        <v>15</v>
      </c>
      <c r="B27" t="str">
        <f>+VLOOKUP(A27,List!$A$1:$B$29,2,FALSE)</f>
        <v>I am serious about the technology on my boat</v>
      </c>
    </row>
    <row r="28" spans="1:2" x14ac:dyDescent="0.3">
      <c r="A28">
        <v>4</v>
      </c>
      <c r="B28" t="str">
        <f>+VLOOKUP(A28,List!$A$1:$B$29,2,FALSE)</f>
        <v>I only consider buying a boat from a reputable brand</v>
      </c>
    </row>
    <row r="31" spans="1:2" x14ac:dyDescent="0.3">
      <c r="B31" s="1" t="s">
        <v>29</v>
      </c>
    </row>
    <row r="32" spans="1:2" x14ac:dyDescent="0.3">
      <c r="A32">
        <v>16</v>
      </c>
      <c r="B32" t="str">
        <f>+VLOOKUP(A32,List!$A$1:$B$29,2,FALSE)</f>
        <v>People tend to come to me for advice about boating</v>
      </c>
    </row>
    <row r="33" spans="1:2" x14ac:dyDescent="0.3">
      <c r="A33">
        <v>17</v>
      </c>
      <c r="B33" t="str">
        <f>+VLOOKUP(A33,List!$A$1:$B$29,2,FALSE)</f>
        <v>I consider myself more knowledgeable about boating than the rest of my boating peers</v>
      </c>
    </row>
    <row r="34" spans="1:2" x14ac:dyDescent="0.3">
      <c r="A34">
        <v>11</v>
      </c>
      <c r="B34" t="str">
        <f>+VLOOKUP(A34,List!$A$1:$B$29,2,FALSE)</f>
        <v>I tend to perform minor boat repairs and maintenance on my own</v>
      </c>
    </row>
    <row r="37" spans="1:2" x14ac:dyDescent="0.3">
      <c r="B37" s="1" t="s">
        <v>30</v>
      </c>
    </row>
    <row r="38" spans="1:2" x14ac:dyDescent="0.3">
      <c r="A38">
        <v>2</v>
      </c>
      <c r="B38" t="str">
        <f>+VLOOKUP(A38,List!$A$1:$B$29,2,FALSE)</f>
        <v>When buying a bot, getting the lowest P is more important than brand</v>
      </c>
    </row>
    <row r="39" spans="1:2" x14ac:dyDescent="0.3">
      <c r="A39">
        <v>12</v>
      </c>
      <c r="B39" t="str">
        <f>+VLOOKUP(A39,List!$A$1:$B$29,2,FALSE)</f>
        <v>When it comes to boating, I tend to prefer a basic boat with little to no frills</v>
      </c>
    </row>
    <row r="40" spans="1:2" x14ac:dyDescent="0.3">
      <c r="A40">
        <v>8</v>
      </c>
      <c r="B40" t="str">
        <f>+VLOOKUP(A40,List!$A$1:$B$29,2,FALSE)</f>
        <v>When buying a boat, functionality is more important than style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16" workbookViewId="0">
      <selection activeCell="B22" sqref="B22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34</v>
      </c>
    </row>
    <row r="2" spans="1:2" x14ac:dyDescent="0.3">
      <c r="A2">
        <v>28</v>
      </c>
      <c r="B2" t="str">
        <f>+VLOOKUP(A2,List!$A$1:$B$29,2,FALSE)</f>
        <v>Boating is my true passion in life</v>
      </c>
    </row>
    <row r="3" spans="1:2" x14ac:dyDescent="0.3">
      <c r="A3">
        <v>14</v>
      </c>
      <c r="B3" t="str">
        <f>+VLOOKUP(A3,List!$A$1:$B$29,2,FALSE)</f>
        <v>When buying accessories for my boat, I tend to buy the latest and greatest</v>
      </c>
    </row>
    <row r="4" spans="1:2" x14ac:dyDescent="0.3">
      <c r="A4">
        <v>20</v>
      </c>
      <c r="B4" t="str">
        <f>+VLOOKUP(A4,List!$A$1:$B$29,2,FALSE)</f>
        <v>When not on my boat, I often find myself doing boating related activities</v>
      </c>
    </row>
    <row r="5" spans="1:2" x14ac:dyDescent="0.3">
      <c r="A5">
        <v>27</v>
      </c>
      <c r="B5" t="str">
        <f>+VLOOKUP(A5,List!$A$1:$B$29,2,FALSE)</f>
        <v>Boating is the number one thing I do with my spare time</v>
      </c>
    </row>
    <row r="6" spans="1:2" x14ac:dyDescent="0.3">
      <c r="A6">
        <v>3</v>
      </c>
      <c r="B6" t="str">
        <f>+VLOOKUP(A6,List!$A$1:$B$29,2,FALSE)</f>
        <v>The brand of the boat I buy says a lot about who I am</v>
      </c>
    </row>
    <row r="7" spans="1:2" x14ac:dyDescent="0.3">
      <c r="A7">
        <v>7</v>
      </c>
      <c r="B7" t="str">
        <f>+VLOOKUP(A7,List!$A$1:$B$29,2,FALSE)</f>
        <v>Owning a boat gives me a sense of achievement</v>
      </c>
    </row>
    <row r="8" spans="1:2" x14ac:dyDescent="0.3">
      <c r="A8">
        <v>15</v>
      </c>
      <c r="B8" t="str">
        <f>+VLOOKUP(A8,List!$A$1:$B$29,2,FALSE)</f>
        <v>I am serious about the technology on my boat</v>
      </c>
    </row>
    <row r="9" spans="1:2" x14ac:dyDescent="0.3">
      <c r="A9">
        <v>16</v>
      </c>
      <c r="B9" t="str">
        <f>+VLOOKUP(A9,List!$A$1:$B$29,2,FALSE)</f>
        <v>People tend to come to me for advice about boating</v>
      </c>
    </row>
    <row r="10" spans="1:2" x14ac:dyDescent="0.3">
      <c r="A10">
        <v>13</v>
      </c>
      <c r="B10" t="str">
        <f>+VLOOKUP(A10,List!$A$1:$B$29,2,FALSE)</f>
        <v>When buying a boat, I tend to buy the latest and greatest</v>
      </c>
    </row>
    <row r="11" spans="1:2" x14ac:dyDescent="0.3">
      <c r="A11">
        <v>25</v>
      </c>
      <c r="B11" t="str">
        <f>+VLOOKUP(A11,List!$A$1:$B$29,2,FALSE)</f>
        <v>Being in charge of my boat is what is most important to me</v>
      </c>
    </row>
    <row r="12" spans="1:2" x14ac:dyDescent="0.3">
      <c r="A12">
        <v>6</v>
      </c>
      <c r="B12" t="str">
        <f>+VLOOKUP(A12,List!$A$1:$B$29,2,FALSE)</f>
        <v>Owning a boat is a way of rewarding myself for hard work</v>
      </c>
    </row>
    <row r="13" spans="1:2" x14ac:dyDescent="0.3">
      <c r="A13">
        <v>26</v>
      </c>
      <c r="B13" t="str">
        <f>+VLOOKUP(A13,List!$A$1:$B$29,2,FALSE)</f>
        <v>Having a powerful boat is what is most important to me</v>
      </c>
    </row>
    <row r="14" spans="1:2" x14ac:dyDescent="0.3">
      <c r="A14">
        <v>9</v>
      </c>
      <c r="B14" t="str">
        <f>+VLOOKUP(A14,List!$A$1:$B$29,2,FALSE)</f>
        <v>I see my boat as status symbol</v>
      </c>
    </row>
    <row r="15" spans="1:2" x14ac:dyDescent="0.3">
      <c r="A15">
        <v>17</v>
      </c>
      <c r="B15" t="str">
        <f>+VLOOKUP(A15,List!$A$1:$B$29,2,FALSE)</f>
        <v>I consider myself more knowledgeable about boating than the rest of my boating peers</v>
      </c>
    </row>
    <row r="16" spans="1:2" x14ac:dyDescent="0.3">
      <c r="A16">
        <v>22</v>
      </c>
      <c r="B16" t="str">
        <f>+VLOOKUP(A16,List!$A$1:$B$29,2,FALSE)</f>
        <v>Boating helps me stay active</v>
      </c>
    </row>
    <row r="17" spans="1:2" x14ac:dyDescent="0.3">
      <c r="A17">
        <v>23</v>
      </c>
      <c r="B17" t="str">
        <f>+VLOOKUP(A17,List!$A$1:$B$29,2,FALSE)</f>
        <v>Boating allows me to excel in the sports that I am passionate about</v>
      </c>
    </row>
    <row r="18" spans="1:2" x14ac:dyDescent="0.3">
      <c r="A18">
        <v>5</v>
      </c>
      <c r="B18" t="str">
        <f>+VLOOKUP(A18,List!$A$1:$B$29,2,FALSE)</f>
        <v>I am willing to pay a premium for a brand with a reputation for high quality</v>
      </c>
    </row>
    <row r="19" spans="1:2" x14ac:dyDescent="0.3">
      <c r="A19">
        <v>18</v>
      </c>
      <c r="B19" t="str">
        <f>+VLOOKUP(A19,List!$A$1:$B$29,2,FALSE)</f>
        <v>Boating gives me a feeling of adventure</v>
      </c>
    </row>
    <row r="22" spans="1:2" x14ac:dyDescent="0.3">
      <c r="B22" s="1" t="s">
        <v>32</v>
      </c>
    </row>
    <row r="23" spans="1:2" x14ac:dyDescent="0.3">
      <c r="A23">
        <v>21</v>
      </c>
      <c r="B23" t="str">
        <f>+VLOOKUP(A23,List!$A$1:$B$29,2,FALSE)</f>
        <v>Boating helps me escape from everyday life and relax</v>
      </c>
    </row>
    <row r="24" spans="1:2" x14ac:dyDescent="0.3">
      <c r="A24">
        <v>19</v>
      </c>
      <c r="B24" t="str">
        <f>+VLOOKUP(A24,List!$A$1:$B$29,2,FALSE)</f>
        <v>Boating allows me to experience nature</v>
      </c>
    </row>
    <row r="27" spans="1:2" x14ac:dyDescent="0.3">
      <c r="B27" s="1" t="s">
        <v>35</v>
      </c>
    </row>
    <row r="28" spans="1:2" x14ac:dyDescent="0.3">
      <c r="A28">
        <v>8</v>
      </c>
      <c r="B28" t="str">
        <f>+VLOOKUP(A28,List!$A$1:$B$29,2,FALSE)</f>
        <v>When buying a boat, functionality is more important than style</v>
      </c>
    </row>
    <row r="29" spans="1:2" x14ac:dyDescent="0.3">
      <c r="A29">
        <v>2</v>
      </c>
      <c r="B29" t="str">
        <f>+VLOOKUP(A29,List!$A$1:$B$29,2,FALSE)</f>
        <v>When buying a bot, getting the lowest P is more important than brand</v>
      </c>
    </row>
    <row r="30" spans="1:2" x14ac:dyDescent="0.3">
      <c r="A30">
        <v>12</v>
      </c>
      <c r="B30" t="str">
        <f>+VLOOKUP(A30,List!$A$1:$B$29,2,FALSE)</f>
        <v>When it comes to boating, I tend to prefer a basic boat with little to no frills</v>
      </c>
    </row>
    <row r="33" spans="1:2" x14ac:dyDescent="0.3">
      <c r="B33" s="1" t="s">
        <v>36</v>
      </c>
    </row>
    <row r="34" spans="1:2" x14ac:dyDescent="0.3">
      <c r="A34">
        <v>11</v>
      </c>
      <c r="B34" t="str">
        <f>+VLOOKUP(A34,List!$A$1:$B$29,2,FALSE)</f>
        <v>I tend to perform minor boat repairs and maintenance on my own</v>
      </c>
    </row>
    <row r="35" spans="1:2" x14ac:dyDescent="0.3">
      <c r="A35">
        <v>10</v>
      </c>
      <c r="B35" t="str">
        <f>+VLOOKUP(A35,List!$A$1:$B$29,2,FALSE)</f>
        <v>When buying a boat, I rely more on expert opinion than my own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16" sqref="B16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34</v>
      </c>
    </row>
    <row r="2" spans="1:2" x14ac:dyDescent="0.3">
      <c r="A2">
        <v>9</v>
      </c>
      <c r="B2" t="str">
        <f>+VLOOKUP(A2,List!$A$1:$B$29,2,FALSE)</f>
        <v>I see my boat as status symbol</v>
      </c>
    </row>
    <row r="3" spans="1:2" x14ac:dyDescent="0.3">
      <c r="A3">
        <v>26</v>
      </c>
      <c r="B3" t="str">
        <f>+VLOOKUP(A3,List!$A$1:$B$29,2,FALSE)</f>
        <v>Having a powerful boat is what is most important to me</v>
      </c>
    </row>
    <row r="4" spans="1:2" x14ac:dyDescent="0.3">
      <c r="A4">
        <v>3</v>
      </c>
      <c r="B4" t="str">
        <f>+VLOOKUP(A4,List!$A$1:$B$29,2,FALSE)</f>
        <v>The brand of the boat I buy says a lot about who I am</v>
      </c>
    </row>
    <row r="5" spans="1:2" x14ac:dyDescent="0.3">
      <c r="A5">
        <v>13</v>
      </c>
      <c r="B5" t="str">
        <f>+VLOOKUP(A5,List!$A$1:$B$29,2,FALSE)</f>
        <v>When buying a boat, I tend to buy the latest and greatest</v>
      </c>
    </row>
    <row r="6" spans="1:2" x14ac:dyDescent="0.3">
      <c r="A6">
        <v>27</v>
      </c>
      <c r="B6" t="str">
        <f>+VLOOKUP(A6,List!$A$1:$B$29,2,FALSE)</f>
        <v>Boating is the number one thing I do with my spare time</v>
      </c>
    </row>
    <row r="7" spans="1:2" x14ac:dyDescent="0.3">
      <c r="A7">
        <v>14</v>
      </c>
      <c r="B7" t="str">
        <f>+VLOOKUP(A7,List!$A$1:$B$29,2,FALSE)</f>
        <v>When buying accessories for my boat, I tend to buy the latest and greatest</v>
      </c>
    </row>
    <row r="8" spans="1:2" x14ac:dyDescent="0.3">
      <c r="A8">
        <v>28</v>
      </c>
      <c r="B8" t="str">
        <f>+VLOOKUP(A8,List!$A$1:$B$29,2,FALSE)</f>
        <v>Boating is my true passion in life</v>
      </c>
    </row>
    <row r="9" spans="1:2" x14ac:dyDescent="0.3">
      <c r="A9">
        <v>7</v>
      </c>
      <c r="B9" t="str">
        <f>+VLOOKUP(A9,List!$A$1:$B$29,2,FALSE)</f>
        <v>Owning a boat gives me a sense of achievement</v>
      </c>
    </row>
    <row r="12" spans="1:2" x14ac:dyDescent="0.3">
      <c r="B12" s="1" t="s">
        <v>32</v>
      </c>
    </row>
    <row r="13" spans="1:2" x14ac:dyDescent="0.3">
      <c r="A13">
        <v>7</v>
      </c>
      <c r="B13" t="str">
        <f>+VLOOKUP(A13,List!$A$1:$B$29,2,FALSE)</f>
        <v>Owning a boat gives me a sense of achievement</v>
      </c>
    </row>
    <row r="14" spans="1:2" x14ac:dyDescent="0.3">
      <c r="A14">
        <v>6</v>
      </c>
      <c r="B14" t="str">
        <f>+VLOOKUP(A14,List!$A$1:$B$29,2,FALSE)</f>
        <v>Owning a boat is a way of rewarding myself for hard work</v>
      </c>
    </row>
    <row r="15" spans="1:2" x14ac:dyDescent="0.3">
      <c r="A15">
        <v>22</v>
      </c>
      <c r="B15" t="str">
        <f>+VLOOKUP(A15,List!$A$1:$B$29,2,FALSE)</f>
        <v>Boating helps me stay active</v>
      </c>
    </row>
    <row r="16" spans="1:2" x14ac:dyDescent="0.3">
      <c r="A16">
        <v>24</v>
      </c>
      <c r="B16" t="str">
        <f>+VLOOKUP(A16,List!$A$1:$B$29,2,FALSE)</f>
        <v>Boating gives me an outlet to socialize with family/friends</v>
      </c>
    </row>
    <row r="17" spans="1:2" x14ac:dyDescent="0.3">
      <c r="A17">
        <v>18</v>
      </c>
      <c r="B17" t="str">
        <f>+VLOOKUP(A17,List!$A$1:$B$29,2,FALSE)</f>
        <v>Boating gives me a feeling of adventure</v>
      </c>
    </row>
    <row r="18" spans="1:2" x14ac:dyDescent="0.3">
      <c r="A18">
        <v>21</v>
      </c>
      <c r="B18" t="str">
        <f>+VLOOKUP(A18,List!$A$1:$B$29,2,FALSE)</f>
        <v>Boating helps me escape from everyday life and relax</v>
      </c>
    </row>
    <row r="19" spans="1:2" x14ac:dyDescent="0.3">
      <c r="A19">
        <v>19</v>
      </c>
      <c r="B19" t="str">
        <f>+VLOOKUP(A19,List!$A$1:$B$29,2,FALSE)</f>
        <v>Boating allows me to experience nature</v>
      </c>
    </row>
    <row r="22" spans="1:2" x14ac:dyDescent="0.3">
      <c r="B22" s="1" t="s">
        <v>37</v>
      </c>
    </row>
    <row r="23" spans="1:2" x14ac:dyDescent="0.3">
      <c r="A23">
        <v>16</v>
      </c>
      <c r="B23" t="str">
        <f>+VLOOKUP(A23,List!$A$1:$B$29,2,FALSE)</f>
        <v>People tend to come to me for advice about boating</v>
      </c>
    </row>
    <row r="24" spans="1:2" x14ac:dyDescent="0.3">
      <c r="A24">
        <v>17</v>
      </c>
      <c r="B24" t="str">
        <f>+VLOOKUP(A24,List!$A$1:$B$29,2,FALSE)</f>
        <v>I consider myself more knowledgeable about boating than the rest of my boating peers</v>
      </c>
    </row>
    <row r="25" spans="1:2" x14ac:dyDescent="0.3">
      <c r="A25">
        <v>10</v>
      </c>
      <c r="B25" t="str">
        <f>+VLOOKUP(A25,List!$A$1:$B$29,2,FALSE)</f>
        <v>When buying a boat, I rely more on expert opinion than my own</v>
      </c>
    </row>
    <row r="26" spans="1:2" x14ac:dyDescent="0.3">
      <c r="A26">
        <v>11</v>
      </c>
      <c r="B26" t="str">
        <f>+VLOOKUP(A26,List!$A$1:$B$29,2,FALSE)</f>
        <v>I tend to perform minor boat repairs and maintenance on my own</v>
      </c>
    </row>
    <row r="30" spans="1:2" x14ac:dyDescent="0.3">
      <c r="B30" s="1" t="s">
        <v>38</v>
      </c>
    </row>
    <row r="31" spans="1:2" x14ac:dyDescent="0.3">
      <c r="A31">
        <v>5</v>
      </c>
      <c r="B31" t="str">
        <f>+VLOOKUP(A31,List!$A$1:$B$29,2,FALSE)</f>
        <v>I am willing to pay a premium for a brand with a reputation for high quality</v>
      </c>
    </row>
    <row r="32" spans="1:2" x14ac:dyDescent="0.3">
      <c r="A32">
        <v>4</v>
      </c>
      <c r="B32" t="str">
        <f>+VLOOKUP(A32,List!$A$1:$B$29,2,FALSE)</f>
        <v>I only consider buying a boat from a reputable brand</v>
      </c>
    </row>
    <row r="35" spans="1:2" x14ac:dyDescent="0.3">
      <c r="B35" s="1" t="s">
        <v>30</v>
      </c>
    </row>
    <row r="36" spans="1:2" x14ac:dyDescent="0.3">
      <c r="A36">
        <v>2</v>
      </c>
      <c r="B36" t="str">
        <f>+VLOOKUP(A36,List!$A$1:$B$29,2,FALSE)</f>
        <v>When buying a bot, getting the lowest P is more important than brand</v>
      </c>
    </row>
    <row r="37" spans="1:2" x14ac:dyDescent="0.3">
      <c r="A37">
        <v>10</v>
      </c>
      <c r="B37" t="str">
        <f>+VLOOKUP(A37,List!$A$1:$B$29,2,FALSE)</f>
        <v>When buying a boat, I rely more on expert opinion than my own</v>
      </c>
    </row>
    <row r="38" spans="1:2" x14ac:dyDescent="0.3">
      <c r="A38">
        <v>12</v>
      </c>
      <c r="B38" t="str">
        <f>+VLOOKUP(A38,List!$A$1:$B$29,2,FALSE)</f>
        <v>When it comes to boating, I tend to prefer a basic boat with little to no frills</v>
      </c>
    </row>
    <row r="39" spans="1:2" x14ac:dyDescent="0.3">
      <c r="A39">
        <v>8</v>
      </c>
      <c r="B39" t="str">
        <f>+VLOOKUP(A39,List!$A$1:$B$29,2,FALSE)</f>
        <v>When buying a boat, functionality is more important than style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B37" sqref="B37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39</v>
      </c>
    </row>
    <row r="2" spans="1:2" x14ac:dyDescent="0.3">
      <c r="A2">
        <v>21</v>
      </c>
      <c r="B2" t="str">
        <f>+VLOOKUP(A2,List!$A$1:$B$29,2,FALSE)</f>
        <v>Boating helps me escape from everyday life and relax</v>
      </c>
    </row>
    <row r="3" spans="1:2" x14ac:dyDescent="0.3">
      <c r="A3">
        <v>18</v>
      </c>
      <c r="B3" t="str">
        <f>+VLOOKUP(A3,List!$A$1:$B$29,2,FALSE)</f>
        <v>Boating gives me a feeling of adventure</v>
      </c>
    </row>
    <row r="4" spans="1:2" x14ac:dyDescent="0.3">
      <c r="A4">
        <v>19</v>
      </c>
      <c r="B4" t="str">
        <f>+VLOOKUP(A4,List!$A$1:$B$29,2,FALSE)</f>
        <v>Boating allows me to experience nature</v>
      </c>
    </row>
    <row r="5" spans="1:2" x14ac:dyDescent="0.3">
      <c r="A5">
        <v>6</v>
      </c>
      <c r="B5" t="str">
        <f>+VLOOKUP(A5,List!$A$1:$B$29,2,FALSE)</f>
        <v>Owning a boat is a way of rewarding myself for hard work</v>
      </c>
    </row>
    <row r="6" spans="1:2" x14ac:dyDescent="0.3">
      <c r="A6">
        <v>24</v>
      </c>
      <c r="B6" t="str">
        <f>+VLOOKUP(A6,List!$A$1:$B$29,2,FALSE)</f>
        <v>Boating gives me an outlet to socialize with family/friends</v>
      </c>
    </row>
    <row r="7" spans="1:2" x14ac:dyDescent="0.3">
      <c r="A7">
        <v>22</v>
      </c>
      <c r="B7" t="str">
        <f>+VLOOKUP(A7,List!$A$1:$B$29,2,FALSE)</f>
        <v>Boating helps me stay active</v>
      </c>
    </row>
    <row r="8" spans="1:2" x14ac:dyDescent="0.3">
      <c r="A8">
        <v>7</v>
      </c>
      <c r="B8" t="str">
        <f>+VLOOKUP(A8,List!$A$1:$B$29,2,FALSE)</f>
        <v>Owning a boat gives me a sense of achievement</v>
      </c>
    </row>
    <row r="11" spans="1:2" x14ac:dyDescent="0.3">
      <c r="B11" s="1" t="s">
        <v>40</v>
      </c>
    </row>
    <row r="12" spans="1:2" x14ac:dyDescent="0.3">
      <c r="A12">
        <v>11</v>
      </c>
      <c r="B12" t="str">
        <f>+VLOOKUP(A12,List!$A$1:$B$29,2,FALSE)</f>
        <v>I tend to perform minor boat repairs and maintenance on my own</v>
      </c>
    </row>
    <row r="13" spans="1:2" x14ac:dyDescent="0.3">
      <c r="A13">
        <v>16</v>
      </c>
      <c r="B13" t="str">
        <f>+VLOOKUP(A13,List!$A$1:$B$29,2,FALSE)</f>
        <v>People tend to come to me for advice about boating</v>
      </c>
    </row>
    <row r="14" spans="1:2" x14ac:dyDescent="0.3">
      <c r="A14">
        <v>17</v>
      </c>
      <c r="B14" t="str">
        <f>+VLOOKUP(A14,List!$A$1:$B$29,2,FALSE)</f>
        <v>I consider myself more knowledgeable about boating than the rest of my boating peers</v>
      </c>
    </row>
    <row r="17" spans="1:2" x14ac:dyDescent="0.3">
      <c r="B17" s="1" t="s">
        <v>41</v>
      </c>
    </row>
    <row r="18" spans="1:2" x14ac:dyDescent="0.3">
      <c r="A18">
        <v>15</v>
      </c>
      <c r="B18" t="str">
        <f>+VLOOKUP(A18,List!$A$1:$B$29,2,FALSE)</f>
        <v>I am serious about the technology on my boat</v>
      </c>
    </row>
    <row r="19" spans="1:2" x14ac:dyDescent="0.3">
      <c r="A19">
        <v>4</v>
      </c>
      <c r="B19" t="str">
        <f>+VLOOKUP(A19,List!$A$1:$B$29,2,FALSE)</f>
        <v>I only consider buying a boat from a reputable brand</v>
      </c>
    </row>
    <row r="20" spans="1:2" x14ac:dyDescent="0.3">
      <c r="A20">
        <v>5</v>
      </c>
      <c r="B20" t="str">
        <f>+VLOOKUP(A20,List!$A$1:$B$29,2,FALSE)</f>
        <v>I am willing to pay a premium for a brand with a reputation for high quality</v>
      </c>
    </row>
    <row r="21" spans="1:2" x14ac:dyDescent="0.3">
      <c r="A21">
        <v>14</v>
      </c>
      <c r="B21" t="str">
        <f>+VLOOKUP(A21,List!$A$1:$B$29,2,FALSE)</f>
        <v>When buying accessories for my boat, I tend to buy the latest and greatest</v>
      </c>
    </row>
    <row r="22" spans="1:2" x14ac:dyDescent="0.3">
      <c r="A22">
        <v>13</v>
      </c>
      <c r="B22" t="str">
        <f>+VLOOKUP(A22,List!$A$1:$B$29,2,FALSE)</f>
        <v>When buying a boat, I tend to buy the latest and greatest</v>
      </c>
    </row>
    <row r="25" spans="1:2" x14ac:dyDescent="0.3">
      <c r="B25" s="1" t="s">
        <v>42</v>
      </c>
    </row>
    <row r="26" spans="1:2" x14ac:dyDescent="0.3">
      <c r="A26">
        <v>3</v>
      </c>
      <c r="B26" t="str">
        <f>+VLOOKUP(A26,List!$A$1:$B$29,2,FALSE)</f>
        <v>The brand of the boat I buy says a lot about who I am</v>
      </c>
    </row>
    <row r="27" spans="1:2" x14ac:dyDescent="0.3">
      <c r="A27">
        <v>9</v>
      </c>
      <c r="B27" t="str">
        <f>+VLOOKUP(A27,List!$A$1:$B$29,2,FALSE)</f>
        <v>I see my boat as status symbol</v>
      </c>
    </row>
    <row r="28" spans="1:2" x14ac:dyDescent="0.3">
      <c r="A28">
        <v>26</v>
      </c>
      <c r="B28" t="str">
        <f>+VLOOKUP(A28,List!$A$1:$B$29,2,FALSE)</f>
        <v>Having a powerful boat is what is most important to me</v>
      </c>
    </row>
    <row r="31" spans="1:2" x14ac:dyDescent="0.3">
      <c r="B31" s="1" t="s">
        <v>30</v>
      </c>
    </row>
    <row r="32" spans="1:2" x14ac:dyDescent="0.3">
      <c r="A32">
        <v>10</v>
      </c>
      <c r="B32" t="str">
        <f>+VLOOKUP(A32,List!$A$1:$B$29,2,FALSE)</f>
        <v>When buying a boat, I rely more on expert opinion than my own</v>
      </c>
    </row>
    <row r="33" spans="1:2" x14ac:dyDescent="0.3">
      <c r="A33">
        <v>8</v>
      </c>
      <c r="B33" t="str">
        <f>+VLOOKUP(A33,List!$A$1:$B$29,2,FALSE)</f>
        <v>When buying a boat, functionality is more important than style</v>
      </c>
    </row>
    <row r="34" spans="1:2" x14ac:dyDescent="0.3">
      <c r="A34">
        <v>2</v>
      </c>
      <c r="B34" t="str">
        <f>+VLOOKUP(A34,List!$A$1:$B$29,2,FALSE)</f>
        <v>When buying a bot, getting the lowest P is more important than brand</v>
      </c>
    </row>
    <row r="35" spans="1:2" x14ac:dyDescent="0.3">
      <c r="A35">
        <v>12</v>
      </c>
      <c r="B35" t="str">
        <f>+VLOOKUP(A35,List!$A$1:$B$29,2,FALSE)</f>
        <v>When it comes to boating, I tend to prefer a basic boat with little to no frills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9" workbookViewId="0">
      <selection activeCell="B37" sqref="B37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34</v>
      </c>
    </row>
    <row r="2" spans="1:2" x14ac:dyDescent="0.3">
      <c r="A2">
        <v>28</v>
      </c>
      <c r="B2" t="str">
        <f>+VLOOKUP(A2,List!$A$1:$B$29,2,FALSE)</f>
        <v>Boating is my true passion in life</v>
      </c>
    </row>
    <row r="3" spans="1:2" x14ac:dyDescent="0.3">
      <c r="A3">
        <v>27</v>
      </c>
      <c r="B3" t="str">
        <f>+VLOOKUP(A3,List!$A$1:$B$29,2,FALSE)</f>
        <v>Boating is the number one thing I do with my spare time</v>
      </c>
    </row>
    <row r="4" spans="1:2" x14ac:dyDescent="0.3">
      <c r="A4">
        <v>20</v>
      </c>
      <c r="B4" t="str">
        <f>+VLOOKUP(A4,List!$A$1:$B$29,2,FALSE)</f>
        <v>When not on my boat, I often find myself doing boating related activities</v>
      </c>
    </row>
    <row r="5" spans="1:2" x14ac:dyDescent="0.3">
      <c r="A5">
        <v>3</v>
      </c>
      <c r="B5" t="str">
        <f>+VLOOKUP(A5,List!$A$1:$B$29,2,FALSE)</f>
        <v>The brand of the boat I buy says a lot about who I am</v>
      </c>
    </row>
    <row r="6" spans="1:2" x14ac:dyDescent="0.3">
      <c r="A6">
        <v>16</v>
      </c>
      <c r="B6" t="str">
        <f>+VLOOKUP(A6,List!$A$1:$B$29,2,FALSE)</f>
        <v>People tend to come to me for advice about boating</v>
      </c>
    </row>
    <row r="7" spans="1:2" x14ac:dyDescent="0.3">
      <c r="A7">
        <v>7</v>
      </c>
      <c r="B7" t="str">
        <f>+VLOOKUP(A7,List!$A$1:$B$29,2,FALSE)</f>
        <v>Owning a boat gives me a sense of achievement</v>
      </c>
    </row>
    <row r="8" spans="1:2" x14ac:dyDescent="0.3">
      <c r="A8">
        <v>9</v>
      </c>
      <c r="B8" t="str">
        <f>+VLOOKUP(A8,List!$A$1:$B$29,2,FALSE)</f>
        <v>I see my boat as status symbol</v>
      </c>
    </row>
    <row r="9" spans="1:2" x14ac:dyDescent="0.3">
      <c r="A9">
        <v>14</v>
      </c>
      <c r="B9" t="str">
        <f>+VLOOKUP(A9,List!$A$1:$B$29,2,FALSE)</f>
        <v>When buying accessories for my boat, I tend to buy the latest and greatest</v>
      </c>
    </row>
    <row r="10" spans="1:2" x14ac:dyDescent="0.3">
      <c r="A10">
        <v>26</v>
      </c>
      <c r="B10" t="str">
        <f>+VLOOKUP(A10,List!$A$1:$B$29,2,FALSE)</f>
        <v>Having a powerful boat is what is most important to me</v>
      </c>
    </row>
    <row r="11" spans="1:2" x14ac:dyDescent="0.3">
      <c r="A11">
        <v>13</v>
      </c>
      <c r="B11" t="str">
        <f>+VLOOKUP(A11,List!$A$1:$B$29,2,FALSE)</f>
        <v>When buying a boat, I tend to buy the latest and greatest</v>
      </c>
    </row>
    <row r="12" spans="1:2" x14ac:dyDescent="0.3">
      <c r="A12">
        <v>17</v>
      </c>
      <c r="B12" t="str">
        <f>+VLOOKUP(A12,List!$A$1:$B$29,2,FALSE)</f>
        <v>I consider myself more knowledgeable about boating than the rest of my boating peers</v>
      </c>
    </row>
    <row r="13" spans="1:2" x14ac:dyDescent="0.3">
      <c r="A13">
        <v>15</v>
      </c>
      <c r="B13" t="str">
        <f>+VLOOKUP(A13,List!$A$1:$B$29,2,FALSE)</f>
        <v>I am serious about the technology on my boat</v>
      </c>
    </row>
    <row r="14" spans="1:2" x14ac:dyDescent="0.3">
      <c r="A14">
        <v>25</v>
      </c>
      <c r="B14" t="str">
        <f>+VLOOKUP(A14,List!$A$1:$B$29,2,FALSE)</f>
        <v>Being in charge of my boat is what is most important to me</v>
      </c>
    </row>
    <row r="15" spans="1:2" x14ac:dyDescent="0.3">
      <c r="A15">
        <v>6</v>
      </c>
      <c r="B15" t="str">
        <f>+VLOOKUP(A15,List!$A$1:$B$29,2,FALSE)</f>
        <v>Owning a boat is a way of rewarding myself for hard work</v>
      </c>
    </row>
    <row r="16" spans="1:2" x14ac:dyDescent="0.3">
      <c r="A16">
        <v>23</v>
      </c>
      <c r="B16" t="str">
        <f>+VLOOKUP(A16,List!$A$1:$B$29,2,FALSE)</f>
        <v>Boating allows me to excel in the sports that I am passionate about</v>
      </c>
    </row>
    <row r="17" spans="1:2" x14ac:dyDescent="0.3">
      <c r="A17">
        <v>22</v>
      </c>
      <c r="B17" t="str">
        <f>+VLOOKUP(A17,List!$A$1:$B$29,2,FALSE)</f>
        <v>Boating helps me stay active</v>
      </c>
    </row>
    <row r="18" spans="1:2" x14ac:dyDescent="0.3">
      <c r="A18">
        <v>5</v>
      </c>
      <c r="B18" t="str">
        <f>+VLOOKUP(A18,List!$A$1:$B$29,2,FALSE)</f>
        <v>I am willing to pay a premium for a brand with a reputation for high quality</v>
      </c>
    </row>
    <row r="19" spans="1:2" x14ac:dyDescent="0.3">
      <c r="A19">
        <v>18</v>
      </c>
      <c r="B19" t="str">
        <f>+VLOOKUP(A19,List!$A$1:$B$29,2,FALSE)</f>
        <v>Boating gives me a feeling of adventure</v>
      </c>
    </row>
    <row r="22" spans="1:2" x14ac:dyDescent="0.3">
      <c r="B22" s="1" t="s">
        <v>32</v>
      </c>
    </row>
    <row r="23" spans="1:2" x14ac:dyDescent="0.3">
      <c r="A23">
        <v>18</v>
      </c>
      <c r="B23" t="str">
        <f>+VLOOKUP(A23,List!$A$1:$B$29,2,FALSE)</f>
        <v>Boating gives me a feeling of adventure</v>
      </c>
    </row>
    <row r="24" spans="1:2" x14ac:dyDescent="0.3">
      <c r="A24">
        <v>21</v>
      </c>
      <c r="B24" t="str">
        <f>+VLOOKUP(A24,List!$A$1:$B$29,2,FALSE)</f>
        <v>Boating helps me escape from everyday life and relax</v>
      </c>
    </row>
    <row r="25" spans="1:2" x14ac:dyDescent="0.3">
      <c r="A25">
        <v>19</v>
      </c>
      <c r="B25" t="str">
        <f>+VLOOKUP(A25,List!$A$1:$B$29,2,FALSE)</f>
        <v>Boating allows me to experience nature</v>
      </c>
    </row>
    <row r="28" spans="1:2" x14ac:dyDescent="0.3">
      <c r="B28" s="1" t="s">
        <v>35</v>
      </c>
    </row>
    <row r="29" spans="1:2" x14ac:dyDescent="0.3">
      <c r="A29">
        <v>2</v>
      </c>
      <c r="B29" t="str">
        <f>+VLOOKUP(A29,List!$A$1:$B$29,2,FALSE)</f>
        <v>When buying a bot, getting the lowest P is more important than brand</v>
      </c>
    </row>
    <row r="30" spans="1:2" x14ac:dyDescent="0.3">
      <c r="A30">
        <v>12</v>
      </c>
      <c r="B30" t="str">
        <f>+VLOOKUP(A30,List!$A$1:$B$29,2,FALSE)</f>
        <v>When it comes to boating, I tend to prefer a basic boat with little to no frills</v>
      </c>
    </row>
    <row r="33" spans="1:2" x14ac:dyDescent="0.3">
      <c r="B33" s="1" t="s">
        <v>36</v>
      </c>
    </row>
    <row r="34" spans="1:2" x14ac:dyDescent="0.3">
      <c r="A34">
        <v>10</v>
      </c>
      <c r="B34" t="str">
        <f>+VLOOKUP(A34,List!$A$1:$B$29,2,FALSE)</f>
        <v>When buying a boat, I rely more on expert opinion than my own</v>
      </c>
    </row>
    <row r="36" spans="1:2" x14ac:dyDescent="0.3">
      <c r="B36" s="1" t="s">
        <v>43</v>
      </c>
    </row>
    <row r="37" spans="1:2" x14ac:dyDescent="0.3">
      <c r="A37">
        <v>4</v>
      </c>
      <c r="B37" t="str">
        <f>+VLOOKUP(A37,List!$A$1:$B$29,2,FALSE)</f>
        <v>I only consider buying a boat from a reputable brand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B10" sqref="B10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34</v>
      </c>
    </row>
    <row r="2" spans="1:2" x14ac:dyDescent="0.3">
      <c r="A2">
        <v>9</v>
      </c>
      <c r="B2" t="str">
        <f>+VLOOKUP(A2,List!$A$1:$B$29,2,FALSE)</f>
        <v>I see my boat as status symbol</v>
      </c>
    </row>
    <row r="3" spans="1:2" x14ac:dyDescent="0.3">
      <c r="A3">
        <v>26</v>
      </c>
      <c r="B3" t="str">
        <f>+VLOOKUP(A3,List!$A$1:$B$29,2,FALSE)</f>
        <v>Having a powerful boat is what is most important to me</v>
      </c>
    </row>
    <row r="4" spans="1:2" x14ac:dyDescent="0.3">
      <c r="A4">
        <v>16</v>
      </c>
      <c r="B4" t="str">
        <f>+VLOOKUP(A4,List!$A$1:$B$29,2,FALSE)</f>
        <v>People tend to come to me for advice about boating</v>
      </c>
    </row>
    <row r="5" spans="1:2" x14ac:dyDescent="0.3">
      <c r="A5">
        <v>27</v>
      </c>
      <c r="B5" t="str">
        <f>+VLOOKUP(A5,List!$A$1:$B$29,2,FALSE)</f>
        <v>Boating is the number one thing I do with my spare time</v>
      </c>
    </row>
    <row r="6" spans="1:2" x14ac:dyDescent="0.3">
      <c r="A6">
        <v>3</v>
      </c>
      <c r="B6" t="str">
        <f>+VLOOKUP(A6,List!$A$1:$B$29,2,FALSE)</f>
        <v>The brand of the boat I buy says a lot about who I am</v>
      </c>
    </row>
    <row r="7" spans="1:2" x14ac:dyDescent="0.3">
      <c r="A7">
        <v>17</v>
      </c>
      <c r="B7" t="str">
        <f>+VLOOKUP(A7,List!$A$1:$B$29,2,FALSE)</f>
        <v>I consider myself more knowledgeable about boating than the rest of my boating peers</v>
      </c>
    </row>
    <row r="8" spans="1:2" x14ac:dyDescent="0.3">
      <c r="A8">
        <v>28</v>
      </c>
      <c r="B8" t="str">
        <f>+VLOOKUP(A8,List!$A$1:$B$29,2,FALSE)</f>
        <v>Boating is my true passion in life</v>
      </c>
    </row>
    <row r="9" spans="1:2" x14ac:dyDescent="0.3">
      <c r="A9">
        <v>13</v>
      </c>
      <c r="B9" t="str">
        <f>+VLOOKUP(A9,List!$A$1:$B$29,2,FALSE)</f>
        <v>When buying a boat, I tend to buy the latest and greatest</v>
      </c>
    </row>
    <row r="10" spans="1:2" x14ac:dyDescent="0.3">
      <c r="A10">
        <v>20</v>
      </c>
      <c r="B10" t="str">
        <f>+VLOOKUP(A10,List!$A$1:$B$29,2,FALSE)</f>
        <v>When not on my boat, I often find myself doing boating related activities</v>
      </c>
    </row>
    <row r="11" spans="1:2" x14ac:dyDescent="0.3">
      <c r="A11">
        <v>14</v>
      </c>
      <c r="B11" t="str">
        <f>+VLOOKUP(A11,List!$A$1:$B$29,2,FALSE)</f>
        <v>When buying accessories for my boat, I tend to buy the latest and greatest</v>
      </c>
    </row>
    <row r="12" spans="1:2" x14ac:dyDescent="0.3">
      <c r="A12">
        <v>7</v>
      </c>
      <c r="B12" t="str">
        <f>+VLOOKUP(A12,List!$A$1:$B$29,2,FALSE)</f>
        <v>Owning a boat gives me a sense of achievement</v>
      </c>
    </row>
    <row r="15" spans="1:2" x14ac:dyDescent="0.3">
      <c r="B15" s="1" t="s">
        <v>32</v>
      </c>
    </row>
    <row r="16" spans="1:2" x14ac:dyDescent="0.3">
      <c r="A16">
        <v>6</v>
      </c>
      <c r="B16" t="str">
        <f>+VLOOKUP(A16,List!$A$1:$B$29,2,FALSE)</f>
        <v>Owning a boat is a way of rewarding myself for hard work</v>
      </c>
    </row>
    <row r="17" spans="1:2" x14ac:dyDescent="0.3">
      <c r="A17">
        <v>22</v>
      </c>
      <c r="B17" t="str">
        <f>+VLOOKUP(A17,List!$A$1:$B$29,2,FALSE)</f>
        <v>Boating helps me stay active</v>
      </c>
    </row>
    <row r="18" spans="1:2" x14ac:dyDescent="0.3">
      <c r="A18">
        <v>18</v>
      </c>
      <c r="B18" t="str">
        <f>+VLOOKUP(A18,List!$A$1:$B$29,2,FALSE)</f>
        <v>Boating gives me a feeling of adventure</v>
      </c>
    </row>
    <row r="19" spans="1:2" x14ac:dyDescent="0.3">
      <c r="A19">
        <v>24</v>
      </c>
      <c r="B19" t="str">
        <f>+VLOOKUP(A19,List!$A$1:$B$29,2,FALSE)</f>
        <v>Boating gives me an outlet to socialize with family/friends</v>
      </c>
    </row>
    <row r="20" spans="1:2" x14ac:dyDescent="0.3">
      <c r="A20">
        <v>21</v>
      </c>
      <c r="B20" t="str">
        <f>+VLOOKUP(A20,List!$A$1:$B$29,2,FALSE)</f>
        <v>Boating helps me escape from everyday life and relax</v>
      </c>
    </row>
    <row r="21" spans="1:2" x14ac:dyDescent="0.3">
      <c r="A21">
        <v>19</v>
      </c>
      <c r="B21" t="str">
        <f>+VLOOKUP(A21,List!$A$1:$B$29,2,FALSE)</f>
        <v>Boating allows me to experience nature</v>
      </c>
    </row>
    <row r="24" spans="1:2" x14ac:dyDescent="0.3">
      <c r="B24" s="1" t="s">
        <v>46</v>
      </c>
    </row>
    <row r="25" spans="1:2" x14ac:dyDescent="0.3">
      <c r="A25">
        <v>5</v>
      </c>
      <c r="B25" t="str">
        <f>+VLOOKUP(A25,List!$A$1:$B$29,2,FALSE)</f>
        <v>I am willing to pay a premium for a brand with a reputation for high quality</v>
      </c>
    </row>
    <row r="26" spans="1:2" x14ac:dyDescent="0.3">
      <c r="A26">
        <v>4</v>
      </c>
      <c r="B26" t="str">
        <f>+VLOOKUP(A26,List!$A$1:$B$29,2,FALSE)</f>
        <v>I only consider buying a boat from a reputable brand</v>
      </c>
    </row>
    <row r="29" spans="1:2" x14ac:dyDescent="0.3">
      <c r="B29" s="1" t="s">
        <v>45</v>
      </c>
    </row>
    <row r="30" spans="1:2" x14ac:dyDescent="0.3">
      <c r="A30">
        <v>2</v>
      </c>
      <c r="B30" t="str">
        <f>+VLOOKUP(A30,List!$A$1:$B$29,2,FALSE)</f>
        <v>When buying a bot, getting the lowest P is more important than brand</v>
      </c>
    </row>
    <row r="31" spans="1:2" x14ac:dyDescent="0.3">
      <c r="A31">
        <v>12</v>
      </c>
      <c r="B31" t="str">
        <f>+VLOOKUP(A31,List!$A$1:$B$29,2,FALSE)</f>
        <v>When it comes to boating, I tend to prefer a basic boat with little to no frills</v>
      </c>
    </row>
    <row r="32" spans="1:2" x14ac:dyDescent="0.3">
      <c r="A32">
        <v>8</v>
      </c>
      <c r="B32" t="str">
        <f>+VLOOKUP(A32,List!$A$1:$B$29,2,FALSE)</f>
        <v>When buying a boat, functionality is more important than style</v>
      </c>
    </row>
    <row r="35" spans="1:2" x14ac:dyDescent="0.3">
      <c r="B35" s="1" t="s">
        <v>44</v>
      </c>
    </row>
    <row r="36" spans="1:2" x14ac:dyDescent="0.3">
      <c r="A36" s="2">
        <v>11</v>
      </c>
      <c r="B36" t="str">
        <f>+VLOOKUP(A36,List!$A$1:$B$29,2,FALSE)</f>
        <v>I tend to perform minor boat repairs and maintenance on my own</v>
      </c>
    </row>
    <row r="37" spans="1:2" x14ac:dyDescent="0.3">
      <c r="A37">
        <v>10</v>
      </c>
      <c r="B37" t="str">
        <f>+VLOOKUP(A37,List!$A$1:$B$29,2,FALSE)</f>
        <v>When buying a boat, I rely more on expert opinion than my own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A16" sqref="A16"/>
    </sheetView>
  </sheetViews>
  <sheetFormatPr defaultRowHeight="14.4" x14ac:dyDescent="0.3"/>
  <cols>
    <col min="2" max="2" width="74.21875" customWidth="1"/>
  </cols>
  <sheetData>
    <row r="1" spans="1:2" x14ac:dyDescent="0.3">
      <c r="B1" s="1" t="s">
        <v>34</v>
      </c>
    </row>
    <row r="2" spans="1:2" x14ac:dyDescent="0.3">
      <c r="A2">
        <v>28</v>
      </c>
      <c r="B2" t="str">
        <f>+VLOOKUP(A2,List!$A$1:$B$29,2,FALSE)</f>
        <v>Boating is my true passion in life</v>
      </c>
    </row>
    <row r="3" spans="1:2" x14ac:dyDescent="0.3">
      <c r="A3">
        <v>14</v>
      </c>
      <c r="B3" t="str">
        <f>+VLOOKUP(A3,List!$A$1:$B$29,2,FALSE)</f>
        <v>When buying accessories for my boat, I tend to buy the latest and greatest</v>
      </c>
    </row>
    <row r="4" spans="1:2" x14ac:dyDescent="0.3">
      <c r="A4">
        <v>20</v>
      </c>
      <c r="B4" t="str">
        <f>+VLOOKUP(A4,List!$A$1:$B$29,2,FALSE)</f>
        <v>When not on my boat, I often find myself doing boating related activities</v>
      </c>
    </row>
    <row r="5" spans="1:2" x14ac:dyDescent="0.3">
      <c r="A5">
        <v>27</v>
      </c>
      <c r="B5" t="str">
        <f>+VLOOKUP(A5,List!$A$1:$B$29,2,FALSE)</f>
        <v>Boating is the number one thing I do with my spare time</v>
      </c>
    </row>
    <row r="6" spans="1:2" x14ac:dyDescent="0.3">
      <c r="A6">
        <v>3</v>
      </c>
      <c r="B6" t="str">
        <f>+VLOOKUP(A6,List!$A$1:$B$29,2,FALSE)</f>
        <v>The brand of the boat I buy says a lot about who I am</v>
      </c>
    </row>
    <row r="7" spans="1:2" x14ac:dyDescent="0.3">
      <c r="A7">
        <v>7</v>
      </c>
      <c r="B7" t="str">
        <f>+VLOOKUP(A7,List!$A$1:$B$29,2,FALSE)</f>
        <v>Owning a boat gives me a sense of achievement</v>
      </c>
    </row>
    <row r="8" spans="1:2" x14ac:dyDescent="0.3">
      <c r="A8">
        <v>15</v>
      </c>
      <c r="B8" t="str">
        <f>+VLOOKUP(A8,List!$A$1:$B$29,2,FALSE)</f>
        <v>I am serious about the technology on my boat</v>
      </c>
    </row>
    <row r="9" spans="1:2" x14ac:dyDescent="0.3">
      <c r="A9">
        <v>16</v>
      </c>
      <c r="B9" t="str">
        <f>+VLOOKUP(A9,List!$A$1:$B$29,2,FALSE)</f>
        <v>People tend to come to me for advice about boating</v>
      </c>
    </row>
    <row r="10" spans="1:2" x14ac:dyDescent="0.3">
      <c r="A10">
        <v>13</v>
      </c>
      <c r="B10" t="str">
        <f>+VLOOKUP(A10,List!$A$1:$B$29,2,FALSE)</f>
        <v>When buying a boat, I tend to buy the latest and greatest</v>
      </c>
    </row>
    <row r="11" spans="1:2" x14ac:dyDescent="0.3">
      <c r="A11">
        <v>25</v>
      </c>
      <c r="B11" t="str">
        <f>+VLOOKUP(A11,List!$A$1:$B$29,2,FALSE)</f>
        <v>Being in charge of my boat is what is most important to me</v>
      </c>
    </row>
    <row r="12" spans="1:2" x14ac:dyDescent="0.3">
      <c r="A12">
        <v>6</v>
      </c>
      <c r="B12" t="str">
        <f>+VLOOKUP(A12,List!$A$1:$B$29,2,FALSE)</f>
        <v>Owning a boat is a way of rewarding myself for hard work</v>
      </c>
    </row>
    <row r="13" spans="1:2" x14ac:dyDescent="0.3">
      <c r="A13">
        <v>26</v>
      </c>
      <c r="B13" t="str">
        <f>+VLOOKUP(A13,List!$A$1:$B$29,2,FALSE)</f>
        <v>Having a powerful boat is what is most important to me</v>
      </c>
    </row>
    <row r="14" spans="1:2" x14ac:dyDescent="0.3">
      <c r="A14">
        <v>9</v>
      </c>
      <c r="B14" t="str">
        <f>+VLOOKUP(A14,List!$A$1:$B$29,2,FALSE)</f>
        <v>I see my boat as status symbol</v>
      </c>
    </row>
    <row r="15" spans="1:2" x14ac:dyDescent="0.3">
      <c r="A15">
        <v>17</v>
      </c>
      <c r="B15" t="str">
        <f>+VLOOKUP(A15,List!$A$1:$B$29,2,FALSE)</f>
        <v>I consider myself more knowledgeable about boating than the rest of my boating peers</v>
      </c>
    </row>
    <row r="16" spans="1:2" x14ac:dyDescent="0.3">
      <c r="A16">
        <v>22</v>
      </c>
      <c r="B16" t="str">
        <f>+VLOOKUP(A16,List!$A$1:$B$29,2,FALSE)</f>
        <v>Boating helps me stay active</v>
      </c>
    </row>
    <row r="17" spans="1:2" x14ac:dyDescent="0.3">
      <c r="A17">
        <v>23</v>
      </c>
      <c r="B17" t="str">
        <f>+VLOOKUP(A17,List!$A$1:$B$29,2,FALSE)</f>
        <v>Boating allows me to excel in the sports that I am passionate about</v>
      </c>
    </row>
    <row r="18" spans="1:2" x14ac:dyDescent="0.3">
      <c r="A18">
        <v>5</v>
      </c>
      <c r="B18" t="str">
        <f>+VLOOKUP(A18,List!$A$1:$B$29,2,FALSE)</f>
        <v>I am willing to pay a premium for a brand with a reputation for high quality</v>
      </c>
    </row>
    <row r="19" spans="1:2" x14ac:dyDescent="0.3">
      <c r="A19">
        <v>18</v>
      </c>
      <c r="B19" t="str">
        <f>+VLOOKUP(A19,List!$A$1:$B$29,2,FALSE)</f>
        <v>Boating gives me a feeling of adventure</v>
      </c>
    </row>
    <row r="22" spans="1:2" x14ac:dyDescent="0.3">
      <c r="B22" s="1" t="s">
        <v>32</v>
      </c>
    </row>
    <row r="23" spans="1:2" x14ac:dyDescent="0.3">
      <c r="A23">
        <v>21</v>
      </c>
      <c r="B23" t="str">
        <f>+VLOOKUP(A23,List!$A$1:$B$29,2,FALSE)</f>
        <v>Boating helps me escape from everyday life and relax</v>
      </c>
    </row>
    <row r="24" spans="1:2" x14ac:dyDescent="0.3">
      <c r="A24">
        <v>19</v>
      </c>
      <c r="B24" t="str">
        <f>+VLOOKUP(A24,List!$A$1:$B$29,2,FALSE)</f>
        <v>Boating allows me to experience nature</v>
      </c>
    </row>
    <row r="27" spans="1:2" x14ac:dyDescent="0.3">
      <c r="B27" s="1" t="s">
        <v>47</v>
      </c>
    </row>
    <row r="28" spans="1:2" x14ac:dyDescent="0.3">
      <c r="A28">
        <v>8</v>
      </c>
      <c r="B28" t="str">
        <f>+VLOOKUP(A28,List!$A$1:$B$29,2,FALSE)</f>
        <v>When buying a boat, functionality is more important than style</v>
      </c>
    </row>
    <row r="29" spans="1:2" x14ac:dyDescent="0.3">
      <c r="A29">
        <v>2</v>
      </c>
      <c r="B29" t="str">
        <f>+VLOOKUP(A29,List!$A$1:$B$29,2,FALSE)</f>
        <v>When buying a bot, getting the lowest P is more important than brand</v>
      </c>
    </row>
    <row r="30" spans="1:2" x14ac:dyDescent="0.3">
      <c r="A30">
        <v>13</v>
      </c>
      <c r="B30" t="str">
        <f>+VLOOKUP(A30,List!$A$1:$B$29,2,FALSE)</f>
        <v>When buying a boat, I tend to buy the latest and greatest</v>
      </c>
    </row>
    <row r="33" spans="1:2" x14ac:dyDescent="0.3">
      <c r="B33" s="1" t="s">
        <v>48</v>
      </c>
    </row>
    <row r="34" spans="1:2" x14ac:dyDescent="0.3">
      <c r="A34" s="2">
        <v>11</v>
      </c>
      <c r="B34" t="str">
        <f>+VLOOKUP(A34,List!$A$1:$B$29,2,FALSE)</f>
        <v>I tend to perform minor boat repairs and maintenance on my own</v>
      </c>
    </row>
    <row r="35" spans="1:2" x14ac:dyDescent="0.3">
      <c r="A35">
        <v>10</v>
      </c>
      <c r="B35" t="str">
        <f>+VLOOKUP(A35,List!$A$1:$B$29,2,FALSE)</f>
        <v>When buying a boat, I rely more on expert opinion than my own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3"/>
  <sheetViews>
    <sheetView workbookViewId="0"/>
  </sheetViews>
  <sheetFormatPr defaultRowHeight="14.4" x14ac:dyDescent="0.3"/>
  <cols>
    <col min="1" max="1" width="26.88671875" bestFit="1" customWidth="1"/>
    <col min="2" max="2" width="12.109375" bestFit="1" customWidth="1"/>
    <col min="3" max="11" width="19" bestFit="1" customWidth="1"/>
    <col min="12" max="14" width="20" bestFit="1" customWidth="1"/>
    <col min="15" max="15" width="4" bestFit="1" customWidth="1"/>
    <col min="16" max="16" width="6.6640625" bestFit="1" customWidth="1"/>
    <col min="17" max="17" width="4" bestFit="1" customWidth="1"/>
    <col min="18" max="18" width="6.6640625" bestFit="1" customWidth="1"/>
    <col min="19" max="19" width="10.77734375" bestFit="1" customWidth="1"/>
  </cols>
  <sheetData>
    <row r="3" spans="1:14" x14ac:dyDescent="0.3">
      <c r="A3" s="13" t="s">
        <v>85</v>
      </c>
      <c r="B3" s="13" t="s">
        <v>84</v>
      </c>
      <c r="C3" t="s">
        <v>87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  <c r="L3" t="s">
        <v>97</v>
      </c>
      <c r="M3" t="s">
        <v>98</v>
      </c>
      <c r="N3" t="s">
        <v>99</v>
      </c>
    </row>
    <row r="4" spans="1:14" x14ac:dyDescent="0.3">
      <c r="A4" t="s">
        <v>86</v>
      </c>
      <c r="B4">
        <v>1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1</v>
      </c>
      <c r="M4" s="12">
        <v>0</v>
      </c>
      <c r="N4" s="12">
        <v>0</v>
      </c>
    </row>
    <row r="5" spans="1:14" x14ac:dyDescent="0.3">
      <c r="A5" t="s">
        <v>86</v>
      </c>
      <c r="B5">
        <v>2</v>
      </c>
      <c r="C5" s="12">
        <v>0</v>
      </c>
      <c r="D5" s="12">
        <v>0</v>
      </c>
      <c r="E5" s="12">
        <v>0</v>
      </c>
      <c r="F5" s="12">
        <v>0</v>
      </c>
      <c r="G5" s="12">
        <v>2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</row>
    <row r="6" spans="1:14" x14ac:dyDescent="0.3">
      <c r="A6" t="s">
        <v>86</v>
      </c>
      <c r="B6">
        <v>3</v>
      </c>
      <c r="C6" s="12">
        <v>0</v>
      </c>
      <c r="D6" s="12">
        <v>0</v>
      </c>
      <c r="E6" s="12">
        <v>0</v>
      </c>
      <c r="F6" s="12">
        <v>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</row>
    <row r="7" spans="1:14" x14ac:dyDescent="0.3">
      <c r="A7" t="s">
        <v>86</v>
      </c>
      <c r="B7">
        <v>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1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</row>
    <row r="8" spans="1:14" x14ac:dyDescent="0.3">
      <c r="A8" t="s">
        <v>86</v>
      </c>
      <c r="B8">
        <v>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</row>
    <row r="9" spans="1:14" x14ac:dyDescent="0.3">
      <c r="A9" t="s">
        <v>86</v>
      </c>
      <c r="B9">
        <v>6</v>
      </c>
      <c r="C9" s="12">
        <v>0</v>
      </c>
      <c r="D9" s="12">
        <v>0</v>
      </c>
      <c r="E9" s="12">
        <v>0</v>
      </c>
      <c r="F9" s="12">
        <v>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</row>
    <row r="10" spans="1:14" x14ac:dyDescent="0.3">
      <c r="A10" t="s">
        <v>86</v>
      </c>
      <c r="B10">
        <v>7</v>
      </c>
      <c r="C10" s="12">
        <v>0</v>
      </c>
      <c r="D10" s="12">
        <v>0</v>
      </c>
      <c r="E10" s="12">
        <v>0</v>
      </c>
      <c r="F10" s="12">
        <v>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</row>
    <row r="11" spans="1:14" x14ac:dyDescent="0.3">
      <c r="A11" t="s">
        <v>86</v>
      </c>
      <c r="B11">
        <v>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1</v>
      </c>
      <c r="L11" s="12">
        <v>0</v>
      </c>
      <c r="M11" s="12">
        <v>0</v>
      </c>
      <c r="N11" s="12">
        <v>0</v>
      </c>
    </row>
    <row r="12" spans="1:14" x14ac:dyDescent="0.3">
      <c r="A12" t="s">
        <v>86</v>
      </c>
      <c r="B12">
        <v>9</v>
      </c>
      <c r="C12" s="12">
        <v>0</v>
      </c>
      <c r="D12" s="12">
        <v>0</v>
      </c>
      <c r="E12" s="12">
        <v>0</v>
      </c>
      <c r="F12" s="12">
        <v>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</row>
    <row r="13" spans="1:14" x14ac:dyDescent="0.3">
      <c r="A13" t="s">
        <v>86</v>
      </c>
      <c r="B13">
        <v>10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</row>
    <row r="14" spans="1:14" x14ac:dyDescent="0.3">
      <c r="A14" t="s">
        <v>86</v>
      </c>
      <c r="B14">
        <v>11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1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</row>
    <row r="15" spans="1:14" x14ac:dyDescent="0.3">
      <c r="A15" t="s">
        <v>86</v>
      </c>
      <c r="B15">
        <v>12</v>
      </c>
      <c r="C15" s="12">
        <v>0</v>
      </c>
      <c r="D15" s="12">
        <v>0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</row>
    <row r="16" spans="1:14" x14ac:dyDescent="0.3">
      <c r="A16" t="s">
        <v>86</v>
      </c>
      <c r="B16">
        <v>13</v>
      </c>
      <c r="C16" s="12">
        <v>0</v>
      </c>
      <c r="D16" s="12">
        <v>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</row>
    <row r="17" spans="1:14" x14ac:dyDescent="0.3">
      <c r="A17" t="s">
        <v>86</v>
      </c>
      <c r="B17">
        <v>14</v>
      </c>
      <c r="C17" s="12">
        <v>0</v>
      </c>
      <c r="D17" s="12">
        <v>2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</row>
    <row r="18" spans="1:14" x14ac:dyDescent="0.3">
      <c r="A18" t="s">
        <v>86</v>
      </c>
      <c r="B18">
        <v>15</v>
      </c>
      <c r="C18" s="12">
        <v>0</v>
      </c>
      <c r="D18" s="12">
        <v>3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</row>
    <row r="19" spans="1:14" x14ac:dyDescent="0.3">
      <c r="A19" t="s">
        <v>86</v>
      </c>
      <c r="B19">
        <v>16</v>
      </c>
      <c r="C19" s="12">
        <v>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</row>
    <row r="20" spans="1:14" x14ac:dyDescent="0.3">
      <c r="A20" t="s">
        <v>86</v>
      </c>
      <c r="B20">
        <v>17</v>
      </c>
      <c r="C20" s="12">
        <v>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</row>
    <row r="21" spans="1:14" x14ac:dyDescent="0.3">
      <c r="A21" t="s">
        <v>86</v>
      </c>
      <c r="B21">
        <v>18</v>
      </c>
      <c r="C21" s="12">
        <v>0</v>
      </c>
      <c r="D21" s="12">
        <v>0</v>
      </c>
      <c r="E21" s="12">
        <v>1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</row>
    <row r="22" spans="1:14" x14ac:dyDescent="0.3">
      <c r="A22" t="s">
        <v>86</v>
      </c>
      <c r="B22">
        <v>19</v>
      </c>
      <c r="C22" s="12">
        <v>0</v>
      </c>
      <c r="D22" s="12">
        <v>0</v>
      </c>
      <c r="E22" s="12">
        <v>3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</row>
    <row r="23" spans="1:14" x14ac:dyDescent="0.3">
      <c r="A23" t="s">
        <v>86</v>
      </c>
      <c r="B23">
        <v>20</v>
      </c>
      <c r="C23" s="12">
        <v>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</row>
    <row r="24" spans="1:14" x14ac:dyDescent="0.3">
      <c r="A24" t="s">
        <v>86</v>
      </c>
      <c r="B24">
        <v>21</v>
      </c>
      <c r="C24" s="12">
        <v>0</v>
      </c>
      <c r="D24" s="12">
        <v>0</v>
      </c>
      <c r="E24" s="12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</row>
    <row r="25" spans="1:14" x14ac:dyDescent="0.3">
      <c r="A25" t="s">
        <v>86</v>
      </c>
      <c r="B25">
        <v>22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</row>
    <row r="26" spans="1:14" x14ac:dyDescent="0.3">
      <c r="A26" t="s">
        <v>86</v>
      </c>
      <c r="B26">
        <v>23</v>
      </c>
      <c r="C26" s="12">
        <v>5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1:14" x14ac:dyDescent="0.3">
      <c r="A27" t="s">
        <v>86</v>
      </c>
      <c r="B27">
        <v>24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1</v>
      </c>
    </row>
    <row r="28" spans="1:14" x14ac:dyDescent="0.3">
      <c r="A28" t="s">
        <v>86</v>
      </c>
      <c r="B28">
        <v>25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</row>
    <row r="29" spans="1:14" x14ac:dyDescent="0.3">
      <c r="A29" t="s">
        <v>86</v>
      </c>
      <c r="B29">
        <v>26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</row>
    <row r="30" spans="1:14" x14ac:dyDescent="0.3">
      <c r="A30" t="s">
        <v>86</v>
      </c>
      <c r="B30">
        <v>27</v>
      </c>
      <c r="C30" s="12">
        <v>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x14ac:dyDescent="0.3">
      <c r="A31" t="s">
        <v>86</v>
      </c>
      <c r="B31">
        <v>28</v>
      </c>
      <c r="C31" s="12">
        <v>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</row>
    <row r="32" spans="1:14" x14ac:dyDescent="0.3">
      <c r="A32" t="s">
        <v>86</v>
      </c>
      <c r="B32">
        <v>29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</v>
      </c>
      <c r="N32" s="12">
        <v>0</v>
      </c>
    </row>
    <row r="33" spans="1:14" x14ac:dyDescent="0.3">
      <c r="A33" t="s">
        <v>88</v>
      </c>
      <c r="C33" s="12">
        <v>21</v>
      </c>
      <c r="D33" s="12">
        <v>6</v>
      </c>
      <c r="E33" s="12">
        <v>6</v>
      </c>
      <c r="F33" s="12">
        <v>10</v>
      </c>
      <c r="G33" s="12">
        <v>3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1</v>
      </c>
    </row>
  </sheetData>
  <conditionalFormatting pivot="1" sqref="C4:N32 C33:N33">
    <cfRule type="cellIs" dxfId="0" priority="1" operator="less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7"/>
  <sheetViews>
    <sheetView tabSelected="1" zoomScale="130" zoomScaleNormal="130" workbookViewId="0">
      <selection activeCell="G5" sqref="G5"/>
    </sheetView>
  </sheetViews>
  <sheetFormatPr defaultRowHeight="14.4" x14ac:dyDescent="0.3"/>
  <sheetData>
    <row r="1" spans="1:30" ht="19.8" thickBot="1" x14ac:dyDescent="0.35">
      <c r="A1" s="3" t="s">
        <v>84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  <c r="U1" s="3" t="s">
        <v>79</v>
      </c>
      <c r="V1" s="3" t="s">
        <v>80</v>
      </c>
      <c r="W1" s="3" t="s">
        <v>81</v>
      </c>
      <c r="X1" s="3" t="s">
        <v>82</v>
      </c>
      <c r="Y1" s="3" t="s">
        <v>83</v>
      </c>
      <c r="Z1" s="3" t="s">
        <v>85</v>
      </c>
      <c r="AC1" s="11" t="s">
        <v>70</v>
      </c>
    </row>
    <row r="2" spans="1:30" ht="15" thickBot="1" x14ac:dyDescent="0.35">
      <c r="A2" s="4">
        <v>27</v>
      </c>
      <c r="B2" s="5">
        <v>0.76</v>
      </c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>
        <f>IF(B2&gt;0,1,0)</f>
        <v>1</v>
      </c>
      <c r="O2" s="7">
        <f t="shared" ref="O2:U2" si="0">IF(C2&gt;0,1,0)</f>
        <v>0</v>
      </c>
      <c r="P2" s="7">
        <f t="shared" si="0"/>
        <v>0</v>
      </c>
      <c r="Q2" s="7">
        <f t="shared" si="0"/>
        <v>0</v>
      </c>
      <c r="R2" s="7">
        <f t="shared" si="0"/>
        <v>0</v>
      </c>
      <c r="S2" s="7">
        <f t="shared" si="0"/>
        <v>0</v>
      </c>
      <c r="T2" s="7">
        <f t="shared" si="0"/>
        <v>0</v>
      </c>
      <c r="U2" s="7">
        <f t="shared" si="0"/>
        <v>0</v>
      </c>
      <c r="V2" s="7">
        <f t="shared" ref="V2" si="1">IF(J2&gt;0,1,0)</f>
        <v>0</v>
      </c>
      <c r="W2" s="7">
        <f t="shared" ref="W2" si="2">IF(K2&gt;0,1,0)</f>
        <v>0</v>
      </c>
      <c r="X2" s="7">
        <f t="shared" ref="X2" si="3">IF(L2&gt;0,1,0)</f>
        <v>0</v>
      </c>
      <c r="Y2" s="7">
        <f t="shared" ref="Y2" si="4">IF(M2&gt;0,1,0)</f>
        <v>0</v>
      </c>
      <c r="Z2" s="10" t="s">
        <v>86</v>
      </c>
      <c r="AB2" s="7">
        <v>1</v>
      </c>
      <c r="AC2" s="5">
        <f>IFERROR(INDEX($A$2:$A$30,MATCH(AB2,$N$2:$N$30,0)),"")</f>
        <v>27</v>
      </c>
      <c r="AD2" s="10" t="str">
        <f>IFERROR(VLOOKUP(AC2,List!$A$1:$B$29,2,FALSE),"")</f>
        <v>Boating is the number one thing I do with my spare time</v>
      </c>
    </row>
    <row r="3" spans="1:30" ht="15" thickBot="1" x14ac:dyDescent="0.35">
      <c r="A3" s="4">
        <v>28</v>
      </c>
      <c r="B3" s="5">
        <v>0.75</v>
      </c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>
        <f>IF(B3&gt;0,1+COUNTIFS(N$2:N2,"&gt;="&amp;1),0)</f>
        <v>2</v>
      </c>
      <c r="O3" s="7">
        <f>IF(C3&gt;0,1+COUNTIFS(O$2:O2,"&gt;="&amp;1),0)</f>
        <v>0</v>
      </c>
      <c r="P3" s="7">
        <f>IF(D3&gt;0,1+COUNTIFS(P$2:P2,"&gt;="&amp;1),0)</f>
        <v>0</v>
      </c>
      <c r="Q3" s="7">
        <f>IF(E3&gt;0,1+COUNTIFS(Q$2:Q2,"&gt;="&amp;1),0)</f>
        <v>0</v>
      </c>
      <c r="R3" s="7">
        <f>IF(F3&gt;0,1+COUNTIFS(R$2:R2,"&gt;="&amp;1),0)</f>
        <v>0</v>
      </c>
      <c r="S3" s="7">
        <f>IF(G3&gt;0,1+COUNTIFS(S$2:S2,"&gt;="&amp;1),0)</f>
        <v>0</v>
      </c>
      <c r="T3" s="7">
        <f>IF(H3&gt;0,1+COUNTIFS(T$2:T2,"&gt;="&amp;1),0)</f>
        <v>0</v>
      </c>
      <c r="U3" s="7">
        <f>IF(I3&gt;0,1+COUNTIFS(U$2:U2,"&gt;="&amp;1),0)</f>
        <v>0</v>
      </c>
      <c r="V3" s="7">
        <f>IF(J3&gt;0,1+COUNTIFS(V$2:V2,"&gt;="&amp;1),0)</f>
        <v>0</v>
      </c>
      <c r="W3" s="7">
        <f>IF(K3&gt;0,1+COUNTIFS(W$2:W2,"&gt;="&amp;1),0)</f>
        <v>0</v>
      </c>
      <c r="X3" s="7">
        <f>IF(L3&gt;0,1+COUNTIFS(X$2:X2,"&gt;="&amp;1),0)</f>
        <v>0</v>
      </c>
      <c r="Y3" s="7">
        <f>IF(M3&gt;0,1+COUNTIFS(Y$2:Y2,"&gt;="&amp;1),0)</f>
        <v>0</v>
      </c>
      <c r="Z3" s="10" t="s">
        <v>86</v>
      </c>
      <c r="AB3" s="7">
        <v>2</v>
      </c>
      <c r="AC3" s="5">
        <f>IFERROR(INDEX($A$2:$A$30,MATCH(AB3,$N$2:$N$30,0)),"")</f>
        <v>28</v>
      </c>
      <c r="AD3" s="10" t="str">
        <f>IFERROR(VLOOKUP(AC3,List!$A$1:$B$29,2,FALSE),"")</f>
        <v>Boating is my true passion in life</v>
      </c>
    </row>
    <row r="4" spans="1:30" ht="15" thickBot="1" x14ac:dyDescent="0.35">
      <c r="A4" s="4">
        <v>20</v>
      </c>
      <c r="B4" s="5">
        <v>0.64</v>
      </c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>
        <f>IF(B4&gt;0,1+COUNTIFS(N$2:N3,"&gt;="&amp;1),0)</f>
        <v>3</v>
      </c>
      <c r="O4" s="7">
        <f>IF(C4&gt;0,1+COUNTIFS(O$2:O3,"&gt;="&amp;1),0)</f>
        <v>0</v>
      </c>
      <c r="P4" s="7">
        <f>IF(D4&gt;0,1+COUNTIFS(P$2:P3,"&gt;="&amp;1),0)</f>
        <v>0</v>
      </c>
      <c r="Q4" s="7">
        <f>IF(E4&gt;0,1+COUNTIFS(Q$2:Q3,"&gt;="&amp;1),0)</f>
        <v>0</v>
      </c>
      <c r="R4" s="7">
        <f>IF(F4&gt;0,1+COUNTIFS(R$2:R3,"&gt;="&amp;1),0)</f>
        <v>0</v>
      </c>
      <c r="S4" s="7">
        <f>IF(G4&gt;0,1+COUNTIFS(S$2:S3,"&gt;="&amp;1),0)</f>
        <v>0</v>
      </c>
      <c r="T4" s="7">
        <f>IF(H4&gt;0,1+COUNTIFS(T$2:T3,"&gt;="&amp;1),0)</f>
        <v>0</v>
      </c>
      <c r="U4" s="7">
        <f>IF(I4&gt;0,1+COUNTIFS(U$2:U3,"&gt;="&amp;1),0)</f>
        <v>0</v>
      </c>
      <c r="V4" s="7">
        <f>IF(J4&gt;0,1+COUNTIFS(V$2:V3,"&gt;="&amp;1),0)</f>
        <v>0</v>
      </c>
      <c r="W4" s="7">
        <f>IF(K4&gt;0,1+COUNTIFS(W$2:W3,"&gt;="&amp;1),0)</f>
        <v>0</v>
      </c>
      <c r="X4" s="7">
        <f>IF(L4&gt;0,1+COUNTIFS(X$2:X3,"&gt;="&amp;1),0)</f>
        <v>0</v>
      </c>
      <c r="Y4" s="7">
        <f>IF(M4&gt;0,1+COUNTIFS(Y$2:Y3,"&gt;="&amp;1),0)</f>
        <v>0</v>
      </c>
      <c r="Z4" s="10" t="s">
        <v>86</v>
      </c>
      <c r="AB4" s="7">
        <v>3</v>
      </c>
      <c r="AC4" s="5">
        <f>IFERROR(INDEX($A$2:$A$30,MATCH(AB4,$N$2:$N$30,0)),"")</f>
        <v>20</v>
      </c>
      <c r="AD4" s="10" t="str">
        <f>IFERROR(VLOOKUP(AC4,List!$A$1:$B$29,2,FALSE),"")</f>
        <v>When not on my boat, I often find myself doing boating related activities</v>
      </c>
    </row>
    <row r="5" spans="1:30" ht="15" thickBot="1" x14ac:dyDescent="0.35">
      <c r="A5" s="4">
        <v>16</v>
      </c>
      <c r="B5" s="5">
        <v>0.63</v>
      </c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>
        <f>IF(B5&gt;0,1+COUNTIFS(N$2:N4,"&gt;="&amp;1),0)</f>
        <v>4</v>
      </c>
      <c r="O5" s="7">
        <f>IF(C5&gt;0,1+COUNTIFS(O$2:O4,"&gt;="&amp;1),0)</f>
        <v>0</v>
      </c>
      <c r="P5" s="7">
        <f>IF(D5&gt;0,1+COUNTIFS(P$2:P4,"&gt;="&amp;1),0)</f>
        <v>0</v>
      </c>
      <c r="Q5" s="7">
        <f>IF(E5&gt;0,1+COUNTIFS(Q$2:Q4,"&gt;="&amp;1),0)</f>
        <v>0</v>
      </c>
      <c r="R5" s="7">
        <f>IF(F5&gt;0,1+COUNTIFS(R$2:R4,"&gt;="&amp;1),0)</f>
        <v>0</v>
      </c>
      <c r="S5" s="7">
        <f>IF(G5&gt;0,1+COUNTIFS(S$2:S4,"&gt;="&amp;1),0)</f>
        <v>0</v>
      </c>
      <c r="T5" s="7">
        <f>IF(H5&gt;0,1+COUNTIFS(T$2:T4,"&gt;="&amp;1),0)</f>
        <v>0</v>
      </c>
      <c r="U5" s="7">
        <f>IF(I5&gt;0,1+COUNTIFS(U$2:U4,"&gt;="&amp;1),0)</f>
        <v>0</v>
      </c>
      <c r="V5" s="7">
        <f>IF(J5&gt;0,1+COUNTIFS(V$2:V4,"&gt;="&amp;1),0)</f>
        <v>0</v>
      </c>
      <c r="W5" s="7">
        <f>IF(K5&gt;0,1+COUNTIFS(W$2:W4,"&gt;="&amp;1),0)</f>
        <v>0</v>
      </c>
      <c r="X5" s="7">
        <f>IF(L5&gt;0,1+COUNTIFS(X$2:X4,"&gt;="&amp;1),0)</f>
        <v>0</v>
      </c>
      <c r="Y5" s="7">
        <f>IF(M5&gt;0,1+COUNTIFS(Y$2:Y4,"&gt;="&amp;1),0)</f>
        <v>0</v>
      </c>
      <c r="Z5" s="10" t="s">
        <v>86</v>
      </c>
      <c r="AB5" s="7">
        <v>4</v>
      </c>
      <c r="AC5" s="5">
        <f>IFERROR(INDEX($A$2:$A$30,MATCH(AB5,$N$2:$N$30,0)),"")</f>
        <v>16</v>
      </c>
      <c r="AD5" s="10" t="str">
        <f>IFERROR(VLOOKUP(AC5,List!$A$1:$B$29,2,FALSE),"")</f>
        <v>People tend to come to me for advice about boating</v>
      </c>
    </row>
    <row r="6" spans="1:30" ht="15" thickBot="1" x14ac:dyDescent="0.35">
      <c r="A6" s="4">
        <v>23</v>
      </c>
      <c r="B6" s="5">
        <v>0.57999999999999996</v>
      </c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>
        <f>IF(B6&gt;0,1+COUNTIFS(N$2:N5,"&gt;="&amp;1),0)</f>
        <v>5</v>
      </c>
      <c r="O6" s="7">
        <f>IF(C6&gt;0,1+COUNTIFS(O$2:O5,"&gt;="&amp;1),0)</f>
        <v>0</v>
      </c>
      <c r="P6" s="7">
        <f>IF(D6&gt;0,1+COUNTIFS(P$2:P5,"&gt;="&amp;1),0)</f>
        <v>0</v>
      </c>
      <c r="Q6" s="7">
        <f>IF(E6&gt;0,1+COUNTIFS(Q$2:Q5,"&gt;="&amp;1),0)</f>
        <v>0</v>
      </c>
      <c r="R6" s="7">
        <f>IF(F6&gt;0,1+COUNTIFS(R$2:R5,"&gt;="&amp;1),0)</f>
        <v>0</v>
      </c>
      <c r="S6" s="7">
        <f>IF(G6&gt;0,1+COUNTIFS(S$2:S5,"&gt;="&amp;1),0)</f>
        <v>0</v>
      </c>
      <c r="T6" s="7">
        <f>IF(H6&gt;0,1+COUNTIFS(T$2:T5,"&gt;="&amp;1),0)</f>
        <v>0</v>
      </c>
      <c r="U6" s="7">
        <f>IF(I6&gt;0,1+COUNTIFS(U$2:U5,"&gt;="&amp;1),0)</f>
        <v>0</v>
      </c>
      <c r="V6" s="7">
        <f>IF(J6&gt;0,1+COUNTIFS(V$2:V5,"&gt;="&amp;1),0)</f>
        <v>0</v>
      </c>
      <c r="W6" s="7">
        <f>IF(K6&gt;0,1+COUNTIFS(W$2:W5,"&gt;="&amp;1),0)</f>
        <v>0</v>
      </c>
      <c r="X6" s="7">
        <f>IF(L6&gt;0,1+COUNTIFS(X$2:X5,"&gt;="&amp;1),0)</f>
        <v>0</v>
      </c>
      <c r="Y6" s="7">
        <f>IF(M6&gt;0,1+COUNTIFS(Y$2:Y5,"&gt;="&amp;1),0)</f>
        <v>0</v>
      </c>
      <c r="Z6" s="10" t="s">
        <v>86</v>
      </c>
      <c r="AB6" s="7">
        <v>5</v>
      </c>
      <c r="AC6" s="5">
        <f>IFERROR(INDEX($A$2:$A$30,MATCH(AB6,$N$2:$N$30,0)),"")</f>
        <v>23</v>
      </c>
      <c r="AD6" s="10" t="str">
        <f>IFERROR(VLOOKUP(AC6,List!$A$1:$B$29,2,FALSE),"")</f>
        <v>Boating allows me to excel in the sports that I am passionate about</v>
      </c>
    </row>
    <row r="7" spans="1:30" ht="15" thickBot="1" x14ac:dyDescent="0.35">
      <c r="A7" s="4">
        <v>17</v>
      </c>
      <c r="B7" s="5">
        <v>0.56000000000000005</v>
      </c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>
        <f>IF(B7&gt;0,1+COUNTIFS(N$2:N6,"&gt;="&amp;1),0)</f>
        <v>6</v>
      </c>
      <c r="O7" s="7">
        <f>IF(C7&gt;0,1+COUNTIFS(O$2:O6,"&gt;="&amp;1),0)</f>
        <v>0</v>
      </c>
      <c r="P7" s="7">
        <f>IF(D7&gt;0,1+COUNTIFS(P$2:P6,"&gt;="&amp;1),0)</f>
        <v>0</v>
      </c>
      <c r="Q7" s="7">
        <f>IF(E7&gt;0,1+COUNTIFS(Q$2:Q6,"&gt;="&amp;1),0)</f>
        <v>0</v>
      </c>
      <c r="R7" s="7">
        <f>IF(F7&gt;0,1+COUNTIFS(R$2:R6,"&gt;="&amp;1),0)</f>
        <v>0</v>
      </c>
      <c r="S7" s="7">
        <f>IF(G7&gt;0,1+COUNTIFS(S$2:S6,"&gt;="&amp;1),0)</f>
        <v>0</v>
      </c>
      <c r="T7" s="7">
        <f>IF(H7&gt;0,1+COUNTIFS(T$2:T6,"&gt;="&amp;1),0)</f>
        <v>0</v>
      </c>
      <c r="U7" s="7">
        <f>IF(I7&gt;0,1+COUNTIFS(U$2:U6,"&gt;="&amp;1),0)</f>
        <v>0</v>
      </c>
      <c r="V7" s="7">
        <f>IF(J7&gt;0,1+COUNTIFS(V$2:V6,"&gt;="&amp;1),0)</f>
        <v>0</v>
      </c>
      <c r="W7" s="7">
        <f>IF(K7&gt;0,1+COUNTIFS(W$2:W6,"&gt;="&amp;1),0)</f>
        <v>0</v>
      </c>
      <c r="X7" s="7">
        <f>IF(L7&gt;0,1+COUNTIFS(X$2:X6,"&gt;="&amp;1),0)</f>
        <v>0</v>
      </c>
      <c r="Y7" s="7">
        <f>IF(M7&gt;0,1+COUNTIFS(Y$2:Y6,"&gt;="&amp;1),0)</f>
        <v>0</v>
      </c>
      <c r="Z7" s="10" t="s">
        <v>86</v>
      </c>
      <c r="AB7" s="7">
        <v>6</v>
      </c>
      <c r="AC7" s="5">
        <f>IFERROR(INDEX($A$2:$A$30,MATCH(AB7,$N$2:$N$30,0)),"")</f>
        <v>17</v>
      </c>
      <c r="AD7" s="10" t="str">
        <f>IFERROR(VLOOKUP(AC7,List!$A$1:$B$29,2,FALSE),"")</f>
        <v>I consider myself more knowledgeable about boating than the rest of my boating peers</v>
      </c>
    </row>
    <row r="8" spans="1:30" ht="15" thickBot="1" x14ac:dyDescent="0.35">
      <c r="A8" s="4">
        <v>26</v>
      </c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>
        <f>IF(B8&gt;0,1+COUNTIFS(N$2:N7,"&gt;="&amp;1),0)</f>
        <v>0</v>
      </c>
      <c r="O8" s="7">
        <f>IF(C8&gt;0,1+COUNTIFS(O$2:O7,"&gt;="&amp;1),0)</f>
        <v>0</v>
      </c>
      <c r="P8" s="7">
        <f>IF(D8&gt;0,1+COUNTIFS(P$2:P7,"&gt;="&amp;1),0)</f>
        <v>0</v>
      </c>
      <c r="Q8" s="7">
        <f>IF(E8&gt;0,1+COUNTIFS(Q$2:Q7,"&gt;="&amp;1),0)</f>
        <v>0</v>
      </c>
      <c r="R8" s="7">
        <f>IF(F8&gt;0,1+COUNTIFS(R$2:R7,"&gt;="&amp;1),0)</f>
        <v>0</v>
      </c>
      <c r="S8" s="7">
        <f>IF(G8&gt;0,1+COUNTIFS(S$2:S7,"&gt;="&amp;1),0)</f>
        <v>0</v>
      </c>
      <c r="T8" s="7">
        <f>IF(H8&gt;0,1+COUNTIFS(T$2:T7,"&gt;="&amp;1),0)</f>
        <v>0</v>
      </c>
      <c r="U8" s="7">
        <f>IF(I8&gt;0,1+COUNTIFS(U$2:U7,"&gt;="&amp;1),0)</f>
        <v>0</v>
      </c>
      <c r="V8" s="7">
        <f>IF(J8&gt;0,1+COUNTIFS(V$2:V7,"&gt;="&amp;1),0)</f>
        <v>0</v>
      </c>
      <c r="W8" s="7">
        <f>IF(K8&gt;0,1+COUNTIFS(W$2:W7,"&gt;="&amp;1),0)</f>
        <v>0</v>
      </c>
      <c r="X8" s="7">
        <f>IF(L8&gt;0,1+COUNTIFS(X$2:X7,"&gt;="&amp;1),0)</f>
        <v>0</v>
      </c>
      <c r="Y8" s="7">
        <f>IF(M8&gt;0,1+COUNTIFS(Y$2:Y7,"&gt;="&amp;1),0)</f>
        <v>0</v>
      </c>
      <c r="Z8" s="10" t="s">
        <v>86</v>
      </c>
      <c r="AB8" s="7"/>
      <c r="AC8" s="5"/>
    </row>
    <row r="9" spans="1:30" ht="15" thickBot="1" x14ac:dyDescent="0.35">
      <c r="A9" s="4">
        <v>22</v>
      </c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>
        <f>IF(B9&gt;0,1+COUNTIFS(N$2:N8,"&gt;="&amp;1),0)</f>
        <v>0</v>
      </c>
      <c r="O9" s="7">
        <f>IF(C9&gt;0,1+COUNTIFS(O$2:O8,"&gt;="&amp;1),0)</f>
        <v>0</v>
      </c>
      <c r="P9" s="7">
        <f>IF(D9&gt;0,1+COUNTIFS(P$2:P8,"&gt;="&amp;1),0)</f>
        <v>0</v>
      </c>
      <c r="Q9" s="7">
        <f>IF(E9&gt;0,1+COUNTIFS(Q$2:Q8,"&gt;="&amp;1),0)</f>
        <v>0</v>
      </c>
      <c r="R9" s="7">
        <f>IF(F9&gt;0,1+COUNTIFS(R$2:R8,"&gt;="&amp;1),0)</f>
        <v>0</v>
      </c>
      <c r="S9" s="7">
        <f>IF(G9&gt;0,1+COUNTIFS(S$2:S8,"&gt;="&amp;1),0)</f>
        <v>0</v>
      </c>
      <c r="T9" s="7">
        <f>IF(H9&gt;0,1+COUNTIFS(T$2:T8,"&gt;="&amp;1),0)</f>
        <v>0</v>
      </c>
      <c r="U9" s="7">
        <f>IF(I9&gt;0,1+COUNTIFS(U$2:U8,"&gt;="&amp;1),0)</f>
        <v>0</v>
      </c>
      <c r="V9" s="7">
        <f>IF(J9&gt;0,1+COUNTIFS(V$2:V8,"&gt;="&amp;1),0)</f>
        <v>0</v>
      </c>
      <c r="W9" s="7">
        <f>IF(K9&gt;0,1+COUNTIFS(W$2:W8,"&gt;="&amp;1),0)</f>
        <v>0</v>
      </c>
      <c r="X9" s="7">
        <f>IF(L9&gt;0,1+COUNTIFS(X$2:X8,"&gt;="&amp;1),0)</f>
        <v>0</v>
      </c>
      <c r="Y9" s="7">
        <f>IF(M9&gt;0,1+COUNTIFS(Y$2:Y8,"&gt;="&amp;1),0)</f>
        <v>0</v>
      </c>
      <c r="Z9" s="10" t="s">
        <v>86</v>
      </c>
      <c r="AC9" s="11" t="s">
        <v>71</v>
      </c>
    </row>
    <row r="10" spans="1:30" ht="15" thickBot="1" x14ac:dyDescent="0.35">
      <c r="A10" s="4">
        <v>3</v>
      </c>
      <c r="B10" s="6"/>
      <c r="C10" s="6"/>
      <c r="D10" s="6"/>
      <c r="E10" s="5">
        <v>0.55000000000000004</v>
      </c>
      <c r="F10" s="6"/>
      <c r="G10" s="7"/>
      <c r="H10" s="7"/>
      <c r="I10" s="7"/>
      <c r="J10" s="7"/>
      <c r="K10" s="7"/>
      <c r="L10" s="7"/>
      <c r="M10" s="7"/>
      <c r="N10" s="7">
        <f>IF(B10&gt;0,1+COUNTIFS(N$2:N9,"&gt;="&amp;1),0)</f>
        <v>0</v>
      </c>
      <c r="O10" s="7">
        <f>IF(C10&gt;0,1+COUNTIFS(O$2:O9,"&gt;="&amp;1),0)</f>
        <v>0</v>
      </c>
      <c r="P10" s="7">
        <f>IF(D10&gt;0,1+COUNTIFS(P$2:P9,"&gt;="&amp;1),0)</f>
        <v>0</v>
      </c>
      <c r="Q10" s="7">
        <f>IF(E10&gt;0,1+COUNTIFS(Q$2:Q9,"&gt;="&amp;1),0)</f>
        <v>1</v>
      </c>
      <c r="R10" s="7">
        <f>IF(F10&gt;0,1+COUNTIFS(R$2:R9,"&gt;="&amp;1),0)</f>
        <v>0</v>
      </c>
      <c r="S10" s="7">
        <f>IF(G10&gt;0,1+COUNTIFS(S$2:S9,"&gt;="&amp;1),0)</f>
        <v>0</v>
      </c>
      <c r="T10" s="7">
        <f>IF(H10&gt;0,1+COUNTIFS(T$2:T9,"&gt;="&amp;1),0)</f>
        <v>0</v>
      </c>
      <c r="U10" s="7">
        <f>IF(I10&gt;0,1+COUNTIFS(U$2:U9,"&gt;="&amp;1),0)</f>
        <v>0</v>
      </c>
      <c r="V10" s="7">
        <f>IF(J10&gt;0,1+COUNTIFS(V$2:V9,"&gt;="&amp;1),0)</f>
        <v>0</v>
      </c>
      <c r="W10" s="7">
        <f>IF(K10&gt;0,1+COUNTIFS(W$2:W9,"&gt;="&amp;1),0)</f>
        <v>0</v>
      </c>
      <c r="X10" s="7">
        <f>IF(L10&gt;0,1+COUNTIFS(X$2:X9,"&gt;="&amp;1),0)</f>
        <v>0</v>
      </c>
      <c r="Y10" s="7">
        <f>IF(M10&gt;0,1+COUNTIFS(Y$2:Y9,"&gt;="&amp;1),0)</f>
        <v>0</v>
      </c>
      <c r="Z10" s="10" t="s">
        <v>86</v>
      </c>
      <c r="AB10" s="7">
        <v>1</v>
      </c>
      <c r="AC10" s="5">
        <f>IFERROR(INDEX($A$2:$A$30,MATCH(AB10,$O$2:$O$30,0)),"")</f>
        <v>13</v>
      </c>
      <c r="AD10" s="10" t="str">
        <f>IFERROR(VLOOKUP(AC10,List!$A$1:$B$29,2,FALSE),"")</f>
        <v>When buying a boat, I tend to buy the latest and greatest</v>
      </c>
    </row>
    <row r="11" spans="1:30" ht="15" thickBot="1" x14ac:dyDescent="0.35">
      <c r="A11" s="4">
        <v>9</v>
      </c>
      <c r="B11" s="6"/>
      <c r="C11" s="6"/>
      <c r="D11" s="6"/>
      <c r="E11" s="5">
        <v>0.64</v>
      </c>
      <c r="F11" s="6"/>
      <c r="G11" s="7"/>
      <c r="H11" s="7"/>
      <c r="I11" s="7"/>
      <c r="J11" s="7"/>
      <c r="K11" s="7"/>
      <c r="L11" s="7"/>
      <c r="M11" s="7"/>
      <c r="N11" s="7">
        <f>IF(B11&gt;0,1+COUNTIFS(N$2:N10,"&gt;="&amp;1),0)</f>
        <v>0</v>
      </c>
      <c r="O11" s="7">
        <f>IF(C11&gt;0,1+COUNTIFS(O$2:O10,"&gt;="&amp;1),0)</f>
        <v>0</v>
      </c>
      <c r="P11" s="7">
        <f>IF(D11&gt;0,1+COUNTIFS(P$2:P10,"&gt;="&amp;1),0)</f>
        <v>0</v>
      </c>
      <c r="Q11" s="7">
        <f>IF(E11&gt;0,1+COUNTIFS(Q$2:Q10,"&gt;="&amp;1),0)</f>
        <v>2</v>
      </c>
      <c r="R11" s="7">
        <f>IF(F11&gt;0,1+COUNTIFS(R$2:R10,"&gt;="&amp;1),0)</f>
        <v>0</v>
      </c>
      <c r="S11" s="7">
        <f>IF(G11&gt;0,1+COUNTIFS(S$2:S10,"&gt;="&amp;1),0)</f>
        <v>0</v>
      </c>
      <c r="T11" s="7">
        <f>IF(H11&gt;0,1+COUNTIFS(T$2:T10,"&gt;="&amp;1),0)</f>
        <v>0</v>
      </c>
      <c r="U11" s="7">
        <f>IF(I11&gt;0,1+COUNTIFS(U$2:U10,"&gt;="&amp;1),0)</f>
        <v>0</v>
      </c>
      <c r="V11" s="7">
        <f>IF(J11&gt;0,1+COUNTIFS(V$2:V10,"&gt;="&amp;1),0)</f>
        <v>0</v>
      </c>
      <c r="W11" s="7">
        <f>IF(K11&gt;0,1+COUNTIFS(W$2:W10,"&gt;="&amp;1),0)</f>
        <v>0</v>
      </c>
      <c r="X11" s="7">
        <f>IF(L11&gt;0,1+COUNTIFS(X$2:X10,"&gt;="&amp;1),0)</f>
        <v>0</v>
      </c>
      <c r="Y11" s="7">
        <f>IF(M11&gt;0,1+COUNTIFS(Y$2:Y10,"&gt;="&amp;1),0)</f>
        <v>0</v>
      </c>
      <c r="Z11" s="10" t="s">
        <v>86</v>
      </c>
      <c r="AB11" s="7">
        <v>2</v>
      </c>
      <c r="AC11" s="5">
        <f>IFERROR(INDEX($A$2:$A$30,MATCH(AB11,$O$2:$O$30,0)),"")</f>
        <v>14</v>
      </c>
      <c r="AD11" s="10" t="str">
        <f>IFERROR(VLOOKUP(AC11,List!$A$1:$B$29,2,FALSE),"")</f>
        <v>When buying accessories for my boat, I tend to buy the latest and greatest</v>
      </c>
    </row>
    <row r="12" spans="1:30" ht="15" thickBot="1" x14ac:dyDescent="0.35">
      <c r="A12" s="4">
        <v>13</v>
      </c>
      <c r="B12" s="6"/>
      <c r="C12" s="5">
        <v>0.75</v>
      </c>
      <c r="D12" s="6"/>
      <c r="E12" s="6"/>
      <c r="F12" s="6"/>
      <c r="G12" s="7"/>
      <c r="H12" s="7"/>
      <c r="I12" s="7"/>
      <c r="J12" s="7"/>
      <c r="K12" s="7"/>
      <c r="L12" s="7"/>
      <c r="M12" s="7"/>
      <c r="N12" s="7">
        <f>IF(B12&gt;0,1+COUNTIFS(N$2:N11,"&gt;="&amp;1),0)</f>
        <v>0</v>
      </c>
      <c r="O12" s="7">
        <f>IF(C12&gt;0,1+COUNTIFS(O$2:O11,"&gt;="&amp;1),0)</f>
        <v>1</v>
      </c>
      <c r="P12" s="7">
        <f>IF(D12&gt;0,1+COUNTIFS(P$2:P11,"&gt;="&amp;1),0)</f>
        <v>0</v>
      </c>
      <c r="Q12" s="7">
        <f>IF(E12&gt;0,1+COUNTIFS(Q$2:Q11,"&gt;="&amp;1),0)</f>
        <v>0</v>
      </c>
      <c r="R12" s="7">
        <f>IF(F12&gt;0,1+COUNTIFS(R$2:R11,"&gt;="&amp;1),0)</f>
        <v>0</v>
      </c>
      <c r="S12" s="7">
        <f>IF(G12&gt;0,1+COUNTIFS(S$2:S11,"&gt;="&amp;1),0)</f>
        <v>0</v>
      </c>
      <c r="T12" s="7">
        <f>IF(H12&gt;0,1+COUNTIFS(T$2:T11,"&gt;="&amp;1),0)</f>
        <v>0</v>
      </c>
      <c r="U12" s="7">
        <f>IF(I12&gt;0,1+COUNTIFS(U$2:U11,"&gt;="&amp;1),0)</f>
        <v>0</v>
      </c>
      <c r="V12" s="7">
        <f>IF(J12&gt;0,1+COUNTIFS(V$2:V11,"&gt;="&amp;1),0)</f>
        <v>0</v>
      </c>
      <c r="W12" s="7">
        <f>IF(K12&gt;0,1+COUNTIFS(W$2:W11,"&gt;="&amp;1),0)</f>
        <v>0</v>
      </c>
      <c r="X12" s="7">
        <f>IF(L12&gt;0,1+COUNTIFS(X$2:X11,"&gt;="&amp;1),0)</f>
        <v>0</v>
      </c>
      <c r="Y12" s="7">
        <f>IF(M12&gt;0,1+COUNTIFS(Y$2:Y11,"&gt;="&amp;1),0)</f>
        <v>0</v>
      </c>
      <c r="Z12" s="10" t="s">
        <v>86</v>
      </c>
      <c r="AB12" s="7">
        <v>3</v>
      </c>
      <c r="AC12" s="5">
        <f>IFERROR(INDEX($A$2:$A$30,MATCH(AB12,$O$2:$O$30,0)),"")</f>
        <v>15</v>
      </c>
      <c r="AD12" s="10" t="str">
        <f>IFERROR(VLOOKUP(AC12,List!$A$1:$B$29,2,FALSE),"")</f>
        <v>I am serious about the technology on my boat</v>
      </c>
    </row>
    <row r="13" spans="1:30" ht="15" thickBot="1" x14ac:dyDescent="0.35">
      <c r="A13" s="4">
        <v>14</v>
      </c>
      <c r="B13" s="6"/>
      <c r="C13" s="5">
        <v>0.75</v>
      </c>
      <c r="D13" s="6"/>
      <c r="E13" s="6"/>
      <c r="F13" s="6"/>
      <c r="G13" s="7"/>
      <c r="H13" s="7"/>
      <c r="I13" s="7"/>
      <c r="J13" s="7"/>
      <c r="K13" s="7"/>
      <c r="L13" s="7"/>
      <c r="M13" s="7"/>
      <c r="N13" s="7">
        <f>IF(B13&gt;0,1+COUNTIFS(N$2:N12,"&gt;="&amp;1),0)</f>
        <v>0</v>
      </c>
      <c r="O13" s="7">
        <f>IF(C13&gt;0,1+COUNTIFS(O$2:O12,"&gt;="&amp;1),0)</f>
        <v>2</v>
      </c>
      <c r="P13" s="7">
        <f>IF(D13&gt;0,1+COUNTIFS(P$2:P12,"&gt;="&amp;1),0)</f>
        <v>0</v>
      </c>
      <c r="Q13" s="7">
        <f>IF(E13&gt;0,1+COUNTIFS(Q$2:Q12,"&gt;="&amp;1),0)</f>
        <v>0</v>
      </c>
      <c r="R13" s="7">
        <f>IF(F13&gt;0,1+COUNTIFS(R$2:R12,"&gt;="&amp;1),0)</f>
        <v>0</v>
      </c>
      <c r="S13" s="7">
        <f>IF(G13&gt;0,1+COUNTIFS(S$2:S12,"&gt;="&amp;1),0)</f>
        <v>0</v>
      </c>
      <c r="T13" s="7">
        <f>IF(H13&gt;0,1+COUNTIFS(T$2:T12,"&gt;="&amp;1),0)</f>
        <v>0</v>
      </c>
      <c r="U13" s="7">
        <f>IF(I13&gt;0,1+COUNTIFS(U$2:U12,"&gt;="&amp;1),0)</f>
        <v>0</v>
      </c>
      <c r="V13" s="7">
        <f>IF(J13&gt;0,1+COUNTIFS(V$2:V12,"&gt;="&amp;1),0)</f>
        <v>0</v>
      </c>
      <c r="W13" s="7">
        <f>IF(K13&gt;0,1+COUNTIFS(W$2:W12,"&gt;="&amp;1),0)</f>
        <v>0</v>
      </c>
      <c r="X13" s="7">
        <f>IF(L13&gt;0,1+COUNTIFS(X$2:X12,"&gt;="&amp;1),0)</f>
        <v>0</v>
      </c>
      <c r="Y13" s="7">
        <f>IF(M13&gt;0,1+COUNTIFS(Y$2:Y12,"&gt;="&amp;1),0)</f>
        <v>0</v>
      </c>
      <c r="Z13" s="10" t="s">
        <v>86</v>
      </c>
      <c r="AB13" s="7"/>
      <c r="AC13" s="5"/>
    </row>
    <row r="14" spans="1:30" ht="15" thickBot="1" x14ac:dyDescent="0.35">
      <c r="A14" s="4">
        <v>5</v>
      </c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>
        <f>IF(B14&gt;0,1+COUNTIFS(N$2:N13,"&gt;="&amp;1),0)</f>
        <v>0</v>
      </c>
      <c r="O14" s="7">
        <f>IF(C14&gt;0,1+COUNTIFS(O$2:O13,"&gt;="&amp;1),0)</f>
        <v>0</v>
      </c>
      <c r="P14" s="7">
        <f>IF(D14&gt;0,1+COUNTIFS(P$2:P13,"&gt;="&amp;1),0)</f>
        <v>0</v>
      </c>
      <c r="Q14" s="7">
        <f>IF(E14&gt;0,1+COUNTIFS(Q$2:Q13,"&gt;="&amp;1),0)</f>
        <v>0</v>
      </c>
      <c r="R14" s="7">
        <f>IF(F14&gt;0,1+COUNTIFS(R$2:R13,"&gt;="&amp;1),0)</f>
        <v>0</v>
      </c>
      <c r="S14" s="7">
        <f>IF(G14&gt;0,1+COUNTIFS(S$2:S13,"&gt;="&amp;1),0)</f>
        <v>0</v>
      </c>
      <c r="T14" s="7">
        <f>IF(H14&gt;0,1+COUNTIFS(T$2:T13,"&gt;="&amp;1),0)</f>
        <v>0</v>
      </c>
      <c r="U14" s="7">
        <f>IF(I14&gt;0,1+COUNTIFS(U$2:U13,"&gt;="&amp;1),0)</f>
        <v>0</v>
      </c>
      <c r="V14" s="7">
        <f>IF(J14&gt;0,1+COUNTIFS(V$2:V13,"&gt;="&amp;1),0)</f>
        <v>0</v>
      </c>
      <c r="W14" s="7">
        <f>IF(K14&gt;0,1+COUNTIFS(W$2:W13,"&gt;="&amp;1),0)</f>
        <v>0</v>
      </c>
      <c r="X14" s="7">
        <f>IF(L14&gt;0,1+COUNTIFS(X$2:X13,"&gt;="&amp;1),0)</f>
        <v>0</v>
      </c>
      <c r="Y14" s="7">
        <f>IF(M14&gt;0,1+COUNTIFS(Y$2:Y13,"&gt;="&amp;1),0)</f>
        <v>0</v>
      </c>
      <c r="Z14" s="10" t="s">
        <v>86</v>
      </c>
      <c r="AC14" s="11" t="s">
        <v>37</v>
      </c>
    </row>
    <row r="15" spans="1:30" ht="15" thickBot="1" x14ac:dyDescent="0.35">
      <c r="A15" s="4">
        <v>25</v>
      </c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>
        <f>IF(B15&gt;0,1+COUNTIFS(N$2:N14,"&gt;="&amp;1),0)</f>
        <v>0</v>
      </c>
      <c r="O15" s="7">
        <f>IF(C15&gt;0,1+COUNTIFS(O$2:O14,"&gt;="&amp;1),0)</f>
        <v>0</v>
      </c>
      <c r="P15" s="7">
        <f>IF(D15&gt;0,1+COUNTIFS(P$2:P14,"&gt;="&amp;1),0)</f>
        <v>0</v>
      </c>
      <c r="Q15" s="7">
        <f>IF(E15&gt;0,1+COUNTIFS(Q$2:Q14,"&gt;="&amp;1),0)</f>
        <v>0</v>
      </c>
      <c r="R15" s="7">
        <f>IF(F15&gt;0,1+COUNTIFS(R$2:R14,"&gt;="&amp;1),0)</f>
        <v>0</v>
      </c>
      <c r="S15" s="7">
        <f>IF(G15&gt;0,1+COUNTIFS(S$2:S14,"&gt;="&amp;1),0)</f>
        <v>0</v>
      </c>
      <c r="T15" s="7">
        <f>IF(H15&gt;0,1+COUNTIFS(T$2:T14,"&gt;="&amp;1),0)</f>
        <v>0</v>
      </c>
      <c r="U15" s="7">
        <f>IF(I15&gt;0,1+COUNTIFS(U$2:U14,"&gt;="&amp;1),0)</f>
        <v>0</v>
      </c>
      <c r="V15" s="7">
        <f>IF(J15&gt;0,1+COUNTIFS(V$2:V14,"&gt;="&amp;1),0)</f>
        <v>0</v>
      </c>
      <c r="W15" s="7">
        <f>IF(K15&gt;0,1+COUNTIFS(W$2:W14,"&gt;="&amp;1),0)</f>
        <v>0</v>
      </c>
      <c r="X15" s="7">
        <f>IF(L15&gt;0,1+COUNTIFS(X$2:X14,"&gt;="&amp;1),0)</f>
        <v>0</v>
      </c>
      <c r="Y15" s="7">
        <f>IF(M15&gt;0,1+COUNTIFS(Y$2:Y14,"&gt;="&amp;1),0)</f>
        <v>0</v>
      </c>
      <c r="Z15" s="10" t="s">
        <v>86</v>
      </c>
      <c r="AB15" s="7">
        <v>1</v>
      </c>
      <c r="AC15" s="5">
        <f>IFERROR(INDEX($A$2:$A$30,MATCH(AB15,$P$2:$P$30,0)),"")</f>
        <v>18</v>
      </c>
      <c r="AD15" s="10" t="str">
        <f>IFERROR(VLOOKUP(AC15,List!$A$1:$B$29,2,FALSE),"")</f>
        <v>Boating gives me a feeling of adventure</v>
      </c>
    </row>
    <row r="16" spans="1:30" ht="15" thickBot="1" x14ac:dyDescent="0.35">
      <c r="A16" s="4">
        <v>15</v>
      </c>
      <c r="B16" s="6"/>
      <c r="C16" s="5">
        <v>0.63</v>
      </c>
      <c r="D16" s="6"/>
      <c r="E16" s="6"/>
      <c r="F16" s="6"/>
      <c r="G16" s="7"/>
      <c r="H16" s="7"/>
      <c r="I16" s="7"/>
      <c r="J16" s="7"/>
      <c r="K16" s="7"/>
      <c r="L16" s="7"/>
      <c r="M16" s="7"/>
      <c r="N16" s="7">
        <f>IF(B16&gt;0,1+COUNTIFS(N$2:N15,"&gt;="&amp;1),0)</f>
        <v>0</v>
      </c>
      <c r="O16" s="7">
        <f>IF(C16&gt;0,1+COUNTIFS(O$2:O15,"&gt;="&amp;1),0)</f>
        <v>3</v>
      </c>
      <c r="P16" s="7">
        <f>IF(D16&gt;0,1+COUNTIFS(P$2:P15,"&gt;="&amp;1),0)</f>
        <v>0</v>
      </c>
      <c r="Q16" s="7">
        <f>IF(E16&gt;0,1+COUNTIFS(Q$2:Q15,"&gt;="&amp;1),0)</f>
        <v>0</v>
      </c>
      <c r="R16" s="7">
        <f>IF(F16&gt;0,1+COUNTIFS(R$2:R15,"&gt;="&amp;1),0)</f>
        <v>0</v>
      </c>
      <c r="S16" s="7">
        <f>IF(G16&gt;0,1+COUNTIFS(S$2:S15,"&gt;="&amp;1),0)</f>
        <v>0</v>
      </c>
      <c r="T16" s="7">
        <f>IF(H16&gt;0,1+COUNTIFS(T$2:T15,"&gt;="&amp;1),0)</f>
        <v>0</v>
      </c>
      <c r="U16" s="7">
        <f>IF(I16&gt;0,1+COUNTIFS(U$2:U15,"&gt;="&amp;1),0)</f>
        <v>0</v>
      </c>
      <c r="V16" s="7">
        <f>IF(J16&gt;0,1+COUNTIFS(V$2:V15,"&gt;="&amp;1),0)</f>
        <v>0</v>
      </c>
      <c r="W16" s="7">
        <f>IF(K16&gt;0,1+COUNTIFS(W$2:W15,"&gt;="&amp;1),0)</f>
        <v>0</v>
      </c>
      <c r="X16" s="7">
        <f>IF(L16&gt;0,1+COUNTIFS(X$2:X15,"&gt;="&amp;1),0)</f>
        <v>0</v>
      </c>
      <c r="Y16" s="7">
        <f>IF(M16&gt;0,1+COUNTIFS(Y$2:Y15,"&gt;="&amp;1),0)</f>
        <v>0</v>
      </c>
      <c r="Z16" s="10" t="s">
        <v>86</v>
      </c>
      <c r="AB16" s="7">
        <v>2</v>
      </c>
      <c r="AC16" s="5">
        <f>IFERROR(INDEX($A$2:$A$30,MATCH(AB16,$P$2:$P$30,0)),"")</f>
        <v>21</v>
      </c>
      <c r="AD16" s="10" t="str">
        <f>IFERROR(VLOOKUP(AC16,List!$A$1:$B$29,2,FALSE),"")</f>
        <v>Boating helps me escape from everyday life and relax</v>
      </c>
    </row>
    <row r="17" spans="1:30" ht="15" thickBot="1" x14ac:dyDescent="0.35">
      <c r="A17" s="4">
        <v>6</v>
      </c>
      <c r="B17" s="6"/>
      <c r="C17" s="6"/>
      <c r="D17" s="6"/>
      <c r="E17" s="5">
        <v>0.62</v>
      </c>
      <c r="F17" s="6"/>
      <c r="G17" s="7"/>
      <c r="H17" s="7"/>
      <c r="I17" s="7"/>
      <c r="J17" s="7"/>
      <c r="K17" s="7"/>
      <c r="L17" s="7"/>
      <c r="M17" s="7"/>
      <c r="N17" s="7">
        <f>IF(B17&gt;0,1+COUNTIFS(N$2:N16,"&gt;="&amp;1),0)</f>
        <v>0</v>
      </c>
      <c r="O17" s="7">
        <f>IF(C17&gt;0,1+COUNTIFS(O$2:O16,"&gt;="&amp;1),0)</f>
        <v>0</v>
      </c>
      <c r="P17" s="7">
        <f>IF(D17&gt;0,1+COUNTIFS(P$2:P16,"&gt;="&amp;1),0)</f>
        <v>0</v>
      </c>
      <c r="Q17" s="7">
        <f>IF(E17&gt;0,1+COUNTIFS(Q$2:Q16,"&gt;="&amp;1),0)</f>
        <v>3</v>
      </c>
      <c r="R17" s="7">
        <f>IF(F17&gt;0,1+COUNTIFS(R$2:R16,"&gt;="&amp;1),0)</f>
        <v>0</v>
      </c>
      <c r="S17" s="7">
        <f>IF(G17&gt;0,1+COUNTIFS(S$2:S16,"&gt;="&amp;1),0)</f>
        <v>0</v>
      </c>
      <c r="T17" s="7">
        <f>IF(H17&gt;0,1+COUNTIFS(T$2:T16,"&gt;="&amp;1),0)</f>
        <v>0</v>
      </c>
      <c r="U17" s="7">
        <f>IF(I17&gt;0,1+COUNTIFS(U$2:U16,"&gt;="&amp;1),0)</f>
        <v>0</v>
      </c>
      <c r="V17" s="7">
        <f>IF(J17&gt;0,1+COUNTIFS(V$2:V16,"&gt;="&amp;1),0)</f>
        <v>0</v>
      </c>
      <c r="W17" s="7">
        <f>IF(K17&gt;0,1+COUNTIFS(W$2:W16,"&gt;="&amp;1),0)</f>
        <v>0</v>
      </c>
      <c r="X17" s="7">
        <f>IF(L17&gt;0,1+COUNTIFS(X$2:X16,"&gt;="&amp;1),0)</f>
        <v>0</v>
      </c>
      <c r="Y17" s="7">
        <f>IF(M17&gt;0,1+COUNTIFS(Y$2:Y16,"&gt;="&amp;1),0)</f>
        <v>0</v>
      </c>
      <c r="Z17" s="10" t="s">
        <v>86</v>
      </c>
      <c r="AB17" s="7">
        <v>3</v>
      </c>
      <c r="AC17" s="5">
        <f>IFERROR(INDEX($A$2:$A$30,MATCH(AB17,$P$2:$P$30,0)),"")</f>
        <v>19</v>
      </c>
      <c r="AD17" s="10" t="str">
        <f>IFERROR(VLOOKUP(AC17,List!$A$1:$B$29,2,FALSE),"")</f>
        <v>Boating allows me to experience nature</v>
      </c>
    </row>
    <row r="18" spans="1:30" ht="15" thickBot="1" x14ac:dyDescent="0.35">
      <c r="A18" s="4">
        <v>7</v>
      </c>
      <c r="B18" s="6"/>
      <c r="C18" s="6"/>
      <c r="D18" s="6"/>
      <c r="E18" s="5">
        <v>0.74</v>
      </c>
      <c r="F18" s="6"/>
      <c r="G18" s="7"/>
      <c r="H18" s="7"/>
      <c r="I18" s="7"/>
      <c r="J18" s="7"/>
      <c r="K18" s="7"/>
      <c r="L18" s="7"/>
      <c r="M18" s="7"/>
      <c r="N18" s="7">
        <f>IF(B18&gt;0,1+COUNTIFS(N$2:N17,"&gt;="&amp;1),0)</f>
        <v>0</v>
      </c>
      <c r="O18" s="7">
        <f>IF(C18&gt;0,1+COUNTIFS(O$2:O17,"&gt;="&amp;1),0)</f>
        <v>0</v>
      </c>
      <c r="P18" s="7">
        <f>IF(D18&gt;0,1+COUNTIFS(P$2:P17,"&gt;="&amp;1),0)</f>
        <v>0</v>
      </c>
      <c r="Q18" s="7">
        <f>IF(E18&gt;0,1+COUNTIFS(Q$2:Q17,"&gt;="&amp;1),0)</f>
        <v>4</v>
      </c>
      <c r="R18" s="7">
        <f>IF(F18&gt;0,1+COUNTIFS(R$2:R17,"&gt;="&amp;1),0)</f>
        <v>0</v>
      </c>
      <c r="S18" s="7">
        <f>IF(G18&gt;0,1+COUNTIFS(S$2:S17,"&gt;="&amp;1),0)</f>
        <v>0</v>
      </c>
      <c r="T18" s="7">
        <f>IF(H18&gt;0,1+COUNTIFS(T$2:T17,"&gt;="&amp;1),0)</f>
        <v>0</v>
      </c>
      <c r="U18" s="7">
        <f>IF(I18&gt;0,1+COUNTIFS(U$2:U17,"&gt;="&amp;1),0)</f>
        <v>0</v>
      </c>
      <c r="V18" s="7">
        <f>IF(J18&gt;0,1+COUNTIFS(V$2:V17,"&gt;="&amp;1),0)</f>
        <v>0</v>
      </c>
      <c r="W18" s="7">
        <f>IF(K18&gt;0,1+COUNTIFS(W$2:W17,"&gt;="&amp;1),0)</f>
        <v>0</v>
      </c>
      <c r="X18" s="7">
        <f>IF(L18&gt;0,1+COUNTIFS(X$2:X17,"&gt;="&amp;1),0)</f>
        <v>0</v>
      </c>
      <c r="Y18" s="7">
        <f>IF(M18&gt;0,1+COUNTIFS(Y$2:Y17,"&gt;="&amp;1),0)</f>
        <v>0</v>
      </c>
      <c r="Z18" s="10" t="s">
        <v>86</v>
      </c>
      <c r="AB18" s="7"/>
      <c r="AC18" s="5"/>
    </row>
    <row r="19" spans="1:30" ht="15" thickBot="1" x14ac:dyDescent="0.35">
      <c r="A19" s="4">
        <v>12</v>
      </c>
      <c r="B19" s="6"/>
      <c r="C19" s="6"/>
      <c r="D19" s="6"/>
      <c r="E19" s="6"/>
      <c r="F19" s="5">
        <v>0.63</v>
      </c>
      <c r="G19" s="7"/>
      <c r="H19" s="7"/>
      <c r="I19" s="7"/>
      <c r="J19" s="7"/>
      <c r="K19" s="7"/>
      <c r="L19" s="7"/>
      <c r="M19" s="7"/>
      <c r="N19" s="7">
        <f>IF(B19&gt;0,1+COUNTIFS(N$2:N18,"&gt;="&amp;1),0)</f>
        <v>0</v>
      </c>
      <c r="O19" s="7">
        <f>IF(C19&gt;0,1+COUNTIFS(O$2:O18,"&gt;="&amp;1),0)</f>
        <v>0</v>
      </c>
      <c r="P19" s="7">
        <f>IF(D19&gt;0,1+COUNTIFS(P$2:P18,"&gt;="&amp;1),0)</f>
        <v>0</v>
      </c>
      <c r="Q19" s="7">
        <f>IF(E19&gt;0,1+COUNTIFS(Q$2:Q18,"&gt;="&amp;1),0)</f>
        <v>0</v>
      </c>
      <c r="R19" s="7">
        <f>IF(F19&gt;0,1+COUNTIFS(R$2:R18,"&gt;="&amp;1),0)</f>
        <v>1</v>
      </c>
      <c r="S19" s="7">
        <f>IF(G19&gt;0,1+COUNTIFS(S$2:S18,"&gt;="&amp;1),0)</f>
        <v>0</v>
      </c>
      <c r="T19" s="7">
        <f>IF(H19&gt;0,1+COUNTIFS(T$2:T18,"&gt;="&amp;1),0)</f>
        <v>0</v>
      </c>
      <c r="U19" s="7">
        <f>IF(I19&gt;0,1+COUNTIFS(U$2:U18,"&gt;="&amp;1),0)</f>
        <v>0</v>
      </c>
      <c r="V19" s="7">
        <f>IF(J19&gt;0,1+COUNTIFS(V$2:V18,"&gt;="&amp;1),0)</f>
        <v>0</v>
      </c>
      <c r="W19" s="7">
        <f>IF(K19&gt;0,1+COUNTIFS(W$2:W18,"&gt;="&amp;1),0)</f>
        <v>0</v>
      </c>
      <c r="X19" s="7">
        <f>IF(L19&gt;0,1+COUNTIFS(X$2:X18,"&gt;="&amp;1),0)</f>
        <v>0</v>
      </c>
      <c r="Y19" s="7">
        <f>IF(M19&gt;0,1+COUNTIFS(Y$2:Y18,"&gt;="&amp;1),0)</f>
        <v>0</v>
      </c>
      <c r="Z19" s="10" t="s">
        <v>86</v>
      </c>
      <c r="AC19" s="9" t="s">
        <v>61</v>
      </c>
    </row>
    <row r="20" spans="1:30" ht="15" thickBot="1" x14ac:dyDescent="0.35">
      <c r="A20" s="4">
        <v>24</v>
      </c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8">
        <v>0.77</v>
      </c>
      <c r="N20" s="7">
        <f>IF(B20&gt;0,1+COUNTIFS(N$2:N19,"&gt;="&amp;1),0)</f>
        <v>0</v>
      </c>
      <c r="O20" s="7">
        <f>IF(C20&gt;0,1+COUNTIFS(O$2:O19,"&gt;="&amp;1),0)</f>
        <v>0</v>
      </c>
      <c r="P20" s="7">
        <f>IF(D20&gt;0,1+COUNTIFS(P$2:P19,"&gt;="&amp;1),0)</f>
        <v>0</v>
      </c>
      <c r="Q20" s="7">
        <f>IF(E20&gt;0,1+COUNTIFS(Q$2:Q19,"&gt;="&amp;1),0)</f>
        <v>0</v>
      </c>
      <c r="R20" s="7">
        <f>IF(F20&gt;0,1+COUNTIFS(R$2:R19,"&gt;="&amp;1),0)</f>
        <v>0</v>
      </c>
      <c r="S20" s="7">
        <f>IF(G20&gt;0,1+COUNTIFS(S$2:S19,"&gt;="&amp;1),0)</f>
        <v>0</v>
      </c>
      <c r="T20" s="7">
        <f>IF(H20&gt;0,1+COUNTIFS(T$2:T19,"&gt;="&amp;1),0)</f>
        <v>0</v>
      </c>
      <c r="U20" s="7">
        <f>IF(I20&gt;0,1+COUNTIFS(U$2:U19,"&gt;="&amp;1),0)</f>
        <v>0</v>
      </c>
      <c r="V20" s="7">
        <f>IF(J20&gt;0,1+COUNTIFS(V$2:V19,"&gt;="&amp;1),0)</f>
        <v>0</v>
      </c>
      <c r="W20" s="7">
        <f>IF(K20&gt;0,1+COUNTIFS(W$2:W19,"&gt;="&amp;1),0)</f>
        <v>0</v>
      </c>
      <c r="X20" s="7">
        <f>IF(L20&gt;0,1+COUNTIFS(X$2:X19,"&gt;="&amp;1),0)</f>
        <v>0</v>
      </c>
      <c r="Y20" s="7">
        <f>IF(M20&gt;0,1+COUNTIFS(Y$2:Y19,"&gt;="&amp;1),0)</f>
        <v>1</v>
      </c>
      <c r="Z20" s="10" t="s">
        <v>86</v>
      </c>
      <c r="AB20" s="7">
        <v>1</v>
      </c>
      <c r="AC20" s="5">
        <f>IFERROR(INDEX($A$2:$A$30,MATCH(AB20,$Q$2:$Q$30,0)),"")</f>
        <v>3</v>
      </c>
      <c r="AD20" s="10" t="str">
        <f>IFERROR(VLOOKUP(AC20,List!$A$1:$B$29,2,FALSE),"")</f>
        <v>The brand of the boat I buy says a lot about who I am</v>
      </c>
    </row>
    <row r="21" spans="1:30" ht="15" thickBot="1" x14ac:dyDescent="0.35">
      <c r="A21" s="4">
        <v>11</v>
      </c>
      <c r="B21" s="6"/>
      <c r="C21" s="6"/>
      <c r="D21" s="6"/>
      <c r="E21" s="6"/>
      <c r="F21" s="6"/>
      <c r="G21" s="8">
        <v>0.88</v>
      </c>
      <c r="H21" s="7"/>
      <c r="I21" s="7"/>
      <c r="J21" s="7"/>
      <c r="K21" s="7"/>
      <c r="L21" s="7"/>
      <c r="M21" s="7"/>
      <c r="N21" s="7">
        <f>IF(B21&gt;0,1+COUNTIFS(N$2:N20,"&gt;="&amp;1),0)</f>
        <v>0</v>
      </c>
      <c r="O21" s="7">
        <f>IF(C21&gt;0,1+COUNTIFS(O$2:O20,"&gt;="&amp;1),0)</f>
        <v>0</v>
      </c>
      <c r="P21" s="7">
        <f>IF(D21&gt;0,1+COUNTIFS(P$2:P20,"&gt;="&amp;1),0)</f>
        <v>0</v>
      </c>
      <c r="Q21" s="7">
        <f>IF(E21&gt;0,1+COUNTIFS(Q$2:Q20,"&gt;="&amp;1),0)</f>
        <v>0</v>
      </c>
      <c r="R21" s="7">
        <f>IF(F21&gt;0,1+COUNTIFS(R$2:R20,"&gt;="&amp;1),0)</f>
        <v>0</v>
      </c>
      <c r="S21" s="7">
        <f>IF(G21&gt;0,1+COUNTIFS(S$2:S20,"&gt;="&amp;1),0)</f>
        <v>1</v>
      </c>
      <c r="T21" s="7">
        <f>IF(H21&gt;0,1+COUNTIFS(T$2:T20,"&gt;="&amp;1),0)</f>
        <v>0</v>
      </c>
      <c r="U21" s="7">
        <f>IF(I21&gt;0,1+COUNTIFS(U$2:U20,"&gt;="&amp;1),0)</f>
        <v>0</v>
      </c>
      <c r="V21" s="7">
        <f>IF(J21&gt;0,1+COUNTIFS(V$2:V20,"&gt;="&amp;1),0)</f>
        <v>0</v>
      </c>
      <c r="W21" s="7">
        <f>IF(K21&gt;0,1+COUNTIFS(W$2:W20,"&gt;="&amp;1),0)</f>
        <v>0</v>
      </c>
      <c r="X21" s="7">
        <f>IF(L21&gt;0,1+COUNTIFS(X$2:X20,"&gt;="&amp;1),0)</f>
        <v>0</v>
      </c>
      <c r="Y21" s="7">
        <f>IF(M21&gt;0,1+COUNTIFS(Y$2:Y20,"&gt;="&amp;1),0)</f>
        <v>0</v>
      </c>
      <c r="Z21" s="10" t="s">
        <v>86</v>
      </c>
      <c r="AB21" s="7">
        <v>2</v>
      </c>
      <c r="AC21" s="5">
        <f>IFERROR(INDEX($A$2:$A$30,MATCH(AB21,$Q$2:$Q$30,0)),"")</f>
        <v>9</v>
      </c>
      <c r="AD21" s="10" t="str">
        <f>IFERROR(VLOOKUP(AC21,List!$A$1:$B$29,2,FALSE),"")</f>
        <v>I see my boat as status symbol</v>
      </c>
    </row>
    <row r="22" spans="1:30" ht="15" thickBot="1" x14ac:dyDescent="0.35">
      <c r="A22" s="4">
        <v>18</v>
      </c>
      <c r="B22" s="6"/>
      <c r="C22" s="6"/>
      <c r="D22" s="5">
        <v>0.72</v>
      </c>
      <c r="E22" s="6"/>
      <c r="F22" s="6"/>
      <c r="G22" s="7"/>
      <c r="H22" s="7"/>
      <c r="I22" s="7"/>
      <c r="J22" s="7"/>
      <c r="K22" s="7"/>
      <c r="L22" s="7"/>
      <c r="M22" s="7"/>
      <c r="N22" s="7">
        <f>IF(B22&gt;0,1+COUNTIFS(N$2:N21,"&gt;="&amp;1),0)</f>
        <v>0</v>
      </c>
      <c r="O22" s="7">
        <f>IF(C22&gt;0,1+COUNTIFS(O$2:O21,"&gt;="&amp;1),0)</f>
        <v>0</v>
      </c>
      <c r="P22" s="7">
        <f>IF(D22&gt;0,1+COUNTIFS(P$2:P21,"&gt;="&amp;1),0)</f>
        <v>1</v>
      </c>
      <c r="Q22" s="7">
        <f>IF(E22&gt;0,1+COUNTIFS(Q$2:Q21,"&gt;="&amp;1),0)</f>
        <v>0</v>
      </c>
      <c r="R22" s="7">
        <f>IF(F22&gt;0,1+COUNTIFS(R$2:R21,"&gt;="&amp;1),0)</f>
        <v>0</v>
      </c>
      <c r="S22" s="7">
        <f>IF(G22&gt;0,1+COUNTIFS(S$2:S21,"&gt;="&amp;1),0)</f>
        <v>0</v>
      </c>
      <c r="T22" s="7">
        <f>IF(H22&gt;0,1+COUNTIFS(T$2:T21,"&gt;="&amp;1),0)</f>
        <v>0</v>
      </c>
      <c r="U22" s="7">
        <f>IF(I22&gt;0,1+COUNTIFS(U$2:U21,"&gt;="&amp;1),0)</f>
        <v>0</v>
      </c>
      <c r="V22" s="7">
        <f>IF(J22&gt;0,1+COUNTIFS(V$2:V21,"&gt;="&amp;1),0)</f>
        <v>0</v>
      </c>
      <c r="W22" s="7">
        <f>IF(K22&gt;0,1+COUNTIFS(W$2:W21,"&gt;="&amp;1),0)</f>
        <v>0</v>
      </c>
      <c r="X22" s="7">
        <f>IF(L22&gt;0,1+COUNTIFS(X$2:X21,"&gt;="&amp;1),0)</f>
        <v>0</v>
      </c>
      <c r="Y22" s="7">
        <f>IF(M22&gt;0,1+COUNTIFS(Y$2:Y21,"&gt;="&amp;1),0)</f>
        <v>0</v>
      </c>
      <c r="Z22" s="10" t="s">
        <v>86</v>
      </c>
      <c r="AB22" s="7">
        <v>3</v>
      </c>
      <c r="AC22" s="5">
        <f>IFERROR(INDEX($A$2:$A$30,MATCH(AB22,$Q$2:$Q$30,0)),"")</f>
        <v>6</v>
      </c>
      <c r="AD22" s="10" t="str">
        <f>IFERROR(VLOOKUP(AC22,List!$A$1:$B$29,2,FALSE),"")</f>
        <v>Owning a boat is a way of rewarding myself for hard work</v>
      </c>
    </row>
    <row r="23" spans="1:30" ht="15" thickBot="1" x14ac:dyDescent="0.35">
      <c r="A23" s="4">
        <v>21</v>
      </c>
      <c r="B23" s="6"/>
      <c r="C23" s="6"/>
      <c r="D23" s="5">
        <v>0.56999999999999995</v>
      </c>
      <c r="E23" s="6"/>
      <c r="F23" s="6"/>
      <c r="G23" s="7"/>
      <c r="H23" s="7"/>
      <c r="I23" s="7"/>
      <c r="J23" s="7"/>
      <c r="K23" s="7"/>
      <c r="L23" s="7"/>
      <c r="M23" s="7"/>
      <c r="N23" s="7">
        <f>IF(B23&gt;0,1+COUNTIFS(N$2:N22,"&gt;="&amp;1),0)</f>
        <v>0</v>
      </c>
      <c r="O23" s="7">
        <f>IF(C23&gt;0,1+COUNTIFS(O$2:O22,"&gt;="&amp;1),0)</f>
        <v>0</v>
      </c>
      <c r="P23" s="7">
        <f>IF(D23&gt;0,1+COUNTIFS(P$2:P22,"&gt;="&amp;1),0)</f>
        <v>2</v>
      </c>
      <c r="Q23" s="7">
        <f>IF(E23&gt;0,1+COUNTIFS(Q$2:Q22,"&gt;="&amp;1),0)</f>
        <v>0</v>
      </c>
      <c r="R23" s="7">
        <f>IF(F23&gt;0,1+COUNTIFS(R$2:R22,"&gt;="&amp;1),0)</f>
        <v>0</v>
      </c>
      <c r="S23" s="7">
        <f>IF(G23&gt;0,1+COUNTIFS(S$2:S22,"&gt;="&amp;1),0)</f>
        <v>0</v>
      </c>
      <c r="T23" s="7">
        <f>IF(H23&gt;0,1+COUNTIFS(T$2:T22,"&gt;="&amp;1),0)</f>
        <v>0</v>
      </c>
      <c r="U23" s="7">
        <f>IF(I23&gt;0,1+COUNTIFS(U$2:U22,"&gt;="&amp;1),0)</f>
        <v>0</v>
      </c>
      <c r="V23" s="7">
        <f>IF(J23&gt;0,1+COUNTIFS(V$2:V22,"&gt;="&amp;1),0)</f>
        <v>0</v>
      </c>
      <c r="W23" s="7">
        <f>IF(K23&gt;0,1+COUNTIFS(W$2:W22,"&gt;="&amp;1),0)</f>
        <v>0</v>
      </c>
      <c r="X23" s="7">
        <f>IF(L23&gt;0,1+COUNTIFS(X$2:X22,"&gt;="&amp;1),0)</f>
        <v>0</v>
      </c>
      <c r="Y23" s="7">
        <f>IF(M23&gt;0,1+COUNTIFS(Y$2:Y22,"&gt;="&amp;1),0)</f>
        <v>0</v>
      </c>
      <c r="Z23" s="10" t="s">
        <v>86</v>
      </c>
      <c r="AB23" s="7">
        <v>4</v>
      </c>
      <c r="AC23" s="5">
        <f>IFERROR(INDEX($A$2:$A$30,MATCH(AB23,$Q$2:$Q$30,0)),"")</f>
        <v>7</v>
      </c>
      <c r="AD23" s="10" t="str">
        <f>IFERROR(VLOOKUP(AC23,List!$A$1:$B$29,2,FALSE),"")</f>
        <v>Owning a boat gives me a sense of achievement</v>
      </c>
    </row>
    <row r="24" spans="1:30" ht="15" thickBot="1" x14ac:dyDescent="0.35">
      <c r="A24" s="4">
        <v>29</v>
      </c>
      <c r="B24" s="6"/>
      <c r="C24" s="6"/>
      <c r="D24" s="6"/>
      <c r="E24" s="6"/>
      <c r="F24" s="6"/>
      <c r="G24" s="7"/>
      <c r="H24" s="7"/>
      <c r="I24" s="7"/>
      <c r="J24" s="7"/>
      <c r="K24" s="7"/>
      <c r="L24" s="8">
        <v>0.9</v>
      </c>
      <c r="M24" s="7"/>
      <c r="N24" s="7">
        <f>IF(B24&gt;0,1+COUNTIFS(N$2:N23,"&gt;="&amp;1),0)</f>
        <v>0</v>
      </c>
      <c r="O24" s="7">
        <f>IF(C24&gt;0,1+COUNTIFS(O$2:O23,"&gt;="&amp;1),0)</f>
        <v>0</v>
      </c>
      <c r="P24" s="7">
        <f>IF(D24&gt;0,1+COUNTIFS(P$2:P23,"&gt;="&amp;1),0)</f>
        <v>0</v>
      </c>
      <c r="Q24" s="7">
        <f>IF(E24&gt;0,1+COUNTIFS(Q$2:Q23,"&gt;="&amp;1),0)</f>
        <v>0</v>
      </c>
      <c r="R24" s="7">
        <f>IF(F24&gt;0,1+COUNTIFS(R$2:R23,"&gt;="&amp;1),0)</f>
        <v>0</v>
      </c>
      <c r="S24" s="7">
        <f>IF(G24&gt;0,1+COUNTIFS(S$2:S23,"&gt;="&amp;1),0)</f>
        <v>0</v>
      </c>
      <c r="T24" s="7">
        <f>IF(H24&gt;0,1+COUNTIFS(T$2:T23,"&gt;="&amp;1),0)</f>
        <v>0</v>
      </c>
      <c r="U24" s="7">
        <f>IF(I24&gt;0,1+COUNTIFS(U$2:U23,"&gt;="&amp;1),0)</f>
        <v>0</v>
      </c>
      <c r="V24" s="7">
        <f>IF(J24&gt;0,1+COUNTIFS(V$2:V23,"&gt;="&amp;1),0)</f>
        <v>0</v>
      </c>
      <c r="W24" s="7">
        <f>IF(K24&gt;0,1+COUNTIFS(W$2:W23,"&gt;="&amp;1),0)</f>
        <v>0</v>
      </c>
      <c r="X24" s="7">
        <f>IF(L24&gt;0,1+COUNTIFS(X$2:X23,"&gt;="&amp;1),0)</f>
        <v>1</v>
      </c>
      <c r="Y24" s="7">
        <f>IF(M24&gt;0,1+COUNTIFS(Y$2:Y23,"&gt;="&amp;1),0)</f>
        <v>0</v>
      </c>
      <c r="Z24" s="10" t="s">
        <v>86</v>
      </c>
      <c r="AB24" s="7"/>
      <c r="AC24" s="5"/>
    </row>
    <row r="25" spans="1:30" ht="15" thickBot="1" x14ac:dyDescent="0.35">
      <c r="A25" s="4">
        <v>1</v>
      </c>
      <c r="B25" s="6"/>
      <c r="C25" s="6"/>
      <c r="D25" s="6"/>
      <c r="E25" s="6"/>
      <c r="F25" s="6"/>
      <c r="G25" s="7"/>
      <c r="H25" s="7"/>
      <c r="I25" s="7"/>
      <c r="J25" s="7"/>
      <c r="K25" s="8">
        <v>0.94</v>
      </c>
      <c r="L25" s="7"/>
      <c r="M25" s="7"/>
      <c r="N25" s="7">
        <f>IF(B25&gt;0,1+COUNTIFS(N$2:N24,"&gt;="&amp;1),0)</f>
        <v>0</v>
      </c>
      <c r="O25" s="7">
        <f>IF(C25&gt;0,1+COUNTIFS(O$2:O24,"&gt;="&amp;1),0)</f>
        <v>0</v>
      </c>
      <c r="P25" s="7">
        <f>IF(D25&gt;0,1+COUNTIFS(P$2:P24,"&gt;="&amp;1),0)</f>
        <v>0</v>
      </c>
      <c r="Q25" s="7">
        <f>IF(E25&gt;0,1+COUNTIFS(Q$2:Q24,"&gt;="&amp;1),0)</f>
        <v>0</v>
      </c>
      <c r="R25" s="7">
        <f>IF(F25&gt;0,1+COUNTIFS(R$2:R24,"&gt;="&amp;1),0)</f>
        <v>0</v>
      </c>
      <c r="S25" s="7">
        <f>IF(G25&gt;0,1+COUNTIFS(S$2:S24,"&gt;="&amp;1),0)</f>
        <v>0</v>
      </c>
      <c r="T25" s="7">
        <f>IF(H25&gt;0,1+COUNTIFS(T$2:T24,"&gt;="&amp;1),0)</f>
        <v>0</v>
      </c>
      <c r="U25" s="7">
        <f>IF(I25&gt;0,1+COUNTIFS(U$2:U24,"&gt;="&amp;1),0)</f>
        <v>0</v>
      </c>
      <c r="V25" s="7">
        <f>IF(J25&gt;0,1+COUNTIFS(V$2:V24,"&gt;="&amp;1),0)</f>
        <v>0</v>
      </c>
      <c r="W25" s="7">
        <f>IF(K25&gt;0,1+COUNTIFS(W$2:W24,"&gt;="&amp;1),0)</f>
        <v>1</v>
      </c>
      <c r="X25" s="7">
        <f>IF(L25&gt;0,1+COUNTIFS(X$2:X24,"&gt;="&amp;1),0)</f>
        <v>0</v>
      </c>
      <c r="Y25" s="7">
        <f>IF(M25&gt;0,1+COUNTIFS(Y$2:Y24,"&gt;="&amp;1),0)</f>
        <v>0</v>
      </c>
      <c r="Z25" s="10" t="s">
        <v>86</v>
      </c>
      <c r="AC25" s="9" t="s">
        <v>62</v>
      </c>
    </row>
    <row r="26" spans="1:30" ht="15" thickBot="1" x14ac:dyDescent="0.35">
      <c r="A26" s="4">
        <v>4</v>
      </c>
      <c r="B26" s="6"/>
      <c r="C26" s="6"/>
      <c r="D26" s="6"/>
      <c r="E26" s="6"/>
      <c r="F26" s="6"/>
      <c r="G26" s="7"/>
      <c r="H26" s="8">
        <v>0.84</v>
      </c>
      <c r="I26" s="7"/>
      <c r="J26" s="7"/>
      <c r="K26" s="7"/>
      <c r="L26" s="7"/>
      <c r="M26" s="7"/>
      <c r="N26" s="7">
        <f>IF(B26&gt;0,1+COUNTIFS(N$2:N25,"&gt;="&amp;1),0)</f>
        <v>0</v>
      </c>
      <c r="O26" s="7">
        <f>IF(C26&gt;0,1+COUNTIFS(O$2:O25,"&gt;="&amp;1),0)</f>
        <v>0</v>
      </c>
      <c r="P26" s="7">
        <f>IF(D26&gt;0,1+COUNTIFS(P$2:P25,"&gt;="&amp;1),0)</f>
        <v>0</v>
      </c>
      <c r="Q26" s="7">
        <f>IF(E26&gt;0,1+COUNTIFS(Q$2:Q25,"&gt;="&amp;1),0)</f>
        <v>0</v>
      </c>
      <c r="R26" s="7">
        <f>IF(F26&gt;0,1+COUNTIFS(R$2:R25,"&gt;="&amp;1),0)</f>
        <v>0</v>
      </c>
      <c r="S26" s="7">
        <f>IF(G26&gt;0,1+COUNTIFS(S$2:S25,"&gt;="&amp;1),0)</f>
        <v>0</v>
      </c>
      <c r="T26" s="7">
        <f>IF(H26&gt;0,1+COUNTIFS(T$2:T25,"&gt;="&amp;1),0)</f>
        <v>1</v>
      </c>
      <c r="U26" s="7">
        <f>IF(I26&gt;0,1+COUNTIFS(U$2:U25,"&gt;="&amp;1),0)</f>
        <v>0</v>
      </c>
      <c r="V26" s="7">
        <f>IF(J26&gt;0,1+COUNTIFS(V$2:V25,"&gt;="&amp;1),0)</f>
        <v>0</v>
      </c>
      <c r="W26" s="7">
        <f>IF(K26&gt;0,1+COUNTIFS(W$2:W25,"&gt;="&amp;1),0)</f>
        <v>0</v>
      </c>
      <c r="X26" s="7">
        <f>IF(L26&gt;0,1+COUNTIFS(X$2:X25,"&gt;="&amp;1),0)</f>
        <v>0</v>
      </c>
      <c r="Y26" s="7">
        <f>IF(M26&gt;0,1+COUNTIFS(Y$2:Y25,"&gt;="&amp;1),0)</f>
        <v>0</v>
      </c>
      <c r="Z26" s="10" t="s">
        <v>86</v>
      </c>
      <c r="AB26" s="7">
        <v>1</v>
      </c>
      <c r="AC26" s="5">
        <f>IFERROR(INDEX($A$2:$A$30,MATCH(AB26,$R$2:$R$30,0)),"")</f>
        <v>12</v>
      </c>
      <c r="AD26" s="10" t="str">
        <f>IFERROR(VLOOKUP(AC26,List!$A$1:$B$29,2,FALSE),"")</f>
        <v>When it comes to boating, I tend to prefer a basic boat with little to no frills</v>
      </c>
    </row>
    <row r="27" spans="1:30" ht="15" thickBot="1" x14ac:dyDescent="0.35">
      <c r="A27" s="4">
        <v>19</v>
      </c>
      <c r="B27" s="6"/>
      <c r="C27" s="6"/>
      <c r="D27" s="5">
        <v>0.83</v>
      </c>
      <c r="E27" s="6"/>
      <c r="F27" s="6"/>
      <c r="G27" s="7"/>
      <c r="H27" s="7"/>
      <c r="I27" s="7"/>
      <c r="J27" s="7"/>
      <c r="K27" s="7"/>
      <c r="L27" s="7"/>
      <c r="M27" s="7"/>
      <c r="N27" s="7">
        <f>IF(B27&gt;0,1+COUNTIFS(N$2:N26,"&gt;="&amp;1),0)</f>
        <v>0</v>
      </c>
      <c r="O27" s="7">
        <f>IF(C27&gt;0,1+COUNTIFS(O$2:O26,"&gt;="&amp;1),0)</f>
        <v>0</v>
      </c>
      <c r="P27" s="7">
        <f>IF(D27&gt;0,1+COUNTIFS(P$2:P26,"&gt;="&amp;1),0)</f>
        <v>3</v>
      </c>
      <c r="Q27" s="7">
        <f>IF(E27&gt;0,1+COUNTIFS(Q$2:Q26,"&gt;="&amp;1),0)</f>
        <v>0</v>
      </c>
      <c r="R27" s="7">
        <f>IF(F27&gt;0,1+COUNTIFS(R$2:R26,"&gt;="&amp;1),0)</f>
        <v>0</v>
      </c>
      <c r="S27" s="7">
        <f>IF(G27&gt;0,1+COUNTIFS(S$2:S26,"&gt;="&amp;1),0)</f>
        <v>0</v>
      </c>
      <c r="T27" s="7">
        <f>IF(H27&gt;0,1+COUNTIFS(T$2:T26,"&gt;="&amp;1),0)</f>
        <v>0</v>
      </c>
      <c r="U27" s="7">
        <f>IF(I27&gt;0,1+COUNTIFS(U$2:U26,"&gt;="&amp;1),0)</f>
        <v>0</v>
      </c>
      <c r="V27" s="7">
        <f>IF(J27&gt;0,1+COUNTIFS(V$2:V26,"&gt;="&amp;1),0)</f>
        <v>0</v>
      </c>
      <c r="W27" s="7">
        <f>IF(K27&gt;0,1+COUNTIFS(W$2:W26,"&gt;="&amp;1),0)</f>
        <v>0</v>
      </c>
      <c r="X27" s="7">
        <f>IF(L27&gt;0,1+COUNTIFS(X$2:X26,"&gt;="&amp;1),0)</f>
        <v>0</v>
      </c>
      <c r="Y27" s="7">
        <f>IF(M27&gt;0,1+COUNTIFS(Y$2:Y26,"&gt;="&amp;1),0)</f>
        <v>0</v>
      </c>
      <c r="Z27" s="10" t="s">
        <v>86</v>
      </c>
      <c r="AB27" s="7">
        <v>2</v>
      </c>
      <c r="AC27" s="5">
        <f>IFERROR(INDEX($A$2:$A$30,MATCH(AB27,$R$2:$R$30,0)),"")</f>
        <v>2</v>
      </c>
      <c r="AD27" s="10" t="str">
        <f>IFERROR(VLOOKUP(AC27,List!$A$1:$B$29,2,FALSE),"")</f>
        <v>When buying a bot, getting the lowest P is more important than brand</v>
      </c>
    </row>
    <row r="28" spans="1:30" ht="15" thickBot="1" x14ac:dyDescent="0.35">
      <c r="A28" s="4">
        <v>8</v>
      </c>
      <c r="B28" s="6"/>
      <c r="C28" s="6"/>
      <c r="D28" s="6"/>
      <c r="E28" s="6"/>
      <c r="F28" s="6"/>
      <c r="G28" s="7"/>
      <c r="H28" s="7"/>
      <c r="I28" s="7"/>
      <c r="J28" s="8">
        <v>0.95</v>
      </c>
      <c r="K28" s="7"/>
      <c r="L28" s="7"/>
      <c r="M28" s="7"/>
      <c r="N28" s="7">
        <f>IF(B28&gt;0,1+COUNTIFS(N$2:N27,"&gt;="&amp;1),0)</f>
        <v>0</v>
      </c>
      <c r="O28" s="7">
        <f>IF(C28&gt;0,1+COUNTIFS(O$2:O27,"&gt;="&amp;1),0)</f>
        <v>0</v>
      </c>
      <c r="P28" s="7">
        <f>IF(D28&gt;0,1+COUNTIFS(P$2:P27,"&gt;="&amp;1),0)</f>
        <v>0</v>
      </c>
      <c r="Q28" s="7">
        <f>IF(E28&gt;0,1+COUNTIFS(Q$2:Q27,"&gt;="&amp;1),0)</f>
        <v>0</v>
      </c>
      <c r="R28" s="7">
        <f>IF(F28&gt;0,1+COUNTIFS(R$2:R27,"&gt;="&amp;1),0)</f>
        <v>0</v>
      </c>
      <c r="S28" s="7">
        <f>IF(G28&gt;0,1+COUNTIFS(S$2:S27,"&gt;="&amp;1),0)</f>
        <v>0</v>
      </c>
      <c r="T28" s="7">
        <f>IF(H28&gt;0,1+COUNTIFS(T$2:T27,"&gt;="&amp;1),0)</f>
        <v>0</v>
      </c>
      <c r="U28" s="7">
        <f>IF(I28&gt;0,1+COUNTIFS(U$2:U27,"&gt;="&amp;1),0)</f>
        <v>0</v>
      </c>
      <c r="V28" s="7">
        <f>IF(J28&gt;0,1+COUNTIFS(V$2:V27,"&gt;="&amp;1),0)</f>
        <v>1</v>
      </c>
      <c r="W28" s="7">
        <f>IF(K28&gt;0,1+COUNTIFS(W$2:W27,"&gt;="&amp;1),0)</f>
        <v>0</v>
      </c>
      <c r="X28" s="7">
        <f>IF(L28&gt;0,1+COUNTIFS(X$2:X27,"&gt;="&amp;1),0)</f>
        <v>0</v>
      </c>
      <c r="Y28" s="7">
        <f>IF(M28&gt;0,1+COUNTIFS(Y$2:Y27,"&gt;="&amp;1),0)</f>
        <v>0</v>
      </c>
      <c r="Z28" s="10" t="s">
        <v>86</v>
      </c>
      <c r="AB28" s="7"/>
      <c r="AC28" s="5"/>
    </row>
    <row r="29" spans="1:30" ht="15" thickBot="1" x14ac:dyDescent="0.35">
      <c r="A29" s="4">
        <v>2</v>
      </c>
      <c r="B29" s="6"/>
      <c r="C29" s="6"/>
      <c r="D29" s="6"/>
      <c r="E29" s="6"/>
      <c r="F29" s="5">
        <v>0.83</v>
      </c>
      <c r="G29" s="7"/>
      <c r="H29" s="7"/>
      <c r="I29" s="7"/>
      <c r="J29" s="7"/>
      <c r="K29" s="7"/>
      <c r="L29" s="7"/>
      <c r="M29" s="7"/>
      <c r="N29" s="7">
        <f>IF(B29&gt;0,1+COUNTIFS(N$2:N28,"&gt;="&amp;1),0)</f>
        <v>0</v>
      </c>
      <c r="O29" s="7">
        <f>IF(C29&gt;0,1+COUNTIFS(O$2:O28,"&gt;="&amp;1),0)</f>
        <v>0</v>
      </c>
      <c r="P29" s="7">
        <f>IF(D29&gt;0,1+COUNTIFS(P$2:P28,"&gt;="&amp;1),0)</f>
        <v>0</v>
      </c>
      <c r="Q29" s="7">
        <f>IF(E29&gt;0,1+COUNTIFS(Q$2:Q28,"&gt;="&amp;1),0)</f>
        <v>0</v>
      </c>
      <c r="R29" s="7">
        <f>IF(F29&gt;0,1+COUNTIFS(R$2:R28,"&gt;="&amp;1),0)</f>
        <v>2</v>
      </c>
      <c r="S29" s="7">
        <f>IF(G29&gt;0,1+COUNTIFS(S$2:S28,"&gt;="&amp;1),0)</f>
        <v>0</v>
      </c>
      <c r="T29" s="7">
        <f>IF(H29&gt;0,1+COUNTIFS(T$2:T28,"&gt;="&amp;1),0)</f>
        <v>0</v>
      </c>
      <c r="U29" s="7">
        <f>IF(I29&gt;0,1+COUNTIFS(U$2:U28,"&gt;="&amp;1),0)</f>
        <v>0</v>
      </c>
      <c r="V29" s="7">
        <f>IF(J29&gt;0,1+COUNTIFS(V$2:V28,"&gt;="&amp;1),0)</f>
        <v>0</v>
      </c>
      <c r="W29" s="7">
        <f>IF(K29&gt;0,1+COUNTIFS(W$2:W28,"&gt;="&amp;1),0)</f>
        <v>0</v>
      </c>
      <c r="X29" s="7">
        <f>IF(L29&gt;0,1+COUNTIFS(X$2:X28,"&gt;="&amp;1),0)</f>
        <v>0</v>
      </c>
      <c r="Y29" s="7">
        <f>IF(M29&gt;0,1+COUNTIFS(Y$2:Y28,"&gt;="&amp;1),0)</f>
        <v>0</v>
      </c>
      <c r="Z29" s="10" t="s">
        <v>86</v>
      </c>
      <c r="AC29" s="9" t="s">
        <v>63</v>
      </c>
    </row>
    <row r="30" spans="1:30" ht="15" thickBot="1" x14ac:dyDescent="0.35">
      <c r="A30" s="4">
        <v>10</v>
      </c>
      <c r="B30" s="6"/>
      <c r="C30" s="6"/>
      <c r="D30" s="6"/>
      <c r="E30" s="6"/>
      <c r="F30" s="6"/>
      <c r="G30" s="7"/>
      <c r="H30" s="7"/>
      <c r="I30" s="8">
        <v>0.92</v>
      </c>
      <c r="J30" s="7"/>
      <c r="K30" s="7"/>
      <c r="L30" s="7"/>
      <c r="M30" s="7"/>
      <c r="N30" s="7">
        <f>IF(B30&gt;0,1+COUNTIFS(N$2:N29,"&gt;="&amp;1),0)</f>
        <v>0</v>
      </c>
      <c r="O30" s="7">
        <f>IF(C30&gt;0,1+COUNTIFS(O$2:O29,"&gt;="&amp;1),0)</f>
        <v>0</v>
      </c>
      <c r="P30" s="7">
        <f>IF(D30&gt;0,1+COUNTIFS(P$2:P29,"&gt;="&amp;1),0)</f>
        <v>0</v>
      </c>
      <c r="Q30" s="7">
        <f>IF(E30&gt;0,1+COUNTIFS(Q$2:Q29,"&gt;="&amp;1),0)</f>
        <v>0</v>
      </c>
      <c r="R30" s="7">
        <f>IF(F30&gt;0,1+COUNTIFS(R$2:R29,"&gt;="&amp;1),0)</f>
        <v>0</v>
      </c>
      <c r="S30" s="7">
        <f>IF(G30&gt;0,1+COUNTIFS(S$2:S29,"&gt;="&amp;1),0)</f>
        <v>0</v>
      </c>
      <c r="T30" s="7">
        <f>IF(H30&gt;0,1+COUNTIFS(T$2:T29,"&gt;="&amp;1),0)</f>
        <v>0</v>
      </c>
      <c r="U30" s="7">
        <f>IF(I30&gt;0,1+COUNTIFS(U$2:U29,"&gt;="&amp;1),0)</f>
        <v>1</v>
      </c>
      <c r="V30" s="7">
        <f>IF(J30&gt;0,1+COUNTIFS(V$2:V29,"&gt;="&amp;1),0)</f>
        <v>0</v>
      </c>
      <c r="W30" s="7">
        <f>IF(K30&gt;0,1+COUNTIFS(W$2:W29,"&gt;="&amp;1),0)</f>
        <v>0</v>
      </c>
      <c r="X30" s="7">
        <f>IF(L30&gt;0,1+COUNTIFS(X$2:X29,"&gt;="&amp;1),0)</f>
        <v>0</v>
      </c>
      <c r="Y30" s="7">
        <f>IF(M30&gt;0,1+COUNTIFS(Y$2:Y29,"&gt;="&amp;1),0)</f>
        <v>0</v>
      </c>
      <c r="Z30" s="10" t="s">
        <v>86</v>
      </c>
      <c r="AB30" s="7">
        <v>1</v>
      </c>
      <c r="AC30" s="5">
        <f>IFERROR(INDEX($A$2:$A$30,MATCH(AB30,$S$2:$S$30,0)),"")</f>
        <v>11</v>
      </c>
      <c r="AD30" s="10" t="str">
        <f>IFERROR(VLOOKUP(AC30,List!$A$1:$B$29,2,FALSE),"")</f>
        <v>I tend to perform minor boat repairs and maintenance on my own</v>
      </c>
    </row>
    <row r="31" spans="1:30" ht="15" thickBot="1" x14ac:dyDescent="0.35"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AB31" s="7"/>
      <c r="AC31" s="5"/>
    </row>
    <row r="32" spans="1:30" x14ac:dyDescent="0.3">
      <c r="AC32" s="9" t="s">
        <v>64</v>
      </c>
    </row>
    <row r="33" spans="28:30" ht="15" thickBot="1" x14ac:dyDescent="0.35">
      <c r="AB33" s="7">
        <v>1</v>
      </c>
      <c r="AC33" s="5">
        <f>IFERROR(INDEX($A$2:$A$30,MATCH(AB33,$T$2:$T$30,0)),"")</f>
        <v>4</v>
      </c>
      <c r="AD33" s="10" t="str">
        <f>IFERROR(VLOOKUP(AC33,List!$A$1:$B$29,2,FALSE),"")</f>
        <v>I only consider buying a boat from a reputable brand</v>
      </c>
    </row>
    <row r="34" spans="28:30" ht="15" thickBot="1" x14ac:dyDescent="0.35">
      <c r="AB34" s="7"/>
      <c r="AC34" s="5"/>
    </row>
    <row r="35" spans="28:30" x14ac:dyDescent="0.3">
      <c r="AC35" s="9" t="s">
        <v>65</v>
      </c>
    </row>
    <row r="36" spans="28:30" ht="15" thickBot="1" x14ac:dyDescent="0.35">
      <c r="AB36" s="7">
        <v>1</v>
      </c>
      <c r="AC36" s="5">
        <f>IFERROR(INDEX($A$2:$A$30,MATCH(AB36,$U$2:$U$30,0)),"")</f>
        <v>10</v>
      </c>
      <c r="AD36" s="10" t="str">
        <f>IFERROR(VLOOKUP(AC36,List!$A$1:$B$29,2,FALSE),"")</f>
        <v>When buying a boat, I rely more on expert opinion than my own</v>
      </c>
    </row>
    <row r="37" spans="28:30" ht="15" thickBot="1" x14ac:dyDescent="0.35">
      <c r="AB37" s="7"/>
      <c r="AC37" s="5"/>
    </row>
    <row r="38" spans="28:30" x14ac:dyDescent="0.3">
      <c r="AC38" s="9" t="s">
        <v>66</v>
      </c>
    </row>
    <row r="39" spans="28:30" ht="15" thickBot="1" x14ac:dyDescent="0.35">
      <c r="AB39" s="7">
        <v>1</v>
      </c>
      <c r="AC39" s="5">
        <f>IFERROR(INDEX($A$2:$A$30,MATCH(AB39,$V$2:$V$30,0)),"")</f>
        <v>8</v>
      </c>
      <c r="AD39" s="10" t="str">
        <f>IFERROR(VLOOKUP(AC39,List!$A$1:$B$29,2,FALSE),"")</f>
        <v>When buying a boat, functionality is more important than style</v>
      </c>
    </row>
    <row r="40" spans="28:30" ht="15" thickBot="1" x14ac:dyDescent="0.35">
      <c r="AB40" s="7"/>
      <c r="AC40" s="5"/>
    </row>
    <row r="41" spans="28:30" x14ac:dyDescent="0.3">
      <c r="AC41" s="9" t="s">
        <v>67</v>
      </c>
    </row>
    <row r="42" spans="28:30" ht="15" thickBot="1" x14ac:dyDescent="0.35">
      <c r="AB42" s="7">
        <v>1</v>
      </c>
      <c r="AC42" s="5">
        <f>IFERROR(INDEX($A$2:$A$30,MATCH(AB42,$W$2:$W$30,0)),"")</f>
        <v>1</v>
      </c>
      <c r="AD42" s="10" t="str">
        <f>IFERROR(VLOOKUP(AC42,List!$A$1:$B$29,2,FALSE),"")</f>
        <v>When buying a boat, I do a lot of shopping around and visit multiple dealers</v>
      </c>
    </row>
    <row r="43" spans="28:30" ht="15" thickBot="1" x14ac:dyDescent="0.35">
      <c r="AB43" s="7"/>
      <c r="AC43" s="5"/>
    </row>
    <row r="44" spans="28:30" x14ac:dyDescent="0.3">
      <c r="AC44" s="9" t="s">
        <v>68</v>
      </c>
    </row>
    <row r="45" spans="28:30" ht="15" thickBot="1" x14ac:dyDescent="0.35">
      <c r="AB45" s="7">
        <v>1</v>
      </c>
      <c r="AC45" s="5">
        <f>IFERROR(INDEX($A$2:$A$30,MATCH(AB45,$X$2:$X$30,0)),"")</f>
        <v>29</v>
      </c>
      <c r="AD45" s="10" t="str">
        <f>IFERROR(VLOOKUP(AC45,List!$A$1:$B$29,2,FALSE),"")</f>
        <v>Boating is one of many things I do in my spare time</v>
      </c>
    </row>
    <row r="46" spans="28:30" ht="15" thickBot="1" x14ac:dyDescent="0.35">
      <c r="AB46" s="7"/>
      <c r="AC46" s="5"/>
    </row>
    <row r="47" spans="28:30" x14ac:dyDescent="0.3">
      <c r="AC47" s="9" t="s">
        <v>69</v>
      </c>
    </row>
    <row r="48" spans="28:30" ht="15" thickBot="1" x14ac:dyDescent="0.35">
      <c r="AB48" s="7">
        <v>1</v>
      </c>
      <c r="AC48" s="5">
        <f>IFERROR(INDEX($A$2:$A$30,MATCH(AB48,$Y$2:$Y$30,0)),"")</f>
        <v>24</v>
      </c>
      <c r="AD48" s="10" t="str">
        <f>IFERROR(VLOOKUP(AC48,List!$A$1:$B$29,2,FALSE),"")</f>
        <v>Boating gives me an outlet to socialize with family/friends</v>
      </c>
    </row>
    <row r="81" spans="1:2" ht="15" thickBot="1" x14ac:dyDescent="0.35">
      <c r="A81" s="7"/>
      <c r="B81" s="5"/>
    </row>
    <row r="82" spans="1:2" ht="15" thickBot="1" x14ac:dyDescent="0.35">
      <c r="A82" s="7"/>
      <c r="B82" s="5"/>
    </row>
    <row r="83" spans="1:2" ht="15" thickBot="1" x14ac:dyDescent="0.35">
      <c r="A83" s="7"/>
      <c r="B83" s="5"/>
    </row>
    <row r="84" spans="1:2" ht="15" thickBot="1" x14ac:dyDescent="0.35">
      <c r="A84" s="7"/>
      <c r="B84" s="5"/>
    </row>
    <row r="85" spans="1:2" ht="15" thickBot="1" x14ac:dyDescent="0.35">
      <c r="A85" s="7"/>
      <c r="B85" s="5"/>
    </row>
    <row r="86" spans="1:2" ht="15" thickBot="1" x14ac:dyDescent="0.35">
      <c r="A86" s="7"/>
      <c r="B86" s="5"/>
    </row>
    <row r="87" spans="1:2" ht="15" thickBot="1" x14ac:dyDescent="0.35">
      <c r="A87" s="7"/>
      <c r="B87" s="5"/>
    </row>
    <row r="88" spans="1:2" ht="15" thickBot="1" x14ac:dyDescent="0.35">
      <c r="A88" s="7"/>
      <c r="B88" s="5"/>
    </row>
    <row r="89" spans="1:2" ht="15" thickBot="1" x14ac:dyDescent="0.35">
      <c r="A89" s="7"/>
      <c r="B89" s="5"/>
    </row>
    <row r="90" spans="1:2" ht="15" thickBot="1" x14ac:dyDescent="0.35">
      <c r="A90" s="7"/>
      <c r="B90" s="5"/>
    </row>
    <row r="91" spans="1:2" ht="15" thickBot="1" x14ac:dyDescent="0.35">
      <c r="A91" s="7"/>
      <c r="B91" s="5"/>
    </row>
    <row r="92" spans="1:2" ht="15" thickBot="1" x14ac:dyDescent="0.35">
      <c r="A92" s="7"/>
      <c r="B92" s="5"/>
    </row>
    <row r="93" spans="1:2" ht="15" thickBot="1" x14ac:dyDescent="0.35">
      <c r="A93" s="7"/>
      <c r="B93" s="5"/>
    </row>
    <row r="94" spans="1:2" ht="15" thickBot="1" x14ac:dyDescent="0.35">
      <c r="A94" s="7"/>
      <c r="B94" s="5"/>
    </row>
    <row r="95" spans="1:2" ht="15" thickBot="1" x14ac:dyDescent="0.35">
      <c r="A95" s="7"/>
      <c r="B95" s="5"/>
    </row>
    <row r="96" spans="1:2" ht="15" thickBot="1" x14ac:dyDescent="0.35">
      <c r="A96" s="7"/>
      <c r="B96" s="5"/>
    </row>
    <row r="97" spans="1:2" ht="15" thickBot="1" x14ac:dyDescent="0.35">
      <c r="A97" s="7"/>
      <c r="B97" s="5"/>
    </row>
    <row r="98" spans="1:2" ht="15" thickBot="1" x14ac:dyDescent="0.35">
      <c r="A98" s="7"/>
      <c r="B98" s="5"/>
    </row>
    <row r="99" spans="1:2" ht="15" thickBot="1" x14ac:dyDescent="0.35">
      <c r="A99" s="7"/>
      <c r="B99" s="5"/>
    </row>
    <row r="100" spans="1:2" ht="15" thickBot="1" x14ac:dyDescent="0.35">
      <c r="A100" s="7"/>
      <c r="B100" s="5"/>
    </row>
    <row r="101" spans="1:2" ht="15" thickBot="1" x14ac:dyDescent="0.35">
      <c r="A101" s="7"/>
      <c r="B101" s="5"/>
    </row>
    <row r="102" spans="1:2" ht="15" thickBot="1" x14ac:dyDescent="0.35">
      <c r="A102" s="7"/>
      <c r="B102" s="5"/>
    </row>
    <row r="103" spans="1:2" ht="15" thickBot="1" x14ac:dyDescent="0.35">
      <c r="A103" s="7"/>
      <c r="B103" s="5"/>
    </row>
    <row r="104" spans="1:2" ht="15" thickBot="1" x14ac:dyDescent="0.35">
      <c r="A104" s="7"/>
      <c r="B104" s="5"/>
    </row>
    <row r="105" spans="1:2" ht="15" thickBot="1" x14ac:dyDescent="0.35">
      <c r="A105" s="7"/>
      <c r="B105" s="5"/>
    </row>
    <row r="106" spans="1:2" ht="15" thickBot="1" x14ac:dyDescent="0.35">
      <c r="A106" s="7"/>
      <c r="B106" s="5"/>
    </row>
    <row r="107" spans="1:2" ht="15" thickBot="1" x14ac:dyDescent="0.35">
      <c r="A107" s="7"/>
      <c r="B10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</vt:lpstr>
      <vt:lpstr>Eigenvalue varimax</vt:lpstr>
      <vt:lpstr>Eigenvalue quatimax</vt:lpstr>
      <vt:lpstr>Eigenvalue proxmax</vt:lpstr>
      <vt:lpstr>Eigenvalue oblimin</vt:lpstr>
      <vt:lpstr>Eigenvalue simplimax</vt:lpstr>
      <vt:lpstr>Eigenvalue cluster</vt:lpstr>
      <vt:lpstr>Eigenvalue none</vt:lpstr>
      <vt:lpstr>Sheet2</vt:lpstr>
      <vt:lpstr>Variance - 70%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Ricardo</dc:creator>
  <cp:lastModifiedBy>Ricardo Ferreira</cp:lastModifiedBy>
  <dcterms:created xsi:type="dcterms:W3CDTF">2018-02-10T11:30:07Z</dcterms:created>
  <dcterms:modified xsi:type="dcterms:W3CDTF">2018-02-11T03:09:25Z</dcterms:modified>
</cp:coreProperties>
</file>